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127530\Desktop\ファイン様生産計画対比表2026.03.11\"/>
    </mc:Choice>
  </mc:AlternateContent>
  <bookViews>
    <workbookView xWindow="0" yWindow="0" windowWidth="20460" windowHeight="5388" tabRatio="903" firstSheet="1" activeTab="8"/>
  </bookViews>
  <sheets>
    <sheet name="(旧)ﾍﾞﾝﾀﾞｰ小型" sheetId="50" r:id="rId1"/>
    <sheet name="(新)ﾍﾞﾝﾀﾞｰ小型" sheetId="51" r:id="rId2"/>
    <sheet name="ﾍﾞﾝﾀﾞｰ小型対照表" sheetId="52" r:id="rId3"/>
    <sheet name="(旧)ﾍﾞﾝﾀﾞｰ中型" sheetId="53" r:id="rId4"/>
    <sheet name="(新)ﾍﾞﾝﾀﾞｰ中型" sheetId="54" r:id="rId5"/>
    <sheet name="ﾍﾞﾝﾀﾞｰ中型対照表" sheetId="55" r:id="rId6"/>
    <sheet name="(旧)ﾍﾞﾝﾀﾞｰ大型" sheetId="56" r:id="rId7"/>
    <sheet name="(新)ﾍﾞﾝﾀﾞｰ大型" sheetId="57" r:id="rId8"/>
    <sheet name="ﾍﾞﾝﾀﾞｰ大型対照表" sheetId="58" r:id="rId9"/>
    <sheet name="(旧)ASTRO" sheetId="59" r:id="rId10"/>
    <sheet name="(新)ASTRO" sheetId="60" r:id="rId11"/>
    <sheet name="ASTRO対照表" sheetId="61" r:id="rId12"/>
    <sheet name="(旧)EG" sheetId="62" r:id="rId13"/>
    <sheet name="(新)EG" sheetId="63" r:id="rId14"/>
    <sheet name="EG対照表" sheetId="64" r:id="rId15"/>
    <sheet name="AESA" sheetId="65" r:id="rId16"/>
  </sheets>
  <externalReferences>
    <externalReference r:id="rId17"/>
  </externalReferences>
  <definedNames>
    <definedName name="_xlnm._FilterDatabase" localSheetId="9" hidden="1">'(旧)ASTRO'!$A$2:$K$2</definedName>
    <definedName name="_xlnm._FilterDatabase" localSheetId="12" hidden="1">'(旧)EG'!$A$2:$L$2</definedName>
    <definedName name="_xlnm._FilterDatabase" localSheetId="0" hidden="1">'(旧)ﾍﾞﾝﾀﾞｰ小型'!$A$2:$K$2</definedName>
    <definedName name="_xlnm._FilterDatabase" localSheetId="6" hidden="1">'(旧)ﾍﾞﾝﾀﾞｰ大型'!$A$2:$K$2</definedName>
    <definedName name="_xlnm._FilterDatabase" localSheetId="3" hidden="1">'(旧)ﾍﾞﾝﾀﾞｰ中型'!$A$2:$K$2</definedName>
    <definedName name="_xlnm._FilterDatabase" localSheetId="10" hidden="1">'(新)ASTRO'!$A$2:$L$2</definedName>
    <definedName name="_xlnm._FilterDatabase" localSheetId="13" hidden="1">'(新)EG'!$A$2:$L$64</definedName>
    <definedName name="_xlnm._FilterDatabase" localSheetId="1" hidden="1">'(新)ﾍﾞﾝﾀﾞｰ小型'!$A$2:$K$192</definedName>
    <definedName name="_xlnm._FilterDatabase" localSheetId="7" hidden="1">'(新)ﾍﾞﾝﾀﾞｰ大型'!$A$2:$K$2</definedName>
    <definedName name="_xlnm._FilterDatabase" localSheetId="4" hidden="1">'(新)ﾍﾞﾝﾀﾞｰ中型'!$A$2:$K$2</definedName>
    <definedName name="_xlnm._FilterDatabase" localSheetId="15" hidden="1">AESA!$A$2:$K$179</definedName>
    <definedName name="_xlnm._FilterDatabase" localSheetId="11" hidden="1">ASTRO対照表!$A$1:$I$116</definedName>
    <definedName name="_xlnm._FilterDatabase" localSheetId="14" hidden="1">EG対照表!$A$1:$I$403</definedName>
    <definedName name="_xlnm._FilterDatabase" localSheetId="2" hidden="1">ﾍﾞﾝﾀﾞｰ小型対照表!$A$1:$I$623</definedName>
    <definedName name="_xlnm._FilterDatabase" localSheetId="5" hidden="1">ﾍﾞﾝﾀﾞｰ中型対照表!$A$1:$I$328</definedName>
  </definedNames>
  <calcPr calcId="162913"/>
</workbook>
</file>

<file path=xl/calcChain.xml><?xml version="1.0" encoding="utf-8"?>
<calcChain xmlns="http://schemas.openxmlformats.org/spreadsheetml/2006/main">
  <c r="E46" i="61" l="1"/>
  <c r="I46" i="61" s="1"/>
  <c r="C46" i="61"/>
  <c r="E45" i="61"/>
  <c r="G45" i="61" s="1"/>
  <c r="D45" i="61"/>
  <c r="C45" i="61"/>
  <c r="B45" i="61"/>
  <c r="E44" i="61"/>
  <c r="I44" i="61" s="1"/>
  <c r="C44" i="61"/>
  <c r="E43" i="61"/>
  <c r="G43" i="61" s="1"/>
  <c r="E42" i="61"/>
  <c r="I42" i="61" s="1"/>
  <c r="E41" i="61"/>
  <c r="G41" i="61" s="1"/>
  <c r="C42" i="61" l="1"/>
  <c r="B41" i="61"/>
  <c r="D41" i="61"/>
  <c r="C41" i="61"/>
  <c r="F45" i="61"/>
  <c r="B43" i="61"/>
  <c r="I45" i="61"/>
  <c r="F41" i="61"/>
  <c r="C43" i="61"/>
  <c r="F43" i="61"/>
  <c r="D43" i="61"/>
  <c r="I41" i="61"/>
  <c r="I43" i="61"/>
  <c r="G42" i="61"/>
  <c r="G44" i="61"/>
  <c r="G46" i="61"/>
  <c r="B42" i="61"/>
  <c r="D42" i="61"/>
  <c r="F42" i="61"/>
  <c r="B44" i="61"/>
  <c r="D44" i="61"/>
  <c r="F44" i="61"/>
  <c r="B46" i="61"/>
  <c r="D46" i="61"/>
  <c r="F46" i="61"/>
  <c r="E88" i="64"/>
  <c r="I88" i="64" s="1"/>
  <c r="C88" i="64" l="1"/>
  <c r="B88" i="64"/>
  <c r="F88" i="64"/>
  <c r="D88" i="64"/>
  <c r="E101" i="64"/>
  <c r="E102" i="64"/>
  <c r="E103" i="64"/>
  <c r="E104" i="64"/>
  <c r="E105" i="64"/>
  <c r="E106" i="64"/>
  <c r="E107" i="64"/>
  <c r="E108" i="64"/>
  <c r="E109" i="64"/>
  <c r="E110" i="64"/>
  <c r="E111" i="64"/>
  <c r="E112" i="64"/>
  <c r="E113" i="64"/>
  <c r="E114" i="64"/>
  <c r="D114" i="64" s="1"/>
  <c r="E115" i="64"/>
  <c r="E116" i="64"/>
  <c r="D116" i="64" s="1"/>
  <c r="E117" i="64"/>
  <c r="E95" i="64"/>
  <c r="E96" i="64"/>
  <c r="E97" i="64"/>
  <c r="E98" i="64"/>
  <c r="E99" i="64"/>
  <c r="E100" i="64"/>
  <c r="E17" i="64"/>
  <c r="E18" i="64"/>
  <c r="E19" i="64"/>
  <c r="E20" i="64"/>
  <c r="C20" i="64" s="1"/>
  <c r="E21" i="64"/>
  <c r="E22" i="64"/>
  <c r="E23" i="64"/>
  <c r="E24" i="64"/>
  <c r="C24" i="64" s="1"/>
  <c r="E25" i="64"/>
  <c r="E26" i="64"/>
  <c r="E27" i="64"/>
  <c r="E28" i="64"/>
  <c r="C28" i="64" s="1"/>
  <c r="E29" i="64"/>
  <c r="E30" i="64"/>
  <c r="E31" i="64"/>
  <c r="E32" i="64"/>
  <c r="C32" i="64" s="1"/>
  <c r="E33" i="64"/>
  <c r="E34" i="64"/>
  <c r="E35" i="64"/>
  <c r="E36" i="64"/>
  <c r="C36" i="64" s="1"/>
  <c r="E37" i="64"/>
  <c r="E38" i="64"/>
  <c r="E39" i="64"/>
  <c r="E40" i="64"/>
  <c r="C40" i="64" s="1"/>
  <c r="E41" i="64"/>
  <c r="E42" i="64"/>
  <c r="E43" i="64"/>
  <c r="E44" i="64"/>
  <c r="C44" i="64" s="1"/>
  <c r="E45" i="64"/>
  <c r="E46" i="64"/>
  <c r="E47" i="64"/>
  <c r="E48" i="64"/>
  <c r="C48" i="64" s="1"/>
  <c r="E49" i="64"/>
  <c r="E50" i="64"/>
  <c r="E51" i="64"/>
  <c r="E52" i="64"/>
  <c r="C52" i="64" s="1"/>
  <c r="E53" i="64"/>
  <c r="E54" i="64"/>
  <c r="B54" i="64" s="1"/>
  <c r="E55" i="64"/>
  <c r="E56" i="64"/>
  <c r="C56" i="64" s="1"/>
  <c r="E57" i="64"/>
  <c r="E58" i="64"/>
  <c r="E59" i="64"/>
  <c r="E60" i="64"/>
  <c r="C60" i="64" s="1"/>
  <c r="E61" i="64"/>
  <c r="E62" i="64"/>
  <c r="E63" i="64"/>
  <c r="E64" i="64"/>
  <c r="C64" i="64" s="1"/>
  <c r="E65" i="64"/>
  <c r="E66" i="64"/>
  <c r="E67" i="64"/>
  <c r="E68" i="64"/>
  <c r="C68" i="64" s="1"/>
  <c r="E69" i="64"/>
  <c r="E70" i="64"/>
  <c r="D70" i="64" s="1"/>
  <c r="E71" i="64"/>
  <c r="E72" i="64"/>
  <c r="C72" i="64" s="1"/>
  <c r="E73" i="64"/>
  <c r="E74" i="64"/>
  <c r="E75" i="64"/>
  <c r="D75" i="64" s="1"/>
  <c r="E76" i="64"/>
  <c r="C76" i="64" s="1"/>
  <c r="E77" i="64"/>
  <c r="E78" i="64"/>
  <c r="E79" i="64"/>
  <c r="E80" i="64"/>
  <c r="E81" i="64"/>
  <c r="E82" i="64"/>
  <c r="D82" i="64" s="1"/>
  <c r="E83" i="64"/>
  <c r="D83" i="64" s="1"/>
  <c r="E84" i="64"/>
  <c r="E85" i="64"/>
  <c r="E86" i="64"/>
  <c r="E87" i="64"/>
  <c r="E89" i="64"/>
  <c r="E90" i="64"/>
  <c r="E91" i="64"/>
  <c r="E92" i="64"/>
  <c r="E93" i="64"/>
  <c r="E94" i="64"/>
  <c r="E3" i="64"/>
  <c r="E4" i="64"/>
  <c r="E5" i="64"/>
  <c r="E6" i="64"/>
  <c r="E7" i="64"/>
  <c r="E8" i="64"/>
  <c r="E9" i="64"/>
  <c r="E10" i="64"/>
  <c r="E11" i="64"/>
  <c r="E12" i="64"/>
  <c r="E13" i="64"/>
  <c r="E14" i="64"/>
  <c r="E15" i="64"/>
  <c r="E16" i="64"/>
  <c r="E2" i="64"/>
  <c r="I112" i="64" l="1"/>
  <c r="C112" i="64"/>
  <c r="G112" i="64"/>
  <c r="C110" i="64"/>
  <c r="G110" i="64"/>
  <c r="I108" i="64"/>
  <c r="C108" i="64"/>
  <c r="G108" i="64"/>
  <c r="G106" i="64"/>
  <c r="C106" i="64"/>
  <c r="G111" i="64"/>
  <c r="C111" i="64"/>
  <c r="G109" i="64"/>
  <c r="C109" i="64"/>
  <c r="G107" i="64"/>
  <c r="C107" i="64"/>
  <c r="B105" i="64"/>
  <c r="C105" i="64"/>
  <c r="F93" i="64"/>
  <c r="C93" i="64"/>
  <c r="B93" i="64"/>
  <c r="I93" i="64"/>
  <c r="D93" i="64"/>
  <c r="F91" i="64"/>
  <c r="C91" i="64"/>
  <c r="B91" i="64"/>
  <c r="I91" i="64"/>
  <c r="D91" i="64"/>
  <c r="F89" i="64"/>
  <c r="C89" i="64"/>
  <c r="B89" i="64"/>
  <c r="I89" i="64"/>
  <c r="D89" i="64"/>
  <c r="I86" i="64"/>
  <c r="D86" i="64"/>
  <c r="F86" i="64"/>
  <c r="B86" i="64"/>
  <c r="C86" i="64"/>
  <c r="I84" i="64"/>
  <c r="D84" i="64"/>
  <c r="F84" i="64"/>
  <c r="C84" i="64"/>
  <c r="B84" i="64"/>
  <c r="C80" i="64"/>
  <c r="B80" i="64"/>
  <c r="I100" i="64"/>
  <c r="D100" i="64"/>
  <c r="F100" i="64"/>
  <c r="C100" i="64"/>
  <c r="B100" i="64"/>
  <c r="I98" i="64"/>
  <c r="D98" i="64"/>
  <c r="F98" i="64"/>
  <c r="B98" i="64"/>
  <c r="C98" i="64"/>
  <c r="I96" i="64"/>
  <c r="D96" i="64"/>
  <c r="F96" i="64"/>
  <c r="C96" i="64"/>
  <c r="B96" i="64"/>
  <c r="F103" i="64"/>
  <c r="C103" i="64"/>
  <c r="B103" i="64"/>
  <c r="I103" i="64"/>
  <c r="D103" i="64"/>
  <c r="F101" i="64"/>
  <c r="C101" i="64"/>
  <c r="B101" i="64"/>
  <c r="I101" i="64"/>
  <c r="D101" i="64"/>
  <c r="I94" i="64"/>
  <c r="D94" i="64"/>
  <c r="F94" i="64"/>
  <c r="B94" i="64"/>
  <c r="C94" i="64"/>
  <c r="I92" i="64"/>
  <c r="D92" i="64"/>
  <c r="F92" i="64"/>
  <c r="C92" i="64"/>
  <c r="B92" i="64"/>
  <c r="I90" i="64"/>
  <c r="D90" i="64"/>
  <c r="F90" i="64"/>
  <c r="B90" i="64"/>
  <c r="C90" i="64"/>
  <c r="F87" i="64"/>
  <c r="C87" i="64"/>
  <c r="B87" i="64"/>
  <c r="I87" i="64"/>
  <c r="D87" i="64"/>
  <c r="F85" i="64"/>
  <c r="C85" i="64"/>
  <c r="B85" i="64"/>
  <c r="I85" i="64"/>
  <c r="D85" i="64"/>
  <c r="F99" i="64"/>
  <c r="C99" i="64"/>
  <c r="B99" i="64"/>
  <c r="I99" i="64"/>
  <c r="D99" i="64"/>
  <c r="F97" i="64"/>
  <c r="C97" i="64"/>
  <c r="B97" i="64"/>
  <c r="I97" i="64"/>
  <c r="D97" i="64"/>
  <c r="F95" i="64"/>
  <c r="C95" i="64"/>
  <c r="B95" i="64"/>
  <c r="I95" i="64"/>
  <c r="D95" i="64"/>
  <c r="I104" i="64"/>
  <c r="D104" i="64"/>
  <c r="F104" i="64"/>
  <c r="C104" i="64"/>
  <c r="B104" i="64"/>
  <c r="I102" i="64"/>
  <c r="D102" i="64"/>
  <c r="F102" i="64"/>
  <c r="B102" i="64"/>
  <c r="C102" i="64"/>
  <c r="B116" i="64"/>
  <c r="F112" i="64"/>
  <c r="B114" i="64"/>
  <c r="F116" i="64"/>
  <c r="F108" i="64"/>
  <c r="I116" i="64"/>
  <c r="I117" i="64"/>
  <c r="F117" i="64"/>
  <c r="I115" i="64"/>
  <c r="F115" i="64"/>
  <c r="I113" i="64"/>
  <c r="F113" i="64"/>
  <c r="I111" i="64"/>
  <c r="F111" i="64"/>
  <c r="I109" i="64"/>
  <c r="F109" i="64"/>
  <c r="I107" i="64"/>
  <c r="F107" i="64"/>
  <c r="I105" i="64"/>
  <c r="G105" i="64"/>
  <c r="F105" i="64"/>
  <c r="B111" i="64"/>
  <c r="B107" i="64"/>
  <c r="D115" i="64"/>
  <c r="D111" i="64"/>
  <c r="D107" i="64"/>
  <c r="D112" i="64"/>
  <c r="B112" i="64"/>
  <c r="D110" i="64"/>
  <c r="B110" i="64"/>
  <c r="D108" i="64"/>
  <c r="B108" i="64"/>
  <c r="D106" i="64"/>
  <c r="B106" i="64"/>
  <c r="B117" i="64"/>
  <c r="B115" i="64"/>
  <c r="B113" i="64"/>
  <c r="B109" i="64"/>
  <c r="D117" i="64"/>
  <c r="D113" i="64"/>
  <c r="D109" i="64"/>
  <c r="D105" i="64"/>
  <c r="F114" i="64"/>
  <c r="F110" i="64"/>
  <c r="F106" i="64"/>
  <c r="I114" i="64"/>
  <c r="I110" i="64"/>
  <c r="I106" i="64"/>
  <c r="I2" i="64"/>
  <c r="G2" i="64"/>
  <c r="D2" i="64"/>
  <c r="C2" i="64"/>
  <c r="B2" i="64"/>
  <c r="F2" i="64"/>
  <c r="I15" i="64"/>
  <c r="D15" i="64"/>
  <c r="C15" i="64"/>
  <c r="G15" i="64"/>
  <c r="F15" i="64"/>
  <c r="I13" i="64"/>
  <c r="G13" i="64"/>
  <c r="D13" i="64"/>
  <c r="C13" i="64"/>
  <c r="F13" i="64"/>
  <c r="I11" i="64"/>
  <c r="D11" i="64"/>
  <c r="C11" i="64"/>
  <c r="F11" i="64"/>
  <c r="G11" i="64"/>
  <c r="I9" i="64"/>
  <c r="G9" i="64"/>
  <c r="D9" i="64"/>
  <c r="C9" i="64"/>
  <c r="F9" i="64"/>
  <c r="I7" i="64"/>
  <c r="D7" i="64"/>
  <c r="C7" i="64"/>
  <c r="G7" i="64"/>
  <c r="F7" i="64"/>
  <c r="I5" i="64"/>
  <c r="G5" i="64"/>
  <c r="D5" i="64"/>
  <c r="C5" i="64"/>
  <c r="F5" i="64"/>
  <c r="I3" i="64"/>
  <c r="D3" i="64"/>
  <c r="C3" i="64"/>
  <c r="F3" i="64"/>
  <c r="G3" i="64"/>
  <c r="G93" i="64"/>
  <c r="G91" i="64"/>
  <c r="G89" i="64"/>
  <c r="G87" i="64"/>
  <c r="G85" i="64"/>
  <c r="I83" i="64"/>
  <c r="G83" i="64"/>
  <c r="F83" i="64"/>
  <c r="C83" i="64"/>
  <c r="I81" i="64"/>
  <c r="G81" i="64"/>
  <c r="D81" i="64"/>
  <c r="C81" i="64"/>
  <c r="F81" i="64"/>
  <c r="I79" i="64"/>
  <c r="G79" i="64"/>
  <c r="D79" i="64"/>
  <c r="F79" i="64"/>
  <c r="C79" i="64"/>
  <c r="I77" i="64"/>
  <c r="G77" i="64"/>
  <c r="D77" i="64"/>
  <c r="C77" i="64"/>
  <c r="F77" i="64"/>
  <c r="I75" i="64"/>
  <c r="G75" i="64"/>
  <c r="F75" i="64"/>
  <c r="C75" i="64"/>
  <c r="I73" i="64"/>
  <c r="G73" i="64"/>
  <c r="D73" i="64"/>
  <c r="C73" i="64"/>
  <c r="F73" i="64"/>
  <c r="I71" i="64"/>
  <c r="G71" i="64"/>
  <c r="D71" i="64"/>
  <c r="F71" i="64"/>
  <c r="C71" i="64"/>
  <c r="I69" i="64"/>
  <c r="G69" i="64"/>
  <c r="D69" i="64"/>
  <c r="C69" i="64"/>
  <c r="F69" i="64"/>
  <c r="I67" i="64"/>
  <c r="D67" i="64"/>
  <c r="F67" i="64"/>
  <c r="C67" i="64"/>
  <c r="G67" i="64"/>
  <c r="I65" i="64"/>
  <c r="G65" i="64"/>
  <c r="D65" i="64"/>
  <c r="C65" i="64"/>
  <c r="F65" i="64"/>
  <c r="I63" i="64"/>
  <c r="D63" i="64"/>
  <c r="G63" i="64"/>
  <c r="F63" i="64"/>
  <c r="C63" i="64"/>
  <c r="I61" i="64"/>
  <c r="G61" i="64"/>
  <c r="D61" i="64"/>
  <c r="C61" i="64"/>
  <c r="F61" i="64"/>
  <c r="I59" i="64"/>
  <c r="D59" i="64"/>
  <c r="F59" i="64"/>
  <c r="C59" i="64"/>
  <c r="G59" i="64"/>
  <c r="I57" i="64"/>
  <c r="G57" i="64"/>
  <c r="D57" i="64"/>
  <c r="C57" i="64"/>
  <c r="F57" i="64"/>
  <c r="I55" i="64"/>
  <c r="D55" i="64"/>
  <c r="G55" i="64"/>
  <c r="F55" i="64"/>
  <c r="C55" i="64"/>
  <c r="I53" i="64"/>
  <c r="G53" i="64"/>
  <c r="D53" i="64"/>
  <c r="C53" i="64"/>
  <c r="F53" i="64"/>
  <c r="I51" i="64"/>
  <c r="D51" i="64"/>
  <c r="F51" i="64"/>
  <c r="C51" i="64"/>
  <c r="G51" i="64"/>
  <c r="I49" i="64"/>
  <c r="G49" i="64"/>
  <c r="D49" i="64"/>
  <c r="C49" i="64"/>
  <c r="F49" i="64"/>
  <c r="I47" i="64"/>
  <c r="D47" i="64"/>
  <c r="G47" i="64"/>
  <c r="F47" i="64"/>
  <c r="C47" i="64"/>
  <c r="I45" i="64"/>
  <c r="G45" i="64"/>
  <c r="D45" i="64"/>
  <c r="C45" i="64"/>
  <c r="F45" i="64"/>
  <c r="I43" i="64"/>
  <c r="D43" i="64"/>
  <c r="F43" i="64"/>
  <c r="C43" i="64"/>
  <c r="G43" i="64"/>
  <c r="I41" i="64"/>
  <c r="G41" i="64"/>
  <c r="D41" i="64"/>
  <c r="C41" i="64"/>
  <c r="F41" i="64"/>
  <c r="I39" i="64"/>
  <c r="D39" i="64"/>
  <c r="G39" i="64"/>
  <c r="F39" i="64"/>
  <c r="C39" i="64"/>
  <c r="I37" i="64"/>
  <c r="G37" i="64"/>
  <c r="D37" i="64"/>
  <c r="C37" i="64"/>
  <c r="F37" i="64"/>
  <c r="I35" i="64"/>
  <c r="D35" i="64"/>
  <c r="F35" i="64"/>
  <c r="C35" i="64"/>
  <c r="G35" i="64"/>
  <c r="I33" i="64"/>
  <c r="G33" i="64"/>
  <c r="D33" i="64"/>
  <c r="C33" i="64"/>
  <c r="F33" i="64"/>
  <c r="I31" i="64"/>
  <c r="D31" i="64"/>
  <c r="G31" i="64"/>
  <c r="F31" i="64"/>
  <c r="C31" i="64"/>
  <c r="I29" i="64"/>
  <c r="G29" i="64"/>
  <c r="D29" i="64"/>
  <c r="C29" i="64"/>
  <c r="F29" i="64"/>
  <c r="I27" i="64"/>
  <c r="D27" i="64"/>
  <c r="F27" i="64"/>
  <c r="C27" i="64"/>
  <c r="G27" i="64"/>
  <c r="I25" i="64"/>
  <c r="G25" i="64"/>
  <c r="D25" i="64"/>
  <c r="C25" i="64"/>
  <c r="F25" i="64"/>
  <c r="I23" i="64"/>
  <c r="D23" i="64"/>
  <c r="G23" i="64"/>
  <c r="F23" i="64"/>
  <c r="C23" i="64"/>
  <c r="I21" i="64"/>
  <c r="G21" i="64"/>
  <c r="D21" i="64"/>
  <c r="C21" i="64"/>
  <c r="F21" i="64"/>
  <c r="I19" i="64"/>
  <c r="D19" i="64"/>
  <c r="F19" i="64"/>
  <c r="C19" i="64"/>
  <c r="G19" i="64"/>
  <c r="I17" i="64"/>
  <c r="G17" i="64"/>
  <c r="D17" i="64"/>
  <c r="C17" i="64"/>
  <c r="F17" i="64"/>
  <c r="G99" i="64"/>
  <c r="G97" i="64"/>
  <c r="G95" i="64"/>
  <c r="G104" i="64"/>
  <c r="B81" i="64"/>
  <c r="B77" i="64"/>
  <c r="B73" i="64"/>
  <c r="B69" i="64"/>
  <c r="B65" i="64"/>
  <c r="B61" i="64"/>
  <c r="B57" i="64"/>
  <c r="B53" i="64"/>
  <c r="B49" i="64"/>
  <c r="B45" i="64"/>
  <c r="B41" i="64"/>
  <c r="B37" i="64"/>
  <c r="B33" i="64"/>
  <c r="B29" i="64"/>
  <c r="B25" i="64"/>
  <c r="B21" i="64"/>
  <c r="B17" i="64"/>
  <c r="B13" i="64"/>
  <c r="B9" i="64"/>
  <c r="B5" i="64"/>
  <c r="G16" i="64"/>
  <c r="I16" i="64"/>
  <c r="F16" i="64"/>
  <c r="D16" i="64"/>
  <c r="B16" i="64"/>
  <c r="C16" i="64"/>
  <c r="G14" i="64"/>
  <c r="F14" i="64"/>
  <c r="I14" i="64"/>
  <c r="C14" i="64"/>
  <c r="B14" i="64"/>
  <c r="D14" i="64"/>
  <c r="G12" i="64"/>
  <c r="I12" i="64"/>
  <c r="F12" i="64"/>
  <c r="D12" i="64"/>
  <c r="B12" i="64"/>
  <c r="C12" i="64"/>
  <c r="G10" i="64"/>
  <c r="F10" i="64"/>
  <c r="C10" i="64"/>
  <c r="B10" i="64"/>
  <c r="I10" i="64"/>
  <c r="D10" i="64"/>
  <c r="G8" i="64"/>
  <c r="I8" i="64"/>
  <c r="F8" i="64"/>
  <c r="D8" i="64"/>
  <c r="B8" i="64"/>
  <c r="C8" i="64"/>
  <c r="G6" i="64"/>
  <c r="F6" i="64"/>
  <c r="I6" i="64"/>
  <c r="C6" i="64"/>
  <c r="B6" i="64"/>
  <c r="D6" i="64"/>
  <c r="G4" i="64"/>
  <c r="I4" i="64"/>
  <c r="F4" i="64"/>
  <c r="D4" i="64"/>
  <c r="B4" i="64"/>
  <c r="C4" i="64"/>
  <c r="G94" i="64"/>
  <c r="G92" i="64"/>
  <c r="G90" i="64"/>
  <c r="G88" i="64"/>
  <c r="G86" i="64"/>
  <c r="G84" i="64"/>
  <c r="F82" i="64"/>
  <c r="G82" i="64"/>
  <c r="B82" i="64"/>
  <c r="I82" i="64"/>
  <c r="I80" i="64"/>
  <c r="F80" i="64"/>
  <c r="D80" i="64"/>
  <c r="G80" i="64"/>
  <c r="F78" i="64"/>
  <c r="I78" i="64"/>
  <c r="G78" i="64"/>
  <c r="B78" i="64"/>
  <c r="D78" i="64"/>
  <c r="I76" i="64"/>
  <c r="F76" i="64"/>
  <c r="D76" i="64"/>
  <c r="B76" i="64"/>
  <c r="G76" i="64"/>
  <c r="F74" i="64"/>
  <c r="G74" i="64"/>
  <c r="B74" i="64"/>
  <c r="I74" i="64"/>
  <c r="D74" i="64"/>
  <c r="I72" i="64"/>
  <c r="F72" i="64"/>
  <c r="D72" i="64"/>
  <c r="B72" i="64"/>
  <c r="G72" i="64"/>
  <c r="F70" i="64"/>
  <c r="I70" i="64"/>
  <c r="G70" i="64"/>
  <c r="B70" i="64"/>
  <c r="G68" i="64"/>
  <c r="I68" i="64"/>
  <c r="F68" i="64"/>
  <c r="D68" i="64"/>
  <c r="B68" i="64"/>
  <c r="G66" i="64"/>
  <c r="F66" i="64"/>
  <c r="B66" i="64"/>
  <c r="I66" i="64"/>
  <c r="D66" i="64"/>
  <c r="G64" i="64"/>
  <c r="I64" i="64"/>
  <c r="F64" i="64"/>
  <c r="D64" i="64"/>
  <c r="B64" i="64"/>
  <c r="G62" i="64"/>
  <c r="F62" i="64"/>
  <c r="I62" i="64"/>
  <c r="B62" i="64"/>
  <c r="D62" i="64"/>
  <c r="G60" i="64"/>
  <c r="I60" i="64"/>
  <c r="F60" i="64"/>
  <c r="D60" i="64"/>
  <c r="B60" i="64"/>
  <c r="G58" i="64"/>
  <c r="F58" i="64"/>
  <c r="B58" i="64"/>
  <c r="I58" i="64"/>
  <c r="D58" i="64"/>
  <c r="G56" i="64"/>
  <c r="I56" i="64"/>
  <c r="F56" i="64"/>
  <c r="D56" i="64"/>
  <c r="B56" i="64"/>
  <c r="G54" i="64"/>
  <c r="F54" i="64"/>
  <c r="I54" i="64"/>
  <c r="D54" i="64"/>
  <c r="G52" i="64"/>
  <c r="I52" i="64"/>
  <c r="F52" i="64"/>
  <c r="D52" i="64"/>
  <c r="B52" i="64"/>
  <c r="G50" i="64"/>
  <c r="F50" i="64"/>
  <c r="B50" i="64"/>
  <c r="I50" i="64"/>
  <c r="D50" i="64"/>
  <c r="G48" i="64"/>
  <c r="I48" i="64"/>
  <c r="F48" i="64"/>
  <c r="D48" i="64"/>
  <c r="B48" i="64"/>
  <c r="G46" i="64"/>
  <c r="F46" i="64"/>
  <c r="I46" i="64"/>
  <c r="B46" i="64"/>
  <c r="D46" i="64"/>
  <c r="G44" i="64"/>
  <c r="I44" i="64"/>
  <c r="F44" i="64"/>
  <c r="D44" i="64"/>
  <c r="B44" i="64"/>
  <c r="G42" i="64"/>
  <c r="F42" i="64"/>
  <c r="B42" i="64"/>
  <c r="I42" i="64"/>
  <c r="D42" i="64"/>
  <c r="G40" i="64"/>
  <c r="I40" i="64"/>
  <c r="F40" i="64"/>
  <c r="D40" i="64"/>
  <c r="B40" i="64"/>
  <c r="G38" i="64"/>
  <c r="F38" i="64"/>
  <c r="I38" i="64"/>
  <c r="B38" i="64"/>
  <c r="D38" i="64"/>
  <c r="G36" i="64"/>
  <c r="I36" i="64"/>
  <c r="F36" i="64"/>
  <c r="D36" i="64"/>
  <c r="B36" i="64"/>
  <c r="G34" i="64"/>
  <c r="F34" i="64"/>
  <c r="B34" i="64"/>
  <c r="I34" i="64"/>
  <c r="D34" i="64"/>
  <c r="G32" i="64"/>
  <c r="I32" i="64"/>
  <c r="F32" i="64"/>
  <c r="D32" i="64"/>
  <c r="B32" i="64"/>
  <c r="G30" i="64"/>
  <c r="F30" i="64"/>
  <c r="I30" i="64"/>
  <c r="B30" i="64"/>
  <c r="D30" i="64"/>
  <c r="G28" i="64"/>
  <c r="I28" i="64"/>
  <c r="F28" i="64"/>
  <c r="D28" i="64"/>
  <c r="B28" i="64"/>
  <c r="G26" i="64"/>
  <c r="F26" i="64"/>
  <c r="B26" i="64"/>
  <c r="I26" i="64"/>
  <c r="D26" i="64"/>
  <c r="G24" i="64"/>
  <c r="I24" i="64"/>
  <c r="F24" i="64"/>
  <c r="D24" i="64"/>
  <c r="B24" i="64"/>
  <c r="G22" i="64"/>
  <c r="F22" i="64"/>
  <c r="I22" i="64"/>
  <c r="B22" i="64"/>
  <c r="D22" i="64"/>
  <c r="G20" i="64"/>
  <c r="I20" i="64"/>
  <c r="F20" i="64"/>
  <c r="D20" i="64"/>
  <c r="B20" i="64"/>
  <c r="G18" i="64"/>
  <c r="F18" i="64"/>
  <c r="B18" i="64"/>
  <c r="I18" i="64"/>
  <c r="D18" i="64"/>
  <c r="C18" i="64"/>
  <c r="G100" i="64"/>
  <c r="G98" i="64"/>
  <c r="G96" i="64"/>
  <c r="G103" i="64"/>
  <c r="G101" i="64"/>
  <c r="B83" i="64"/>
  <c r="B79" i="64"/>
  <c r="B75" i="64"/>
  <c r="B71" i="64"/>
  <c r="B67" i="64"/>
  <c r="B63" i="64"/>
  <c r="B59" i="64"/>
  <c r="B55" i="64"/>
  <c r="B51" i="64"/>
  <c r="B47" i="64"/>
  <c r="B43" i="64"/>
  <c r="B39" i="64"/>
  <c r="B35" i="64"/>
  <c r="B31" i="64"/>
  <c r="B27" i="64"/>
  <c r="B23" i="64"/>
  <c r="B19" i="64"/>
  <c r="B15" i="64"/>
  <c r="B11" i="64"/>
  <c r="B7" i="64"/>
  <c r="B3" i="64"/>
  <c r="C82" i="64"/>
  <c r="C78" i="64"/>
  <c r="C74" i="64"/>
  <c r="C70" i="64"/>
  <c r="C66" i="64"/>
  <c r="C62" i="64"/>
  <c r="C58" i="64"/>
  <c r="C54" i="64"/>
  <c r="C50" i="64"/>
  <c r="C46" i="64"/>
  <c r="C42" i="64"/>
  <c r="C38" i="64"/>
  <c r="C34" i="64"/>
  <c r="C30" i="64"/>
  <c r="C26" i="64"/>
  <c r="C22" i="64"/>
  <c r="G102" i="64"/>
  <c r="G113" i="64"/>
  <c r="G116" i="64"/>
  <c r="G117" i="64"/>
  <c r="E118" i="64"/>
  <c r="E119" i="64"/>
  <c r="E120" i="64"/>
  <c r="E121" i="64"/>
  <c r="E122" i="64"/>
  <c r="E123" i="64"/>
  <c r="E124" i="64"/>
  <c r="E125" i="64"/>
  <c r="E126" i="64"/>
  <c r="E127" i="64"/>
  <c r="E128" i="64"/>
  <c r="E129" i="64"/>
  <c r="E130" i="64"/>
  <c r="E131" i="64"/>
  <c r="E132" i="64"/>
  <c r="E133" i="64"/>
  <c r="E134" i="64"/>
  <c r="E135" i="64"/>
  <c r="E136" i="64"/>
  <c r="E137" i="64"/>
  <c r="E138" i="64"/>
  <c r="E139" i="64"/>
  <c r="E140" i="64"/>
  <c r="E141" i="64"/>
  <c r="E142" i="64"/>
  <c r="E143" i="64"/>
  <c r="E144" i="64"/>
  <c r="E145" i="64"/>
  <c r="E146" i="64"/>
  <c r="E147" i="64"/>
  <c r="E148" i="64"/>
  <c r="E149" i="64"/>
  <c r="E193" i="64"/>
  <c r="E192" i="64"/>
  <c r="E191" i="64"/>
  <c r="E190" i="64"/>
  <c r="E189" i="64"/>
  <c r="E188" i="64"/>
  <c r="E187" i="64"/>
  <c r="E186" i="64"/>
  <c r="E185" i="64"/>
  <c r="E184" i="64"/>
  <c r="E183" i="64"/>
  <c r="E182" i="64"/>
  <c r="E181" i="64"/>
  <c r="E180" i="64"/>
  <c r="E179" i="64"/>
  <c r="E178" i="64"/>
  <c r="E177" i="64"/>
  <c r="E176" i="64"/>
  <c r="E175" i="64"/>
  <c r="E174" i="64"/>
  <c r="E173" i="64"/>
  <c r="E172" i="64"/>
  <c r="E171" i="64"/>
  <c r="E170" i="64"/>
  <c r="E169" i="64"/>
  <c r="E168" i="64"/>
  <c r="E167" i="64"/>
  <c r="E166" i="64"/>
  <c r="E165" i="64"/>
  <c r="E164" i="64"/>
  <c r="E163" i="64"/>
  <c r="E162" i="64"/>
  <c r="E161" i="64"/>
  <c r="E160" i="64"/>
  <c r="E159" i="64"/>
  <c r="E158" i="64"/>
  <c r="E157" i="64"/>
  <c r="E156" i="64"/>
  <c r="E155" i="64"/>
  <c r="E154" i="64"/>
  <c r="E153" i="64"/>
  <c r="E152" i="64"/>
  <c r="E151" i="64"/>
  <c r="E150" i="64"/>
  <c r="C120" i="64"/>
  <c r="G115" i="64"/>
  <c r="I150" i="64" l="1"/>
  <c r="F150" i="64"/>
  <c r="D150" i="64"/>
  <c r="G152" i="64"/>
  <c r="I152" i="64"/>
  <c r="F152" i="64"/>
  <c r="D152" i="64"/>
  <c r="I154" i="64"/>
  <c r="F154" i="64"/>
  <c r="D154" i="64"/>
  <c r="G156" i="64"/>
  <c r="I156" i="64"/>
  <c r="F156" i="64"/>
  <c r="D156" i="64"/>
  <c r="I158" i="64"/>
  <c r="F158" i="64"/>
  <c r="D158" i="64"/>
  <c r="I160" i="64"/>
  <c r="F160" i="64"/>
  <c r="D160" i="64"/>
  <c r="C162" i="64"/>
  <c r="I162" i="64"/>
  <c r="F162" i="64"/>
  <c r="D162" i="64"/>
  <c r="I164" i="64"/>
  <c r="F164" i="64"/>
  <c r="D164" i="64"/>
  <c r="C166" i="64"/>
  <c r="I166" i="64"/>
  <c r="F166" i="64"/>
  <c r="D166" i="64"/>
  <c r="I168" i="64"/>
  <c r="F168" i="64"/>
  <c r="D168" i="64"/>
  <c r="I170" i="64"/>
  <c r="F170" i="64"/>
  <c r="D170" i="64"/>
  <c r="G172" i="64"/>
  <c r="I172" i="64"/>
  <c r="F172" i="64"/>
  <c r="D172" i="64"/>
  <c r="C174" i="64"/>
  <c r="I174" i="64"/>
  <c r="F174" i="64"/>
  <c r="D174" i="64"/>
  <c r="I176" i="64"/>
  <c r="F176" i="64"/>
  <c r="D176" i="64"/>
  <c r="I178" i="64"/>
  <c r="F178" i="64"/>
  <c r="D178" i="64"/>
  <c r="I180" i="64"/>
  <c r="F180" i="64"/>
  <c r="D180" i="64"/>
  <c r="C182" i="64"/>
  <c r="I182" i="64"/>
  <c r="F182" i="64"/>
  <c r="D182" i="64"/>
  <c r="I184" i="64"/>
  <c r="F184" i="64"/>
  <c r="D184" i="64"/>
  <c r="I186" i="64"/>
  <c r="F186" i="64"/>
  <c r="D186" i="64"/>
  <c r="I188" i="64"/>
  <c r="F188" i="64"/>
  <c r="D188" i="64"/>
  <c r="C190" i="64"/>
  <c r="I190" i="64"/>
  <c r="F190" i="64"/>
  <c r="D190" i="64"/>
  <c r="I192" i="64"/>
  <c r="F192" i="64"/>
  <c r="D192" i="64"/>
  <c r="G149" i="64"/>
  <c r="I149" i="64"/>
  <c r="F149" i="64"/>
  <c r="D149" i="64"/>
  <c r="C147" i="64"/>
  <c r="I147" i="64"/>
  <c r="F147" i="64"/>
  <c r="D147" i="64"/>
  <c r="G145" i="64"/>
  <c r="I145" i="64"/>
  <c r="F145" i="64"/>
  <c r="D145" i="64"/>
  <c r="I143" i="64"/>
  <c r="F143" i="64"/>
  <c r="D143" i="64"/>
  <c r="I141" i="64"/>
  <c r="F141" i="64"/>
  <c r="D141" i="64"/>
  <c r="B141" i="64"/>
  <c r="I139" i="64"/>
  <c r="F139" i="64"/>
  <c r="D139" i="64"/>
  <c r="B139" i="64"/>
  <c r="I137" i="64"/>
  <c r="F137" i="64"/>
  <c r="D137" i="64"/>
  <c r="B137" i="64"/>
  <c r="I135" i="64"/>
  <c r="F135" i="64"/>
  <c r="D135" i="64"/>
  <c r="B135" i="64"/>
  <c r="I133" i="64"/>
  <c r="F133" i="64"/>
  <c r="D133" i="64"/>
  <c r="B133" i="64"/>
  <c r="I131" i="64"/>
  <c r="F131" i="64"/>
  <c r="D131" i="64"/>
  <c r="B131" i="64"/>
  <c r="I129" i="64"/>
  <c r="F129" i="64"/>
  <c r="D129" i="64"/>
  <c r="B129" i="64"/>
  <c r="I127" i="64"/>
  <c r="F127" i="64"/>
  <c r="D127" i="64"/>
  <c r="B127" i="64"/>
  <c r="I125" i="64"/>
  <c r="F125" i="64"/>
  <c r="D125" i="64"/>
  <c r="B125" i="64"/>
  <c r="I123" i="64"/>
  <c r="F123" i="64"/>
  <c r="D123" i="64"/>
  <c r="B123" i="64"/>
  <c r="I121" i="64"/>
  <c r="F121" i="64"/>
  <c r="D121" i="64"/>
  <c r="B121" i="64"/>
  <c r="I119" i="64"/>
  <c r="F119" i="64"/>
  <c r="D119" i="64"/>
  <c r="B119" i="64"/>
  <c r="G151" i="64"/>
  <c r="I151" i="64"/>
  <c r="F151" i="64"/>
  <c r="D151" i="64"/>
  <c r="G153" i="64"/>
  <c r="I153" i="64"/>
  <c r="F153" i="64"/>
  <c r="D153" i="64"/>
  <c r="I155" i="64"/>
  <c r="F155" i="64"/>
  <c r="D155" i="64"/>
  <c r="I157" i="64"/>
  <c r="F157" i="64"/>
  <c r="D157" i="64"/>
  <c r="C159" i="64"/>
  <c r="I159" i="64"/>
  <c r="F159" i="64"/>
  <c r="D159" i="64"/>
  <c r="I161" i="64"/>
  <c r="F161" i="64"/>
  <c r="D161" i="64"/>
  <c r="I163" i="64"/>
  <c r="F163" i="64"/>
  <c r="D163" i="64"/>
  <c r="I165" i="64"/>
  <c r="F165" i="64"/>
  <c r="D165" i="64"/>
  <c r="I167" i="64"/>
  <c r="F167" i="64"/>
  <c r="D167" i="64"/>
  <c r="I169" i="64"/>
  <c r="F169" i="64"/>
  <c r="D169" i="64"/>
  <c r="I171" i="64"/>
  <c r="F171" i="64"/>
  <c r="D171" i="64"/>
  <c r="I173" i="64"/>
  <c r="F173" i="64"/>
  <c r="D173" i="64"/>
  <c r="I175" i="64"/>
  <c r="F175" i="64"/>
  <c r="D175" i="64"/>
  <c r="I177" i="64"/>
  <c r="F177" i="64"/>
  <c r="D177" i="64"/>
  <c r="I179" i="64"/>
  <c r="F179" i="64"/>
  <c r="D179" i="64"/>
  <c r="I181" i="64"/>
  <c r="F181" i="64"/>
  <c r="D181" i="64"/>
  <c r="I183" i="64"/>
  <c r="F183" i="64"/>
  <c r="D183" i="64"/>
  <c r="I185" i="64"/>
  <c r="F185" i="64"/>
  <c r="D185" i="64"/>
  <c r="I187" i="64"/>
  <c r="F187" i="64"/>
  <c r="D187" i="64"/>
  <c r="I189" i="64"/>
  <c r="F189" i="64"/>
  <c r="D189" i="64"/>
  <c r="I191" i="64"/>
  <c r="F191" i="64"/>
  <c r="D191" i="64"/>
  <c r="I193" i="64"/>
  <c r="F193" i="64"/>
  <c r="D193" i="64"/>
  <c r="G148" i="64"/>
  <c r="I148" i="64"/>
  <c r="F148" i="64"/>
  <c r="D148" i="64"/>
  <c r="I146" i="64"/>
  <c r="F146" i="64"/>
  <c r="D146" i="64"/>
  <c r="G144" i="64"/>
  <c r="I144" i="64"/>
  <c r="F144" i="64"/>
  <c r="D144" i="64"/>
  <c r="B142" i="64"/>
  <c r="I142" i="64"/>
  <c r="F142" i="64"/>
  <c r="D142" i="64"/>
  <c r="G140" i="64"/>
  <c r="I140" i="64"/>
  <c r="F140" i="64"/>
  <c r="B140" i="64"/>
  <c r="D140" i="64"/>
  <c r="B138" i="64"/>
  <c r="I138" i="64"/>
  <c r="F138" i="64"/>
  <c r="D138" i="64"/>
  <c r="G136" i="64"/>
  <c r="I136" i="64"/>
  <c r="F136" i="64"/>
  <c r="B136" i="64"/>
  <c r="D136" i="64"/>
  <c r="D134" i="64"/>
  <c r="B134" i="64"/>
  <c r="I134" i="64"/>
  <c r="F134" i="64"/>
  <c r="G132" i="64"/>
  <c r="D132" i="64"/>
  <c r="I132" i="64"/>
  <c r="F132" i="64"/>
  <c r="B132" i="64"/>
  <c r="D130" i="64"/>
  <c r="B130" i="64"/>
  <c r="I130" i="64"/>
  <c r="F130" i="64"/>
  <c r="G128" i="64"/>
  <c r="D128" i="64"/>
  <c r="I128" i="64"/>
  <c r="F128" i="64"/>
  <c r="B128" i="64"/>
  <c r="D126" i="64"/>
  <c r="B126" i="64"/>
  <c r="I126" i="64"/>
  <c r="F126" i="64"/>
  <c r="G124" i="64"/>
  <c r="D124" i="64"/>
  <c r="I124" i="64"/>
  <c r="F124" i="64"/>
  <c r="B124" i="64"/>
  <c r="D122" i="64"/>
  <c r="B122" i="64"/>
  <c r="I122" i="64"/>
  <c r="F122" i="64"/>
  <c r="G120" i="64"/>
  <c r="D120" i="64"/>
  <c r="I120" i="64"/>
  <c r="F120" i="64"/>
  <c r="B120" i="64"/>
  <c r="D118" i="64"/>
  <c r="B118" i="64"/>
  <c r="I118" i="64"/>
  <c r="F118" i="64"/>
  <c r="C113" i="64"/>
  <c r="C137" i="64"/>
  <c r="C136" i="64"/>
  <c r="C144" i="64"/>
  <c r="G170" i="64"/>
  <c r="C170" i="64"/>
  <c r="G147" i="64"/>
  <c r="C119" i="64"/>
  <c r="C115" i="64"/>
  <c r="C117" i="64"/>
  <c r="G119" i="64"/>
  <c r="C160" i="64"/>
  <c r="C149" i="64"/>
  <c r="C145" i="64"/>
  <c r="B143" i="64"/>
  <c r="G135" i="64"/>
  <c r="C135" i="64"/>
  <c r="G133" i="64"/>
  <c r="C133" i="64"/>
  <c r="G131" i="64"/>
  <c r="C131" i="64"/>
  <c r="G129" i="64"/>
  <c r="C129" i="64"/>
  <c r="G127" i="64"/>
  <c r="C127" i="64"/>
  <c r="G125" i="64"/>
  <c r="C125" i="64"/>
  <c r="G123" i="64"/>
  <c r="C123" i="64"/>
  <c r="G121" i="64"/>
  <c r="C121" i="64"/>
  <c r="G162" i="64"/>
  <c r="B162" i="64"/>
  <c r="G164" i="64"/>
  <c r="C164" i="64"/>
  <c r="G183" i="64"/>
  <c r="C183" i="64"/>
  <c r="G187" i="64"/>
  <c r="C187" i="64"/>
  <c r="C128" i="64"/>
  <c r="C151" i="64"/>
  <c r="C152" i="64"/>
  <c r="B170" i="64"/>
  <c r="C172" i="64"/>
  <c r="G155" i="64"/>
  <c r="B155" i="64"/>
  <c r="G157" i="64"/>
  <c r="C157" i="64"/>
  <c r="G167" i="64"/>
  <c r="C167" i="64"/>
  <c r="G191" i="64"/>
  <c r="C191" i="64"/>
  <c r="C155" i="64"/>
  <c r="G175" i="64"/>
  <c r="C175" i="64"/>
  <c r="G179" i="64"/>
  <c r="C179" i="64"/>
  <c r="B149" i="64"/>
  <c r="B147" i="64"/>
  <c r="B145" i="64"/>
  <c r="G143" i="64"/>
  <c r="C143" i="64"/>
  <c r="G141" i="64"/>
  <c r="C141" i="64"/>
  <c r="G139" i="64"/>
  <c r="C139" i="64"/>
  <c r="G137" i="64"/>
  <c r="G171" i="64"/>
  <c r="C171" i="64"/>
  <c r="G186" i="64"/>
  <c r="B186" i="64"/>
  <c r="C188" i="64"/>
  <c r="G159" i="64"/>
  <c r="G163" i="64"/>
  <c r="C163" i="64"/>
  <c r="G178" i="64"/>
  <c r="B178" i="64"/>
  <c r="C180" i="64"/>
  <c r="C116" i="64"/>
  <c r="C124" i="64"/>
  <c r="C132" i="64"/>
  <c r="C140" i="64"/>
  <c r="C148" i="64"/>
  <c r="B151" i="64"/>
  <c r="C153" i="64"/>
  <c r="C156" i="64"/>
  <c r="B159" i="64"/>
  <c r="G166" i="64"/>
  <c r="B166" i="64"/>
  <c r="G168" i="64"/>
  <c r="C168" i="64"/>
  <c r="B174" i="64"/>
  <c r="C176" i="64"/>
  <c r="C178" i="64"/>
  <c r="G182" i="64"/>
  <c r="B182" i="64"/>
  <c r="C184" i="64"/>
  <c r="C186" i="64"/>
  <c r="G190" i="64"/>
  <c r="B190" i="64"/>
  <c r="C192" i="64"/>
  <c r="B153" i="64"/>
  <c r="B157" i="64"/>
  <c r="B164" i="64"/>
  <c r="B168" i="64"/>
  <c r="B172" i="64"/>
  <c r="G174" i="64"/>
  <c r="G176" i="64"/>
  <c r="B176" i="64"/>
  <c r="G180" i="64"/>
  <c r="B180" i="64"/>
  <c r="G184" i="64"/>
  <c r="B184" i="64"/>
  <c r="G188" i="64"/>
  <c r="B188" i="64"/>
  <c r="G192" i="64"/>
  <c r="B192" i="64"/>
  <c r="B146" i="64"/>
  <c r="B150" i="64"/>
  <c r="B154" i="64"/>
  <c r="B158" i="64"/>
  <c r="C114" i="64"/>
  <c r="G114" i="64"/>
  <c r="C118" i="64"/>
  <c r="G118" i="64"/>
  <c r="C122" i="64"/>
  <c r="G122" i="64"/>
  <c r="C126" i="64"/>
  <c r="G126" i="64"/>
  <c r="C130" i="64"/>
  <c r="G130" i="64"/>
  <c r="C134" i="64"/>
  <c r="G134" i="64"/>
  <c r="C138" i="64"/>
  <c r="G138" i="64"/>
  <c r="C142" i="64"/>
  <c r="G142" i="64"/>
  <c r="B144" i="64"/>
  <c r="C146" i="64"/>
  <c r="G146" i="64"/>
  <c r="B148" i="64"/>
  <c r="C150" i="64"/>
  <c r="G150" i="64"/>
  <c r="B152" i="64"/>
  <c r="C154" i="64"/>
  <c r="G154" i="64"/>
  <c r="B156" i="64"/>
  <c r="C158" i="64"/>
  <c r="G158" i="64"/>
  <c r="G160" i="64"/>
  <c r="B160" i="64"/>
  <c r="B161" i="64"/>
  <c r="G161" i="64"/>
  <c r="C161" i="64"/>
  <c r="B165" i="64"/>
  <c r="G165" i="64"/>
  <c r="C165" i="64"/>
  <c r="B169" i="64"/>
  <c r="G169" i="64"/>
  <c r="C169" i="64"/>
  <c r="B173" i="64"/>
  <c r="G173" i="64"/>
  <c r="C173" i="64"/>
  <c r="B177" i="64"/>
  <c r="G177" i="64"/>
  <c r="C177" i="64"/>
  <c r="B181" i="64"/>
  <c r="G181" i="64"/>
  <c r="C181" i="64"/>
  <c r="B185" i="64"/>
  <c r="G185" i="64"/>
  <c r="C185" i="64"/>
  <c r="B189" i="64"/>
  <c r="G189" i="64"/>
  <c r="C189" i="64"/>
  <c r="B193" i="64"/>
  <c r="G193" i="64"/>
  <c r="C193" i="64"/>
  <c r="B163" i="64"/>
  <c r="B167" i="64"/>
  <c r="B171" i="64"/>
  <c r="B175" i="64"/>
  <c r="B179" i="64"/>
  <c r="B183" i="64"/>
  <c r="B187" i="64"/>
  <c r="B191" i="64"/>
  <c r="E29" i="61" l="1"/>
  <c r="E30" i="61"/>
  <c r="E31" i="61"/>
  <c r="E32" i="61"/>
  <c r="E33" i="61"/>
  <c r="E34" i="61"/>
  <c r="E35" i="61"/>
  <c r="E36" i="61"/>
  <c r="E37" i="61"/>
  <c r="E38" i="61"/>
  <c r="E39" i="61"/>
  <c r="E40" i="61"/>
  <c r="E9" i="58"/>
  <c r="E10" i="58"/>
  <c r="E11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111" i="55"/>
  <c r="E112" i="55"/>
  <c r="E113" i="55"/>
  <c r="E114" i="55"/>
  <c r="E115" i="55"/>
  <c r="E116" i="55"/>
  <c r="E117" i="55"/>
  <c r="E118" i="55"/>
  <c r="E119" i="55"/>
  <c r="E120" i="55"/>
  <c r="E121" i="55"/>
  <c r="E122" i="55"/>
  <c r="E123" i="55"/>
  <c r="E124" i="55"/>
  <c r="E125" i="55"/>
  <c r="E126" i="55"/>
  <c r="E127" i="55"/>
  <c r="E128" i="55"/>
  <c r="E129" i="55"/>
  <c r="E130" i="55"/>
  <c r="E82" i="55"/>
  <c r="E83" i="55"/>
  <c r="E84" i="55"/>
  <c r="E85" i="55"/>
  <c r="E86" i="55"/>
  <c r="E87" i="55"/>
  <c r="E88" i="55"/>
  <c r="E89" i="55"/>
  <c r="E90" i="55"/>
  <c r="E91" i="55"/>
  <c r="E92" i="55"/>
  <c r="E93" i="55"/>
  <c r="E94" i="55"/>
  <c r="E95" i="55"/>
  <c r="E96" i="55"/>
  <c r="E97" i="55"/>
  <c r="E98" i="55"/>
  <c r="E99" i="55"/>
  <c r="E100" i="55"/>
  <c r="E101" i="55"/>
  <c r="E102" i="55"/>
  <c r="E103" i="55"/>
  <c r="E104" i="55"/>
  <c r="E105" i="55"/>
  <c r="E106" i="55"/>
  <c r="E107" i="55"/>
  <c r="E108" i="55"/>
  <c r="E109" i="55"/>
  <c r="E110" i="55"/>
  <c r="E81" i="55"/>
  <c r="E201" i="55" l="1"/>
  <c r="E202" i="55"/>
  <c r="E200" i="55"/>
  <c r="G200" i="55" s="1"/>
  <c r="E199" i="55"/>
  <c r="E198" i="55"/>
  <c r="B198" i="55" s="1"/>
  <c r="E197" i="55"/>
  <c r="C197" i="55" s="1"/>
  <c r="E196" i="55"/>
  <c r="D196" i="55" s="1"/>
  <c r="E195" i="55"/>
  <c r="E194" i="55"/>
  <c r="F194" i="55" s="1"/>
  <c r="E193" i="55"/>
  <c r="I193" i="55" s="1"/>
  <c r="E192" i="55"/>
  <c r="I192" i="55" s="1"/>
  <c r="E191" i="55"/>
  <c r="D191" i="55" s="1"/>
  <c r="E190" i="55"/>
  <c r="B190" i="55" s="1"/>
  <c r="E189" i="55"/>
  <c r="F189" i="55" s="1"/>
  <c r="E188" i="55"/>
  <c r="D188" i="55" s="1"/>
  <c r="E187" i="55"/>
  <c r="E186" i="55"/>
  <c r="F186" i="55" s="1"/>
  <c r="E185" i="55"/>
  <c r="G185" i="55" s="1"/>
  <c r="E184" i="55"/>
  <c r="E183" i="55"/>
  <c r="I183" i="55" s="1"/>
  <c r="E182" i="55"/>
  <c r="B182" i="55" s="1"/>
  <c r="E181" i="55"/>
  <c r="C181" i="55" s="1"/>
  <c r="E180" i="55"/>
  <c r="D180" i="55" s="1"/>
  <c r="E179" i="55"/>
  <c r="D179" i="55" s="1"/>
  <c r="E178" i="55"/>
  <c r="F178" i="55" s="1"/>
  <c r="E177" i="55"/>
  <c r="G177" i="55" s="1"/>
  <c r="E176" i="55"/>
  <c r="E175" i="55"/>
  <c r="I175" i="55" s="1"/>
  <c r="E174" i="55"/>
  <c r="B174" i="55" s="1"/>
  <c r="E173" i="55"/>
  <c r="C173" i="55" s="1"/>
  <c r="E172" i="55"/>
  <c r="E171" i="55"/>
  <c r="D171" i="55" s="1"/>
  <c r="E170" i="55"/>
  <c r="F170" i="55" s="1"/>
  <c r="E169" i="55"/>
  <c r="I169" i="55" s="1"/>
  <c r="E168" i="55"/>
  <c r="I168" i="55" s="1"/>
  <c r="E167" i="55"/>
  <c r="G167" i="55" s="1"/>
  <c r="E166" i="55"/>
  <c r="B166" i="55" s="1"/>
  <c r="E165" i="55"/>
  <c r="C165" i="55" s="1"/>
  <c r="E164" i="55"/>
  <c r="D164" i="55" s="1"/>
  <c r="E163" i="55"/>
  <c r="D163" i="55" s="1"/>
  <c r="E162" i="55"/>
  <c r="F162" i="55" s="1"/>
  <c r="E161" i="55"/>
  <c r="G161" i="55" s="1"/>
  <c r="E160" i="55"/>
  <c r="B160" i="55" s="1"/>
  <c r="E159" i="55"/>
  <c r="C159" i="55" s="1"/>
  <c r="E158" i="55"/>
  <c r="B158" i="55" s="1"/>
  <c r="E157" i="55"/>
  <c r="D157" i="55" s="1"/>
  <c r="E156" i="55"/>
  <c r="I156" i="55" s="1"/>
  <c r="E155" i="55"/>
  <c r="G155" i="55" s="1"/>
  <c r="E154" i="55"/>
  <c r="F154" i="55" s="1"/>
  <c r="E153" i="55"/>
  <c r="C153" i="55" s="1"/>
  <c r="E152" i="55"/>
  <c r="D152" i="55" s="1"/>
  <c r="E151" i="55"/>
  <c r="C151" i="55" s="1"/>
  <c r="E150" i="55"/>
  <c r="B150" i="55" s="1"/>
  <c r="E149" i="55"/>
  <c r="B149" i="55" s="1"/>
  <c r="E148" i="55"/>
  <c r="I148" i="55" s="1"/>
  <c r="E147" i="55"/>
  <c r="G147" i="55" s="1"/>
  <c r="E146" i="55"/>
  <c r="F146" i="55" s="1"/>
  <c r="E145" i="55"/>
  <c r="C145" i="55" s="1"/>
  <c r="E144" i="55"/>
  <c r="D144" i="55" s="1"/>
  <c r="E143" i="55"/>
  <c r="C143" i="55" s="1"/>
  <c r="E142" i="55"/>
  <c r="D142" i="55" s="1"/>
  <c r="E141" i="55"/>
  <c r="I141" i="55" s="1"/>
  <c r="E140" i="55"/>
  <c r="I140" i="55" s="1"/>
  <c r="E139" i="55"/>
  <c r="E138" i="55"/>
  <c r="D138" i="55" s="1"/>
  <c r="E137" i="55"/>
  <c r="C137" i="55" s="1"/>
  <c r="E136" i="55"/>
  <c r="D136" i="55" s="1"/>
  <c r="E135" i="55"/>
  <c r="C135" i="55" s="1"/>
  <c r="E134" i="55"/>
  <c r="E133" i="55"/>
  <c r="I133" i="55" s="1"/>
  <c r="E132" i="55"/>
  <c r="E131" i="55"/>
  <c r="G131" i="55" s="1"/>
  <c r="B130" i="55"/>
  <c r="I129" i="55"/>
  <c r="C128" i="55"/>
  <c r="B127" i="55"/>
  <c r="B126" i="55"/>
  <c r="B125" i="55"/>
  <c r="C124" i="55"/>
  <c r="F122" i="55"/>
  <c r="G121" i="55"/>
  <c r="F120" i="55"/>
  <c r="I119" i="55"/>
  <c r="F117" i="55"/>
  <c r="B116" i="55"/>
  <c r="C115" i="55"/>
  <c r="G113" i="55"/>
  <c r="D112" i="55"/>
  <c r="F111" i="55"/>
  <c r="I110" i="55"/>
  <c r="C107" i="55"/>
  <c r="D106" i="55"/>
  <c r="C105" i="55"/>
  <c r="B104" i="55"/>
  <c r="D103" i="55"/>
  <c r="F102" i="55"/>
  <c r="D101" i="55"/>
  <c r="I99" i="55"/>
  <c r="G97" i="55"/>
  <c r="B95" i="55"/>
  <c r="D92" i="55"/>
  <c r="C91" i="55"/>
  <c r="F89" i="55"/>
  <c r="G88" i="55"/>
  <c r="F87" i="55"/>
  <c r="D86" i="55"/>
  <c r="D85" i="55"/>
  <c r="C84" i="55"/>
  <c r="B83" i="55"/>
  <c r="B82" i="55"/>
  <c r="I81" i="55"/>
  <c r="E80" i="55"/>
  <c r="G80" i="55" s="1"/>
  <c r="E79" i="55"/>
  <c r="F79" i="55" s="1"/>
  <c r="E78" i="55"/>
  <c r="G78" i="55" s="1"/>
  <c r="E77" i="55"/>
  <c r="D77" i="55" s="1"/>
  <c r="E76" i="55"/>
  <c r="C76" i="55" s="1"/>
  <c r="E75" i="55"/>
  <c r="B75" i="55" s="1"/>
  <c r="E74" i="55"/>
  <c r="D74" i="55" s="1"/>
  <c r="E73" i="55"/>
  <c r="I73" i="55" s="1"/>
  <c r="E72" i="55"/>
  <c r="G72" i="55" s="1"/>
  <c r="E71" i="55"/>
  <c r="F71" i="55" s="1"/>
  <c r="E70" i="55"/>
  <c r="B70" i="55" s="1"/>
  <c r="E69" i="55"/>
  <c r="E68" i="55"/>
  <c r="F68" i="55" s="1"/>
  <c r="E67" i="55"/>
  <c r="B67" i="55" s="1"/>
  <c r="E66" i="55"/>
  <c r="G66" i="55" s="1"/>
  <c r="E65" i="55"/>
  <c r="I65" i="55" s="1"/>
  <c r="E64" i="55"/>
  <c r="G64" i="55" s="1"/>
  <c r="E63" i="55"/>
  <c r="I63" i="55" s="1"/>
  <c r="E62" i="55"/>
  <c r="D62" i="55" s="1"/>
  <c r="E61" i="55"/>
  <c r="D61" i="55" s="1"/>
  <c r="E60" i="55"/>
  <c r="E59" i="55"/>
  <c r="C59" i="55" s="1"/>
  <c r="E58" i="55"/>
  <c r="I58" i="55" s="1"/>
  <c r="E57" i="55"/>
  <c r="G57" i="55" s="1"/>
  <c r="E56" i="55"/>
  <c r="G56" i="55" s="1"/>
  <c r="E55" i="55"/>
  <c r="I55" i="55" s="1"/>
  <c r="E54" i="55"/>
  <c r="D54" i="55" s="1"/>
  <c r="E53" i="55"/>
  <c r="C53" i="55" s="1"/>
  <c r="E52" i="55"/>
  <c r="D52" i="55" s="1"/>
  <c r="E51" i="55"/>
  <c r="D51" i="55" s="1"/>
  <c r="E50" i="55"/>
  <c r="G50" i="55" s="1"/>
  <c r="E49" i="55"/>
  <c r="F49" i="55" s="1"/>
  <c r="E48" i="55"/>
  <c r="I48" i="55" s="1"/>
  <c r="E47" i="55"/>
  <c r="G47" i="55" s="1"/>
  <c r="E46" i="55"/>
  <c r="C46" i="55" s="1"/>
  <c r="E45" i="55"/>
  <c r="F45" i="55" s="1"/>
  <c r="E44" i="55"/>
  <c r="D44" i="55" s="1"/>
  <c r="E43" i="55"/>
  <c r="D43" i="55" s="1"/>
  <c r="E42" i="55"/>
  <c r="G42" i="55" s="1"/>
  <c r="E41" i="55"/>
  <c r="E40" i="55"/>
  <c r="D40" i="55" s="1"/>
  <c r="E39" i="55"/>
  <c r="I39" i="55" s="1"/>
  <c r="E38" i="55"/>
  <c r="E37" i="55"/>
  <c r="E36" i="55"/>
  <c r="D36" i="55" s="1"/>
  <c r="E35" i="55"/>
  <c r="D35" i="55" s="1"/>
  <c r="E34" i="55"/>
  <c r="G34" i="55" s="1"/>
  <c r="E33" i="55"/>
  <c r="F33" i="55" s="1"/>
  <c r="E32" i="55"/>
  <c r="I32" i="55" s="1"/>
  <c r="E31" i="55"/>
  <c r="G31" i="55" s="1"/>
  <c r="E30" i="55"/>
  <c r="B30" i="55" s="1"/>
  <c r="E29" i="55"/>
  <c r="F29" i="55" s="1"/>
  <c r="E28" i="55"/>
  <c r="D28" i="55" s="1"/>
  <c r="E27" i="55"/>
  <c r="I27" i="55" s="1"/>
  <c r="E26" i="55"/>
  <c r="I26" i="55" s="1"/>
  <c r="E25" i="55"/>
  <c r="F25" i="55" s="1"/>
  <c r="E24" i="55"/>
  <c r="D24" i="55" s="1"/>
  <c r="E23" i="55"/>
  <c r="E22" i="55"/>
  <c r="D22" i="55" s="1"/>
  <c r="E21" i="55"/>
  <c r="C21" i="55" s="1"/>
  <c r="E20" i="55"/>
  <c r="E19" i="55"/>
  <c r="E18" i="55"/>
  <c r="G18" i="55" s="1"/>
  <c r="E17" i="55"/>
  <c r="G17" i="55" s="1"/>
  <c r="E16" i="55"/>
  <c r="D16" i="55" s="1"/>
  <c r="E15" i="55"/>
  <c r="C15" i="55" s="1"/>
  <c r="E14" i="55"/>
  <c r="D14" i="55" s="1"/>
  <c r="E13" i="55"/>
  <c r="F13" i="55" s="1"/>
  <c r="E12" i="55"/>
  <c r="E11" i="55"/>
  <c r="F11" i="55" s="1"/>
  <c r="E10" i="55"/>
  <c r="I10" i="55" s="1"/>
  <c r="E9" i="55"/>
  <c r="G9" i="55" s="1"/>
  <c r="E8" i="55"/>
  <c r="F8" i="55" s="1"/>
  <c r="E7" i="55"/>
  <c r="I7" i="55" s="1"/>
  <c r="E6" i="55"/>
  <c r="C6" i="55" s="1"/>
  <c r="E5" i="55"/>
  <c r="C5" i="55" s="1"/>
  <c r="E4" i="55"/>
  <c r="G4" i="55" s="1"/>
  <c r="E3" i="55"/>
  <c r="D3" i="55" s="1"/>
  <c r="I177" i="55" l="1"/>
  <c r="F192" i="55"/>
  <c r="C50" i="55"/>
  <c r="I6" i="55"/>
  <c r="F135" i="55"/>
  <c r="B141" i="55"/>
  <c r="G105" i="55"/>
  <c r="D6" i="55"/>
  <c r="F78" i="55"/>
  <c r="G84" i="55"/>
  <c r="I78" i="55"/>
  <c r="F14" i="55"/>
  <c r="F107" i="55"/>
  <c r="B78" i="55"/>
  <c r="B50" i="55"/>
  <c r="D56" i="55"/>
  <c r="D78" i="55"/>
  <c r="F105" i="55"/>
  <c r="G148" i="55"/>
  <c r="B88" i="55"/>
  <c r="C154" i="55"/>
  <c r="D105" i="55"/>
  <c r="G154" i="55"/>
  <c r="I154" i="55"/>
  <c r="I117" i="55"/>
  <c r="B146" i="55"/>
  <c r="D151" i="55"/>
  <c r="I171" i="55"/>
  <c r="I31" i="55"/>
  <c r="I105" i="55"/>
  <c r="G126" i="55"/>
  <c r="G146" i="55"/>
  <c r="F165" i="55"/>
  <c r="B178" i="55"/>
  <c r="D190" i="55"/>
  <c r="B105" i="55"/>
  <c r="I113" i="55"/>
  <c r="C161" i="55"/>
  <c r="C178" i="55"/>
  <c r="I14" i="55"/>
  <c r="I5" i="55"/>
  <c r="F50" i="55"/>
  <c r="C122" i="55"/>
  <c r="G174" i="55"/>
  <c r="I178" i="55"/>
  <c r="C186" i="55"/>
  <c r="C13" i="55"/>
  <c r="C26" i="55"/>
  <c r="B49" i="55"/>
  <c r="I122" i="55"/>
  <c r="I128" i="55"/>
  <c r="D153" i="55"/>
  <c r="B165" i="55"/>
  <c r="G11" i="55"/>
  <c r="I18" i="55"/>
  <c r="F24" i="55"/>
  <c r="F27" i="55"/>
  <c r="C32" i="55"/>
  <c r="B76" i="55"/>
  <c r="D115" i="55"/>
  <c r="B136" i="55"/>
  <c r="C141" i="55"/>
  <c r="F144" i="55"/>
  <c r="C169" i="55"/>
  <c r="C16" i="55"/>
  <c r="I24" i="55"/>
  <c r="G27" i="55"/>
  <c r="I144" i="55"/>
  <c r="I186" i="55"/>
  <c r="B28" i="55"/>
  <c r="C58" i="55"/>
  <c r="F136" i="55"/>
  <c r="F141" i="55"/>
  <c r="D145" i="55"/>
  <c r="G169" i="55"/>
  <c r="G198" i="55"/>
  <c r="C170" i="55"/>
  <c r="C185" i="55"/>
  <c r="C194" i="55"/>
  <c r="F72" i="55"/>
  <c r="G16" i="55"/>
  <c r="B18" i="55"/>
  <c r="C27" i="55"/>
  <c r="F43" i="55"/>
  <c r="C67" i="55"/>
  <c r="B107" i="55"/>
  <c r="D124" i="55"/>
  <c r="C129" i="55"/>
  <c r="B135" i="55"/>
  <c r="B144" i="55"/>
  <c r="B155" i="55"/>
  <c r="G166" i="55"/>
  <c r="C171" i="55"/>
  <c r="I179" i="55"/>
  <c r="I185" i="55"/>
  <c r="I194" i="55"/>
  <c r="C18" i="55"/>
  <c r="D27" i="55"/>
  <c r="C99" i="55"/>
  <c r="C144" i="55"/>
  <c r="B186" i="55"/>
  <c r="G8" i="55"/>
  <c r="F46" i="55"/>
  <c r="I22" i="55"/>
  <c r="G40" i="55"/>
  <c r="F56" i="55"/>
  <c r="C70" i="55"/>
  <c r="C97" i="55"/>
  <c r="B112" i="55"/>
  <c r="I15" i="55"/>
  <c r="F40" i="55"/>
  <c r="I8" i="55"/>
  <c r="G46" i="55"/>
  <c r="D4" i="55"/>
  <c r="F6" i="55"/>
  <c r="B9" i="55"/>
  <c r="F18" i="55"/>
  <c r="D30" i="55"/>
  <c r="C34" i="55"/>
  <c r="I40" i="55"/>
  <c r="C45" i="55"/>
  <c r="I46" i="55"/>
  <c r="B54" i="55"/>
  <c r="I56" i="55"/>
  <c r="G61" i="55"/>
  <c r="D70" i="55"/>
  <c r="I72" i="55"/>
  <c r="F77" i="55"/>
  <c r="B80" i="55"/>
  <c r="G87" i="55"/>
  <c r="D97" i="55"/>
  <c r="C101" i="55"/>
  <c r="C112" i="55"/>
  <c r="F113" i="55"/>
  <c r="G117" i="55"/>
  <c r="F126" i="55"/>
  <c r="B129" i="55"/>
  <c r="C131" i="55"/>
  <c r="F148" i="55"/>
  <c r="D158" i="55"/>
  <c r="B161" i="55"/>
  <c r="F166" i="55"/>
  <c r="D175" i="55"/>
  <c r="F177" i="55"/>
  <c r="G183" i="55"/>
  <c r="F198" i="55"/>
  <c r="B17" i="55"/>
  <c r="F34" i="55"/>
  <c r="B40" i="55"/>
  <c r="B42" i="55"/>
  <c r="F70" i="55"/>
  <c r="C78" i="55"/>
  <c r="I80" i="55"/>
  <c r="B85" i="55"/>
  <c r="C88" i="55"/>
  <c r="F97" i="55"/>
  <c r="G101" i="55"/>
  <c r="G112" i="55"/>
  <c r="D129" i="55"/>
  <c r="I131" i="55"/>
  <c r="G135" i="55"/>
  <c r="D149" i="55"/>
  <c r="G152" i="55"/>
  <c r="C155" i="55"/>
  <c r="F158" i="55"/>
  <c r="D161" i="55"/>
  <c r="F164" i="55"/>
  <c r="I166" i="55"/>
  <c r="B170" i="55"/>
  <c r="G175" i="55"/>
  <c r="C182" i="55"/>
  <c r="B185" i="55"/>
  <c r="B46" i="55"/>
  <c r="B48" i="55"/>
  <c r="G70" i="55"/>
  <c r="I97" i="55"/>
  <c r="I112" i="55"/>
  <c r="G158" i="55"/>
  <c r="C35" i="55"/>
  <c r="C40" i="55"/>
  <c r="B56" i="55"/>
  <c r="F5" i="55"/>
  <c r="C8" i="55"/>
  <c r="B32" i="55"/>
  <c r="D46" i="55"/>
  <c r="C48" i="55"/>
  <c r="C56" i="55"/>
  <c r="I70" i="55"/>
  <c r="G75" i="55"/>
  <c r="F81" i="55"/>
  <c r="F88" i="55"/>
  <c r="G102" i="55"/>
  <c r="C110" i="55"/>
  <c r="B113" i="55"/>
  <c r="B128" i="55"/>
  <c r="F129" i="55"/>
  <c r="D147" i="55"/>
  <c r="C150" i="55"/>
  <c r="F155" i="55"/>
  <c r="I158" i="55"/>
  <c r="F161" i="55"/>
  <c r="I167" i="55"/>
  <c r="D170" i="55"/>
  <c r="C174" i="55"/>
  <c r="B177" i="55"/>
  <c r="F182" i="55"/>
  <c r="D185" i="55"/>
  <c r="I200" i="55"/>
  <c r="G81" i="55"/>
  <c r="C113" i="55"/>
  <c r="G129" i="55"/>
  <c r="I161" i="55"/>
  <c r="C177" i="55"/>
  <c r="G182" i="55"/>
  <c r="F22" i="55"/>
  <c r="C87" i="55"/>
  <c r="B97" i="55"/>
  <c r="D113" i="55"/>
  <c r="C117" i="55"/>
  <c r="I121" i="55"/>
  <c r="C126" i="55"/>
  <c r="G128" i="55"/>
  <c r="D137" i="55"/>
  <c r="B148" i="55"/>
  <c r="F150" i="55"/>
  <c r="B157" i="55"/>
  <c r="C160" i="55"/>
  <c r="D162" i="55"/>
  <c r="D166" i="55"/>
  <c r="B169" i="55"/>
  <c r="G170" i="55"/>
  <c r="F174" i="55"/>
  <c r="D177" i="55"/>
  <c r="D183" i="55"/>
  <c r="F185" i="55"/>
  <c r="B194" i="55"/>
  <c r="C198" i="55"/>
  <c r="I19" i="55"/>
  <c r="D19" i="55"/>
  <c r="C19" i="55"/>
  <c r="I184" i="55"/>
  <c r="B184" i="55"/>
  <c r="F19" i="55"/>
  <c r="G26" i="55"/>
  <c r="F26" i="55"/>
  <c r="F41" i="55"/>
  <c r="B41" i="55"/>
  <c r="I3" i="55"/>
  <c r="C3" i="55"/>
  <c r="G3" i="55"/>
  <c r="G19" i="55"/>
  <c r="G41" i="55"/>
  <c r="G49" i="55"/>
  <c r="F63" i="55"/>
  <c r="D63" i="55"/>
  <c r="C63" i="55"/>
  <c r="F3" i="55"/>
  <c r="B20" i="55"/>
  <c r="I20" i="55"/>
  <c r="D20" i="55"/>
  <c r="C24" i="55"/>
  <c r="B24" i="55"/>
  <c r="G24" i="55"/>
  <c r="B33" i="55"/>
  <c r="I35" i="55"/>
  <c r="G35" i="55"/>
  <c r="F35" i="55"/>
  <c r="F59" i="55"/>
  <c r="G63" i="55"/>
  <c r="C68" i="55"/>
  <c r="B68" i="55"/>
  <c r="B94" i="55"/>
  <c r="I94" i="55"/>
  <c r="I108" i="55"/>
  <c r="D108" i="55"/>
  <c r="C108" i="55"/>
  <c r="G108" i="55"/>
  <c r="G139" i="55"/>
  <c r="B139" i="55"/>
  <c r="I139" i="55"/>
  <c r="F139" i="55"/>
  <c r="D172" i="55"/>
  <c r="F172" i="55"/>
  <c r="B195" i="55"/>
  <c r="D195" i="55"/>
  <c r="C195" i="55"/>
  <c r="I195" i="55"/>
  <c r="C60" i="55"/>
  <c r="I60" i="55"/>
  <c r="G60" i="55"/>
  <c r="C98" i="55"/>
  <c r="B98" i="55"/>
  <c r="I98" i="55"/>
  <c r="I132" i="55"/>
  <c r="C132" i="55"/>
  <c r="B132" i="55"/>
  <c r="F132" i="55"/>
  <c r="I176" i="55"/>
  <c r="B176" i="55"/>
  <c r="C38" i="55"/>
  <c r="G38" i="55"/>
  <c r="I38" i="55"/>
  <c r="F38" i="55"/>
  <c r="C100" i="55"/>
  <c r="B100" i="55"/>
  <c r="B62" i="55"/>
  <c r="G62" i="55"/>
  <c r="I62" i="55"/>
  <c r="F62" i="55"/>
  <c r="C30" i="55"/>
  <c r="G30" i="55"/>
  <c r="I30" i="55"/>
  <c r="F30" i="55"/>
  <c r="G33" i="55"/>
  <c r="D69" i="55"/>
  <c r="I69" i="55"/>
  <c r="C86" i="55"/>
  <c r="B86" i="55"/>
  <c r="I86" i="55"/>
  <c r="G86" i="55"/>
  <c r="F86" i="55"/>
  <c r="D89" i="55"/>
  <c r="C89" i="55"/>
  <c r="B89" i="55"/>
  <c r="I89" i="55"/>
  <c r="G89" i="55"/>
  <c r="G98" i="55"/>
  <c r="B187" i="55"/>
  <c r="D187" i="55"/>
  <c r="C187" i="55"/>
  <c r="I187" i="55"/>
  <c r="I51" i="55"/>
  <c r="G51" i="55"/>
  <c r="F51" i="55"/>
  <c r="B16" i="55"/>
  <c r="I16" i="55"/>
  <c r="F16" i="55"/>
  <c r="C22" i="55"/>
  <c r="B22" i="55"/>
  <c r="G22" i="55"/>
  <c r="B38" i="55"/>
  <c r="I43" i="55"/>
  <c r="C43" i="55"/>
  <c r="G43" i="55"/>
  <c r="C54" i="55"/>
  <c r="I54" i="55"/>
  <c r="G54" i="55"/>
  <c r="F54" i="55"/>
  <c r="I57" i="55"/>
  <c r="B57" i="55"/>
  <c r="I11" i="55"/>
  <c r="D11" i="55"/>
  <c r="C11" i="55"/>
  <c r="C14" i="55"/>
  <c r="B14" i="55"/>
  <c r="G14" i="55"/>
  <c r="B26" i="55"/>
  <c r="D38" i="55"/>
  <c r="C51" i="55"/>
  <c r="C62" i="55"/>
  <c r="F66" i="55"/>
  <c r="B66" i="55"/>
  <c r="B6" i="55"/>
  <c r="B8" i="55"/>
  <c r="D32" i="55"/>
  <c r="B34" i="55"/>
  <c r="C42" i="55"/>
  <c r="D48" i="55"/>
  <c r="D58" i="55"/>
  <c r="C64" i="55"/>
  <c r="D67" i="55"/>
  <c r="B71" i="55"/>
  <c r="C73" i="55"/>
  <c r="D76" i="55"/>
  <c r="C82" i="55"/>
  <c r="C85" i="55"/>
  <c r="F104" i="55"/>
  <c r="I115" i="55"/>
  <c r="B121" i="55"/>
  <c r="D122" i="55"/>
  <c r="G124" i="55"/>
  <c r="I126" i="55"/>
  <c r="D131" i="55"/>
  <c r="I135" i="55"/>
  <c r="F137" i="55"/>
  <c r="F145" i="55"/>
  <c r="F149" i="55"/>
  <c r="I151" i="55"/>
  <c r="F153" i="55"/>
  <c r="F157" i="55"/>
  <c r="B159" i="55"/>
  <c r="G162" i="55"/>
  <c r="D167" i="55"/>
  <c r="D169" i="55"/>
  <c r="B173" i="55"/>
  <c r="I174" i="55"/>
  <c r="D178" i="55"/>
  <c r="B181" i="55"/>
  <c r="I182" i="55"/>
  <c r="D186" i="55"/>
  <c r="F190" i="55"/>
  <c r="B193" i="55"/>
  <c r="D194" i="55"/>
  <c r="B119" i="55"/>
  <c r="C121" i="55"/>
  <c r="G137" i="55"/>
  <c r="C140" i="55"/>
  <c r="G145" i="55"/>
  <c r="G149" i="55"/>
  <c r="G153" i="55"/>
  <c r="G157" i="55"/>
  <c r="I162" i="55"/>
  <c r="B189" i="55"/>
  <c r="G190" i="55"/>
  <c r="C193" i="55"/>
  <c r="D8" i="55"/>
  <c r="B25" i="55"/>
  <c r="C29" i="55"/>
  <c r="F32" i="55"/>
  <c r="B36" i="55"/>
  <c r="F42" i="55"/>
  <c r="F48" i="55"/>
  <c r="B52" i="55"/>
  <c r="F58" i="55"/>
  <c r="F64" i="55"/>
  <c r="F67" i="55"/>
  <c r="I71" i="55"/>
  <c r="F73" i="55"/>
  <c r="F76" i="55"/>
  <c r="B81" i="55"/>
  <c r="F82" i="55"/>
  <c r="F85" i="55"/>
  <c r="F95" i="55"/>
  <c r="D99" i="55"/>
  <c r="C102" i="55"/>
  <c r="D110" i="55"/>
  <c r="F116" i="55"/>
  <c r="D119" i="55"/>
  <c r="D121" i="55"/>
  <c r="G122" i="55"/>
  <c r="F125" i="55"/>
  <c r="F131" i="55"/>
  <c r="I137" i="55"/>
  <c r="D140" i="55"/>
  <c r="G144" i="55"/>
  <c r="I145" i="55"/>
  <c r="I149" i="55"/>
  <c r="F152" i="55"/>
  <c r="I153" i="55"/>
  <c r="C158" i="55"/>
  <c r="F159" i="55"/>
  <c r="C163" i="55"/>
  <c r="C166" i="55"/>
  <c r="F169" i="55"/>
  <c r="I170" i="55"/>
  <c r="F173" i="55"/>
  <c r="G178" i="55"/>
  <c r="F181" i="55"/>
  <c r="G186" i="55"/>
  <c r="C189" i="55"/>
  <c r="I190" i="55"/>
  <c r="D193" i="55"/>
  <c r="G194" i="55"/>
  <c r="F200" i="55"/>
  <c r="G58" i="55"/>
  <c r="C72" i="55"/>
  <c r="G85" i="55"/>
  <c r="I95" i="55"/>
  <c r="G32" i="55"/>
  <c r="I42" i="55"/>
  <c r="G48" i="55"/>
  <c r="G67" i="55"/>
  <c r="G76" i="55"/>
  <c r="C81" i="55"/>
  <c r="G6" i="55"/>
  <c r="G25" i="55"/>
  <c r="I34" i="55"/>
  <c r="I50" i="55"/>
  <c r="D72" i="55"/>
  <c r="I74" i="55"/>
  <c r="B77" i="55"/>
  <c r="D81" i="55"/>
  <c r="I83" i="55"/>
  <c r="B92" i="55"/>
  <c r="G110" i="55"/>
  <c r="D117" i="55"/>
  <c r="G119" i="55"/>
  <c r="F121" i="55"/>
  <c r="D126" i="55"/>
  <c r="D135" i="55"/>
  <c r="B137" i="55"/>
  <c r="F140" i="55"/>
  <c r="F143" i="55"/>
  <c r="B145" i="55"/>
  <c r="C146" i="55"/>
  <c r="B153" i="55"/>
  <c r="D154" i="55"/>
  <c r="D156" i="55"/>
  <c r="B162" i="55"/>
  <c r="I163" i="55"/>
  <c r="B168" i="55"/>
  <c r="D174" i="55"/>
  <c r="C179" i="55"/>
  <c r="D182" i="55"/>
  <c r="G191" i="55"/>
  <c r="F193" i="55"/>
  <c r="D198" i="55"/>
  <c r="G140" i="55"/>
  <c r="G143" i="55"/>
  <c r="C149" i="55"/>
  <c r="C162" i="55"/>
  <c r="C190" i="55"/>
  <c r="G193" i="55"/>
  <c r="B37" i="55"/>
  <c r="I37" i="55"/>
  <c r="G37" i="55"/>
  <c r="D37" i="55"/>
  <c r="D39" i="55"/>
  <c r="C39" i="55"/>
  <c r="B39" i="55"/>
  <c r="F39" i="55"/>
  <c r="D96" i="55"/>
  <c r="F96" i="55"/>
  <c r="I96" i="55"/>
  <c r="G96" i="55"/>
  <c r="C96" i="55"/>
  <c r="B96" i="55"/>
  <c r="F114" i="55"/>
  <c r="I114" i="55"/>
  <c r="D114" i="55"/>
  <c r="G114" i="55"/>
  <c r="C114" i="55"/>
  <c r="B114" i="55"/>
  <c r="G123" i="55"/>
  <c r="I123" i="55"/>
  <c r="D123" i="55"/>
  <c r="F123" i="55"/>
  <c r="C123" i="55"/>
  <c r="B123" i="55"/>
  <c r="G12" i="55"/>
  <c r="F12" i="55"/>
  <c r="C12" i="55"/>
  <c r="D7" i="55"/>
  <c r="F7" i="55"/>
  <c r="G10" i="55"/>
  <c r="D10" i="55"/>
  <c r="B12" i="55"/>
  <c r="F4" i="55"/>
  <c r="C4" i="55"/>
  <c r="G7" i="55"/>
  <c r="F10" i="55"/>
  <c r="D12" i="55"/>
  <c r="F17" i="55"/>
  <c r="D17" i="55"/>
  <c r="C17" i="55"/>
  <c r="I17" i="55"/>
  <c r="F37" i="55"/>
  <c r="G39" i="55"/>
  <c r="I44" i="55"/>
  <c r="G44" i="55"/>
  <c r="F44" i="55"/>
  <c r="C44" i="55"/>
  <c r="B59" i="55"/>
  <c r="I59" i="55"/>
  <c r="G59" i="55"/>
  <c r="D59" i="55"/>
  <c r="B21" i="55"/>
  <c r="I21" i="55"/>
  <c r="G21" i="55"/>
  <c r="D21" i="55"/>
  <c r="D23" i="55"/>
  <c r="C23" i="55"/>
  <c r="B23" i="55"/>
  <c r="F23" i="55"/>
  <c r="I4" i="55"/>
  <c r="D9" i="55"/>
  <c r="I12" i="55"/>
  <c r="F21" i="55"/>
  <c r="G23" i="55"/>
  <c r="I28" i="55"/>
  <c r="G28" i="55"/>
  <c r="F28" i="55"/>
  <c r="C28" i="55"/>
  <c r="B45" i="55"/>
  <c r="I45" i="55"/>
  <c r="G45" i="55"/>
  <c r="D45" i="55"/>
  <c r="D47" i="55"/>
  <c r="C47" i="55"/>
  <c r="B47" i="55"/>
  <c r="F47" i="55"/>
  <c r="I23" i="55"/>
  <c r="I52" i="55"/>
  <c r="G52" i="55"/>
  <c r="F52" i="55"/>
  <c r="C52" i="55"/>
  <c r="I109" i="55"/>
  <c r="G109" i="55"/>
  <c r="D109" i="55"/>
  <c r="F109" i="55"/>
  <c r="C109" i="55"/>
  <c r="B109" i="55"/>
  <c r="B118" i="55"/>
  <c r="I118" i="55"/>
  <c r="G118" i="55"/>
  <c r="D118" i="55"/>
  <c r="F118" i="55"/>
  <c r="C118" i="55"/>
  <c r="B5" i="55"/>
  <c r="G5" i="55"/>
  <c r="D5" i="55"/>
  <c r="B13" i="55"/>
  <c r="I13" i="55"/>
  <c r="G13" i="55"/>
  <c r="D13" i="55"/>
  <c r="B29" i="55"/>
  <c r="I29" i="55"/>
  <c r="G29" i="55"/>
  <c r="D29" i="55"/>
  <c r="D31" i="55"/>
  <c r="C31" i="55"/>
  <c r="B31" i="55"/>
  <c r="F31" i="55"/>
  <c r="I47" i="55"/>
  <c r="F9" i="55"/>
  <c r="C9" i="55"/>
  <c r="I9" i="55"/>
  <c r="B7" i="55"/>
  <c r="B10" i="55"/>
  <c r="D15" i="55"/>
  <c r="B15" i="55"/>
  <c r="F15" i="55"/>
  <c r="I36" i="55"/>
  <c r="G36" i="55"/>
  <c r="F36" i="55"/>
  <c r="C36" i="55"/>
  <c r="B53" i="55"/>
  <c r="I53" i="55"/>
  <c r="G53" i="55"/>
  <c r="D53" i="55"/>
  <c r="D55" i="55"/>
  <c r="C55" i="55"/>
  <c r="B55" i="55"/>
  <c r="F55" i="55"/>
  <c r="F90" i="55"/>
  <c r="B90" i="55"/>
  <c r="I90" i="55"/>
  <c r="G90" i="55"/>
  <c r="D90" i="55"/>
  <c r="C90" i="55"/>
  <c r="I93" i="55"/>
  <c r="B93" i="55"/>
  <c r="G93" i="55"/>
  <c r="F93" i="55"/>
  <c r="D93" i="55"/>
  <c r="C93" i="55"/>
  <c r="B4" i="55"/>
  <c r="C7" i="55"/>
  <c r="C10" i="55"/>
  <c r="G15" i="55"/>
  <c r="G20" i="55"/>
  <c r="F20" i="55"/>
  <c r="C20" i="55"/>
  <c r="C37" i="55"/>
  <c r="B44" i="55"/>
  <c r="F53" i="55"/>
  <c r="G55" i="55"/>
  <c r="B3" i="55"/>
  <c r="B11" i="55"/>
  <c r="B19" i="55"/>
  <c r="I25" i="55"/>
  <c r="B27" i="55"/>
  <c r="I33" i="55"/>
  <c r="B35" i="55"/>
  <c r="I41" i="55"/>
  <c r="B43" i="55"/>
  <c r="I49" i="55"/>
  <c r="B51" i="55"/>
  <c r="B58" i="55"/>
  <c r="F60" i="55"/>
  <c r="I61" i="55"/>
  <c r="B63" i="55"/>
  <c r="D64" i="55"/>
  <c r="F65" i="55"/>
  <c r="I66" i="55"/>
  <c r="D68" i="55"/>
  <c r="F69" i="55"/>
  <c r="B72" i="55"/>
  <c r="D73" i="55"/>
  <c r="F74" i="55"/>
  <c r="I75" i="55"/>
  <c r="C77" i="55"/>
  <c r="G79" i="55"/>
  <c r="D82" i="55"/>
  <c r="F83" i="55"/>
  <c r="I84" i="55"/>
  <c r="D87" i="55"/>
  <c r="F91" i="55"/>
  <c r="F94" i="55"/>
  <c r="F100" i="55"/>
  <c r="B102" i="55"/>
  <c r="D102" i="55"/>
  <c r="I102" i="55"/>
  <c r="B133" i="55"/>
  <c r="G133" i="55"/>
  <c r="F133" i="55"/>
  <c r="G65" i="55"/>
  <c r="G69" i="55"/>
  <c r="G74" i="55"/>
  <c r="I79" i="55"/>
  <c r="G83" i="55"/>
  <c r="I91" i="55"/>
  <c r="G94" i="55"/>
  <c r="G100" i="55"/>
  <c r="D104" i="55"/>
  <c r="I104" i="55"/>
  <c r="C104" i="55"/>
  <c r="G107" i="55"/>
  <c r="D107" i="55"/>
  <c r="C111" i="55"/>
  <c r="D111" i="55"/>
  <c r="B111" i="55"/>
  <c r="I111" i="55"/>
  <c r="I116" i="55"/>
  <c r="D116" i="55"/>
  <c r="C116" i="55"/>
  <c r="D120" i="55"/>
  <c r="C120" i="55"/>
  <c r="B120" i="55"/>
  <c r="I120" i="55"/>
  <c r="D125" i="55"/>
  <c r="C125" i="55"/>
  <c r="I125" i="55"/>
  <c r="F130" i="55"/>
  <c r="D130" i="55"/>
  <c r="C130" i="55"/>
  <c r="B134" i="55"/>
  <c r="D134" i="55"/>
  <c r="C134" i="55"/>
  <c r="I134" i="55"/>
  <c r="D18" i="55"/>
  <c r="C25" i="55"/>
  <c r="D26" i="55"/>
  <c r="C33" i="55"/>
  <c r="D34" i="55"/>
  <c r="C41" i="55"/>
  <c r="D42" i="55"/>
  <c r="C49" i="55"/>
  <c r="D50" i="55"/>
  <c r="C57" i="55"/>
  <c r="B61" i="55"/>
  <c r="I64" i="55"/>
  <c r="C66" i="55"/>
  <c r="G68" i="55"/>
  <c r="C71" i="55"/>
  <c r="G73" i="55"/>
  <c r="C75" i="55"/>
  <c r="G77" i="55"/>
  <c r="C80" i="55"/>
  <c r="G82" i="55"/>
  <c r="B84" i="55"/>
  <c r="I87" i="55"/>
  <c r="C92" i="55"/>
  <c r="G99" i="55"/>
  <c r="F99" i="55"/>
  <c r="B99" i="55"/>
  <c r="B103" i="55"/>
  <c r="G104" i="55"/>
  <c r="C106" i="55"/>
  <c r="I107" i="55"/>
  <c r="G111" i="55"/>
  <c r="G116" i="55"/>
  <c r="G120" i="55"/>
  <c r="G125" i="55"/>
  <c r="C127" i="55"/>
  <c r="I127" i="55"/>
  <c r="G127" i="55"/>
  <c r="D127" i="55"/>
  <c r="G130" i="55"/>
  <c r="F134" i="55"/>
  <c r="D25" i="55"/>
  <c r="D33" i="55"/>
  <c r="D41" i="55"/>
  <c r="D49" i="55"/>
  <c r="D57" i="55"/>
  <c r="C61" i="55"/>
  <c r="B65" i="55"/>
  <c r="D66" i="55"/>
  <c r="I68" i="55"/>
  <c r="D71" i="55"/>
  <c r="B74" i="55"/>
  <c r="D75" i="55"/>
  <c r="I77" i="55"/>
  <c r="B79" i="55"/>
  <c r="D80" i="55"/>
  <c r="I82" i="55"/>
  <c r="D84" i="55"/>
  <c r="C95" i="55"/>
  <c r="D95" i="55"/>
  <c r="B101" i="55"/>
  <c r="F101" i="55"/>
  <c r="F127" i="55"/>
  <c r="I130" i="55"/>
  <c r="G134" i="55"/>
  <c r="F199" i="55"/>
  <c r="D199" i="55"/>
  <c r="C199" i="55"/>
  <c r="B199" i="55"/>
  <c r="I199" i="55"/>
  <c r="G199" i="55"/>
  <c r="C65" i="55"/>
  <c r="C74" i="55"/>
  <c r="B91" i="55"/>
  <c r="I92" i="55"/>
  <c r="F92" i="55"/>
  <c r="C94" i="55"/>
  <c r="C103" i="55"/>
  <c r="F103" i="55"/>
  <c r="F106" i="55"/>
  <c r="B106" i="55"/>
  <c r="G106" i="55"/>
  <c r="B142" i="55"/>
  <c r="C142" i="55"/>
  <c r="G142" i="55"/>
  <c r="F142" i="55"/>
  <c r="B60" i="55"/>
  <c r="B69" i="55"/>
  <c r="C79" i="55"/>
  <c r="C83" i="55"/>
  <c r="F57" i="55"/>
  <c r="D60" i="55"/>
  <c r="F61" i="55"/>
  <c r="B64" i="55"/>
  <c r="D65" i="55"/>
  <c r="I67" i="55"/>
  <c r="C69" i="55"/>
  <c r="G71" i="55"/>
  <c r="B73" i="55"/>
  <c r="F75" i="55"/>
  <c r="I76" i="55"/>
  <c r="D79" i="55"/>
  <c r="F80" i="55"/>
  <c r="D83" i="55"/>
  <c r="F84" i="55"/>
  <c r="I85" i="55"/>
  <c r="B87" i="55"/>
  <c r="D88" i="55"/>
  <c r="I88" i="55"/>
  <c r="G92" i="55"/>
  <c r="D94" i="55"/>
  <c r="G95" i="55"/>
  <c r="F98" i="55"/>
  <c r="D98" i="55"/>
  <c r="I101" i="55"/>
  <c r="G103" i="55"/>
  <c r="I106" i="55"/>
  <c r="B110" i="55"/>
  <c r="F110" i="55"/>
  <c r="G115" i="55"/>
  <c r="B115" i="55"/>
  <c r="F115" i="55"/>
  <c r="C119" i="55"/>
  <c r="F119" i="55"/>
  <c r="I124" i="55"/>
  <c r="B124" i="55"/>
  <c r="F124" i="55"/>
  <c r="C133" i="55"/>
  <c r="F138" i="55"/>
  <c r="C138" i="55"/>
  <c r="B138" i="55"/>
  <c r="I138" i="55"/>
  <c r="G138" i="55"/>
  <c r="I142" i="55"/>
  <c r="G91" i="55"/>
  <c r="D91" i="55"/>
  <c r="I100" i="55"/>
  <c r="D100" i="55"/>
  <c r="I103" i="55"/>
  <c r="D128" i="55"/>
  <c r="F128" i="55"/>
  <c r="D133" i="55"/>
  <c r="B108" i="55"/>
  <c r="B117" i="55"/>
  <c r="B122" i="55"/>
  <c r="B131" i="55"/>
  <c r="D132" i="55"/>
  <c r="C136" i="55"/>
  <c r="B140" i="55"/>
  <c r="D141" i="55"/>
  <c r="I143" i="55"/>
  <c r="D146" i="55"/>
  <c r="F147" i="55"/>
  <c r="D150" i="55"/>
  <c r="F151" i="55"/>
  <c r="I152" i="55"/>
  <c r="B154" i="55"/>
  <c r="D155" i="55"/>
  <c r="F156" i="55"/>
  <c r="I157" i="55"/>
  <c r="D159" i="55"/>
  <c r="F160" i="55"/>
  <c r="F168" i="55"/>
  <c r="F176" i="55"/>
  <c r="F184" i="55"/>
  <c r="D189" i="55"/>
  <c r="I189" i="55"/>
  <c r="G189" i="55"/>
  <c r="I147" i="55"/>
  <c r="G151" i="55"/>
  <c r="G156" i="55"/>
  <c r="I160" i="55"/>
  <c r="B163" i="55"/>
  <c r="G163" i="55"/>
  <c r="F163" i="55"/>
  <c r="D165" i="55"/>
  <c r="I165" i="55"/>
  <c r="B171" i="55"/>
  <c r="G171" i="55"/>
  <c r="F171" i="55"/>
  <c r="D173" i="55"/>
  <c r="I173" i="55"/>
  <c r="B179" i="55"/>
  <c r="G179" i="55"/>
  <c r="F179" i="55"/>
  <c r="D181" i="55"/>
  <c r="I181" i="55"/>
  <c r="F191" i="55"/>
  <c r="C191" i="55"/>
  <c r="B191" i="55"/>
  <c r="C196" i="55"/>
  <c r="I196" i="55"/>
  <c r="G196" i="55"/>
  <c r="F196" i="55"/>
  <c r="G132" i="55"/>
  <c r="G136" i="55"/>
  <c r="C139" i="55"/>
  <c r="G141" i="55"/>
  <c r="B143" i="55"/>
  <c r="I146" i="55"/>
  <c r="C148" i="55"/>
  <c r="G150" i="55"/>
  <c r="B152" i="55"/>
  <c r="I155" i="55"/>
  <c r="C157" i="55"/>
  <c r="G159" i="55"/>
  <c r="B164" i="55"/>
  <c r="G165" i="55"/>
  <c r="F167" i="55"/>
  <c r="C167" i="55"/>
  <c r="B167" i="55"/>
  <c r="B172" i="55"/>
  <c r="G173" i="55"/>
  <c r="F175" i="55"/>
  <c r="C175" i="55"/>
  <c r="B175" i="55"/>
  <c r="B180" i="55"/>
  <c r="G181" i="55"/>
  <c r="F183" i="55"/>
  <c r="C183" i="55"/>
  <c r="B183" i="55"/>
  <c r="B188" i="55"/>
  <c r="I191" i="55"/>
  <c r="D197" i="55"/>
  <c r="B197" i="55"/>
  <c r="I197" i="55"/>
  <c r="G197" i="55"/>
  <c r="F108" i="55"/>
  <c r="F112" i="55"/>
  <c r="I136" i="55"/>
  <c r="D139" i="55"/>
  <c r="D143" i="55"/>
  <c r="B147" i="55"/>
  <c r="D148" i="55"/>
  <c r="I150" i="55"/>
  <c r="C152" i="55"/>
  <c r="B156" i="55"/>
  <c r="I159" i="55"/>
  <c r="G192" i="55"/>
  <c r="D192" i="55"/>
  <c r="C192" i="55"/>
  <c r="B192" i="55"/>
  <c r="F197" i="55"/>
  <c r="C147" i="55"/>
  <c r="B151" i="55"/>
  <c r="C156" i="55"/>
  <c r="C164" i="55"/>
  <c r="I164" i="55"/>
  <c r="G164" i="55"/>
  <c r="C172" i="55"/>
  <c r="I172" i="55"/>
  <c r="G172" i="55"/>
  <c r="C180" i="55"/>
  <c r="I180" i="55"/>
  <c r="G180" i="55"/>
  <c r="C188" i="55"/>
  <c r="I188" i="55"/>
  <c r="G188" i="55"/>
  <c r="F188" i="55"/>
  <c r="F180" i="55"/>
  <c r="G160" i="55"/>
  <c r="D160" i="55"/>
  <c r="G168" i="55"/>
  <c r="D168" i="55"/>
  <c r="C168" i="55"/>
  <c r="G176" i="55"/>
  <c r="D176" i="55"/>
  <c r="C176" i="55"/>
  <c r="G184" i="55"/>
  <c r="D184" i="55"/>
  <c r="C184" i="55"/>
  <c r="B196" i="55"/>
  <c r="I198" i="55"/>
  <c r="B200" i="55"/>
  <c r="F187" i="55"/>
  <c r="F195" i="55"/>
  <c r="C200" i="55"/>
  <c r="G187" i="55"/>
  <c r="G195" i="55"/>
  <c r="D200" i="55"/>
  <c r="E194" i="64" l="1"/>
  <c r="E195" i="64"/>
  <c r="E196" i="64"/>
  <c r="E197" i="64"/>
  <c r="E198" i="64"/>
  <c r="E199" i="64"/>
  <c r="E200" i="64"/>
  <c r="E201" i="64"/>
  <c r="E202" i="64"/>
  <c r="E203" i="64"/>
  <c r="E204" i="64"/>
  <c r="E205" i="64"/>
  <c r="E206" i="64"/>
  <c r="E207" i="64"/>
  <c r="E208" i="64"/>
  <c r="E209" i="64"/>
  <c r="E210" i="64"/>
  <c r="E211" i="64"/>
  <c r="E212" i="64"/>
  <c r="E213" i="64"/>
  <c r="I213" i="64" s="1"/>
  <c r="E214" i="64"/>
  <c r="I214" i="64" s="1"/>
  <c r="E215" i="64"/>
  <c r="I215" i="64" s="1"/>
  <c r="E216" i="64"/>
  <c r="I216" i="64" s="1"/>
  <c r="E217" i="64"/>
  <c r="I217" i="64" s="1"/>
  <c r="E218" i="64"/>
  <c r="I218" i="64" s="1"/>
  <c r="E219" i="64"/>
  <c r="I219" i="64" s="1"/>
  <c r="E220" i="64"/>
  <c r="I220" i="64" s="1"/>
  <c r="E221" i="64"/>
  <c r="I221" i="64" s="1"/>
  <c r="E222" i="64"/>
  <c r="I222" i="64" s="1"/>
  <c r="E223" i="64"/>
  <c r="I223" i="64" s="1"/>
  <c r="E224" i="64"/>
  <c r="I224" i="64" s="1"/>
  <c r="E225" i="64"/>
  <c r="I225" i="64" s="1"/>
  <c r="E226" i="64"/>
  <c r="I226" i="64" s="1"/>
  <c r="E227" i="64"/>
  <c r="I227" i="64" s="1"/>
  <c r="E228" i="64"/>
  <c r="I228" i="64" s="1"/>
  <c r="E229" i="64"/>
  <c r="I229" i="64" s="1"/>
  <c r="E230" i="64"/>
  <c r="I230" i="64" s="1"/>
  <c r="E231" i="64"/>
  <c r="I231" i="64" s="1"/>
  <c r="E232" i="64"/>
  <c r="I232" i="64" s="1"/>
  <c r="E233" i="64"/>
  <c r="I233" i="64" s="1"/>
  <c r="E234" i="64"/>
  <c r="I234" i="64" s="1"/>
  <c r="E235" i="64"/>
  <c r="I235" i="64" s="1"/>
  <c r="E236" i="64"/>
  <c r="I236" i="64" s="1"/>
  <c r="E237" i="64"/>
  <c r="I237" i="64" s="1"/>
  <c r="E238" i="64"/>
  <c r="I238" i="64" s="1"/>
  <c r="E239" i="64"/>
  <c r="I239" i="64" s="1"/>
  <c r="E240" i="64"/>
  <c r="I240" i="64" s="1"/>
  <c r="E241" i="64"/>
  <c r="I241" i="64" s="1"/>
  <c r="E242" i="64"/>
  <c r="I242" i="64" s="1"/>
  <c r="E243" i="64"/>
  <c r="I243" i="64" s="1"/>
  <c r="E244" i="64"/>
  <c r="I244" i="64" s="1"/>
  <c r="E245" i="64"/>
  <c r="I245" i="64" s="1"/>
  <c r="E246" i="64"/>
  <c r="I246" i="64" s="1"/>
  <c r="E247" i="64"/>
  <c r="I247" i="64" s="1"/>
  <c r="E248" i="64"/>
  <c r="I248" i="64" s="1"/>
  <c r="E249" i="64"/>
  <c r="I249" i="64" s="1"/>
  <c r="E250" i="64"/>
  <c r="I250" i="64" s="1"/>
  <c r="E251" i="64"/>
  <c r="I251" i="64" s="1"/>
  <c r="E252" i="64"/>
  <c r="I252" i="64" s="1"/>
  <c r="E253" i="64"/>
  <c r="I253" i="64" s="1"/>
  <c r="E254" i="64"/>
  <c r="I254" i="64" s="1"/>
  <c r="E255" i="64"/>
  <c r="I255" i="64" s="1"/>
  <c r="E256" i="64"/>
  <c r="I256" i="64" s="1"/>
  <c r="E257" i="64"/>
  <c r="I257" i="64" s="1"/>
  <c r="E258" i="64"/>
  <c r="I258" i="64" s="1"/>
  <c r="E259" i="64"/>
  <c r="I259" i="64" s="1"/>
  <c r="E260" i="64"/>
  <c r="I260" i="64" s="1"/>
  <c r="E261" i="64"/>
  <c r="I261" i="64" s="1"/>
  <c r="E262" i="64"/>
  <c r="I262" i="64" s="1"/>
  <c r="E263" i="64"/>
  <c r="I263" i="64" s="1"/>
  <c r="E264" i="64"/>
  <c r="I264" i="64" s="1"/>
  <c r="E265" i="64"/>
  <c r="I265" i="64" s="1"/>
  <c r="E266" i="64"/>
  <c r="I266" i="64" s="1"/>
  <c r="E267" i="64"/>
  <c r="I267" i="64" s="1"/>
  <c r="E268" i="64"/>
  <c r="I268" i="64" s="1"/>
  <c r="E269" i="64"/>
  <c r="I269" i="64" s="1"/>
  <c r="E270" i="64"/>
  <c r="I270" i="64" s="1"/>
  <c r="E271" i="64"/>
  <c r="I271" i="64" s="1"/>
  <c r="E272" i="64"/>
  <c r="I272" i="64" s="1"/>
  <c r="E273" i="64"/>
  <c r="I273" i="64" s="1"/>
  <c r="E274" i="64"/>
  <c r="I274" i="64" s="1"/>
  <c r="E275" i="64"/>
  <c r="E276" i="64"/>
  <c r="E277" i="64"/>
  <c r="E278" i="64"/>
  <c r="E279" i="64"/>
  <c r="E280" i="64"/>
  <c r="E281" i="64"/>
  <c r="E282" i="64"/>
  <c r="E283" i="64"/>
  <c r="E284" i="64"/>
  <c r="E285" i="64"/>
  <c r="E286" i="64"/>
  <c r="E287" i="64"/>
  <c r="E288" i="64"/>
  <c r="E289" i="64"/>
  <c r="E290" i="64"/>
  <c r="E291" i="64"/>
  <c r="E292" i="64"/>
  <c r="E293" i="64"/>
  <c r="E294" i="64"/>
  <c r="E295" i="64"/>
  <c r="E296" i="64"/>
  <c r="E297" i="64"/>
  <c r="E298" i="64"/>
  <c r="E299" i="64"/>
  <c r="E300" i="64"/>
  <c r="E301" i="64"/>
  <c r="E302" i="64"/>
  <c r="E303" i="64"/>
  <c r="E304" i="64"/>
  <c r="E305" i="64"/>
  <c r="E306" i="64"/>
  <c r="E307" i="64"/>
  <c r="E308" i="64"/>
  <c r="E309" i="64"/>
  <c r="E310" i="64"/>
  <c r="E311" i="64"/>
  <c r="E312" i="64"/>
  <c r="E313" i="64"/>
  <c r="E314" i="64"/>
  <c r="E315" i="64"/>
  <c r="E316" i="64"/>
  <c r="E317" i="64"/>
  <c r="E318" i="64"/>
  <c r="E319" i="64"/>
  <c r="E320" i="64"/>
  <c r="E321" i="64"/>
  <c r="E322" i="64"/>
  <c r="E323" i="64"/>
  <c r="E324" i="64"/>
  <c r="E325" i="64"/>
  <c r="E326" i="64"/>
  <c r="E327" i="64"/>
  <c r="E328" i="64"/>
  <c r="E329" i="64"/>
  <c r="E330" i="64"/>
  <c r="E331" i="64"/>
  <c r="E332" i="64"/>
  <c r="E333" i="64"/>
  <c r="E334" i="64"/>
  <c r="E335" i="64"/>
  <c r="E336" i="64"/>
  <c r="E337" i="64"/>
  <c r="E338" i="64"/>
  <c r="E339" i="64"/>
  <c r="E340" i="64"/>
  <c r="E341" i="64"/>
  <c r="E342" i="64"/>
  <c r="E343" i="64"/>
  <c r="E344" i="64"/>
  <c r="E345" i="64"/>
  <c r="E346" i="64"/>
  <c r="E347" i="64"/>
  <c r="E348" i="64"/>
  <c r="E349" i="64"/>
  <c r="E350" i="64"/>
  <c r="E351" i="64"/>
  <c r="E352" i="64"/>
  <c r="E353" i="64"/>
  <c r="E354" i="64"/>
  <c r="E355" i="64"/>
  <c r="E356" i="64"/>
  <c r="E357" i="64"/>
  <c r="E358" i="64"/>
  <c r="E359" i="64"/>
  <c r="E360" i="64"/>
  <c r="E361" i="64"/>
  <c r="E362" i="64"/>
  <c r="E363" i="64"/>
  <c r="E364" i="64"/>
  <c r="E365" i="64"/>
  <c r="E366" i="64"/>
  <c r="E367" i="64"/>
  <c r="E368" i="64"/>
  <c r="E369" i="64"/>
  <c r="E370" i="64"/>
  <c r="E371" i="64"/>
  <c r="E372" i="64"/>
  <c r="E373" i="64"/>
  <c r="E374" i="64"/>
  <c r="E375" i="64"/>
  <c r="E376" i="64"/>
  <c r="E377" i="64"/>
  <c r="E378" i="64"/>
  <c r="E379" i="64"/>
  <c r="E380" i="64"/>
  <c r="E381" i="64"/>
  <c r="E382" i="64"/>
  <c r="E383" i="64"/>
  <c r="E384" i="64"/>
  <c r="E385" i="64"/>
  <c r="E386" i="64"/>
  <c r="E387" i="64"/>
  <c r="E388" i="64"/>
  <c r="E389" i="64"/>
  <c r="E390" i="64"/>
  <c r="E391" i="64"/>
  <c r="E392" i="64"/>
  <c r="E393" i="64"/>
  <c r="E394" i="64"/>
  <c r="E395" i="64"/>
  <c r="E396" i="64"/>
  <c r="E397" i="64"/>
  <c r="E398" i="64"/>
  <c r="E399" i="64"/>
  <c r="E400" i="64"/>
  <c r="E401" i="64"/>
  <c r="E402" i="64"/>
  <c r="E403" i="64"/>
  <c r="E3" i="61"/>
  <c r="E4" i="61"/>
  <c r="E5" i="61"/>
  <c r="E6" i="61"/>
  <c r="E7" i="61"/>
  <c r="E8" i="61"/>
  <c r="E9" i="61"/>
  <c r="E10" i="61"/>
  <c r="E11" i="61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47" i="61"/>
  <c r="C47" i="61" s="1"/>
  <c r="E48" i="61"/>
  <c r="E49" i="61"/>
  <c r="E50" i="61"/>
  <c r="E51" i="61"/>
  <c r="E52" i="61"/>
  <c r="E53" i="61"/>
  <c r="E54" i="61"/>
  <c r="E55" i="61"/>
  <c r="E56" i="61"/>
  <c r="E57" i="61"/>
  <c r="E58" i="61"/>
  <c r="E59" i="61"/>
  <c r="E60" i="61"/>
  <c r="E61" i="61"/>
  <c r="E62" i="61"/>
  <c r="E63" i="61"/>
  <c r="E64" i="61"/>
  <c r="E65" i="61"/>
  <c r="E66" i="61"/>
  <c r="E67" i="61"/>
  <c r="E68" i="61"/>
  <c r="E69" i="61"/>
  <c r="E70" i="61"/>
  <c r="E71" i="61"/>
  <c r="E72" i="61"/>
  <c r="E73" i="61"/>
  <c r="E74" i="61"/>
  <c r="E75" i="61"/>
  <c r="E76" i="61"/>
  <c r="E77" i="61"/>
  <c r="E78" i="61"/>
  <c r="E79" i="61"/>
  <c r="E80" i="61"/>
  <c r="E81" i="61"/>
  <c r="E82" i="61"/>
  <c r="E83" i="61"/>
  <c r="E84" i="61"/>
  <c r="E85" i="61"/>
  <c r="E86" i="61"/>
  <c r="E87" i="61"/>
  <c r="E88" i="61"/>
  <c r="E89" i="61"/>
  <c r="E90" i="61"/>
  <c r="E91" i="61"/>
  <c r="E92" i="61"/>
  <c r="E93" i="61"/>
  <c r="E94" i="61"/>
  <c r="E95" i="61"/>
  <c r="E96" i="61"/>
  <c r="E97" i="61"/>
  <c r="E98" i="61"/>
  <c r="E99" i="61"/>
  <c r="E100" i="61"/>
  <c r="E101" i="61"/>
  <c r="E102" i="61"/>
  <c r="E103" i="61"/>
  <c r="E104" i="61"/>
  <c r="E105" i="61"/>
  <c r="E106" i="61"/>
  <c r="E107" i="61"/>
  <c r="E108" i="61"/>
  <c r="E109" i="61"/>
  <c r="E110" i="61"/>
  <c r="E111" i="61"/>
  <c r="E112" i="61"/>
  <c r="E113" i="61"/>
  <c r="E114" i="61"/>
  <c r="E115" i="61"/>
  <c r="E116" i="61"/>
  <c r="E2" i="61"/>
  <c r="E3" i="58"/>
  <c r="E4" i="58"/>
  <c r="E5" i="58"/>
  <c r="E6" i="58"/>
  <c r="E7" i="58"/>
  <c r="E8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39" i="58"/>
  <c r="E40" i="58"/>
  <c r="E41" i="58"/>
  <c r="E42" i="58"/>
  <c r="E43" i="58"/>
  <c r="E44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8" i="58"/>
  <c r="E59" i="58"/>
  <c r="E60" i="58"/>
  <c r="E61" i="58"/>
  <c r="E62" i="58"/>
  <c r="E63" i="58"/>
  <c r="E64" i="58"/>
  <c r="E65" i="58"/>
  <c r="E66" i="58"/>
  <c r="E67" i="58"/>
  <c r="E68" i="58"/>
  <c r="E69" i="58"/>
  <c r="E70" i="58"/>
  <c r="E71" i="58"/>
  <c r="E72" i="58"/>
  <c r="E73" i="58"/>
  <c r="E74" i="58"/>
  <c r="E75" i="58"/>
  <c r="E76" i="58"/>
  <c r="E77" i="58"/>
  <c r="E78" i="58"/>
  <c r="E79" i="58"/>
  <c r="E80" i="58"/>
  <c r="E81" i="58"/>
  <c r="E82" i="58"/>
  <c r="E83" i="58"/>
  <c r="E84" i="58"/>
  <c r="E85" i="58"/>
  <c r="E86" i="58"/>
  <c r="E87" i="58"/>
  <c r="E88" i="58"/>
  <c r="E89" i="58"/>
  <c r="E90" i="58"/>
  <c r="E91" i="58"/>
  <c r="E92" i="58"/>
  <c r="E93" i="58"/>
  <c r="E94" i="58"/>
  <c r="E95" i="58"/>
  <c r="E96" i="58"/>
  <c r="E97" i="58"/>
  <c r="E98" i="58"/>
  <c r="E99" i="58"/>
  <c r="E100" i="58"/>
  <c r="E101" i="58"/>
  <c r="E102" i="58"/>
  <c r="E103" i="58"/>
  <c r="E104" i="58"/>
  <c r="E105" i="58"/>
  <c r="E106" i="58"/>
  <c r="E107" i="58"/>
  <c r="E108" i="58"/>
  <c r="E109" i="58"/>
  <c r="E110" i="58"/>
  <c r="E111" i="58"/>
  <c r="E112" i="58"/>
  <c r="E113" i="58"/>
  <c r="E114" i="58"/>
  <c r="E115" i="58"/>
  <c r="E116" i="58"/>
  <c r="E2" i="58"/>
  <c r="E2" i="55"/>
  <c r="E3" i="52"/>
  <c r="B3" i="52" s="1"/>
  <c r="E4" i="52"/>
  <c r="B4" i="52" s="1"/>
  <c r="E5" i="52"/>
  <c r="B5" i="52" s="1"/>
  <c r="E6" i="52"/>
  <c r="B6" i="52" s="1"/>
  <c r="E7" i="52"/>
  <c r="B7" i="52" s="1"/>
  <c r="E8" i="52"/>
  <c r="B8" i="52" s="1"/>
  <c r="E9" i="52"/>
  <c r="B9" i="52" s="1"/>
  <c r="E10" i="52"/>
  <c r="B10" i="52" s="1"/>
  <c r="E11" i="52"/>
  <c r="B11" i="52" s="1"/>
  <c r="E12" i="52"/>
  <c r="B12" i="52" s="1"/>
  <c r="E13" i="52"/>
  <c r="B13" i="52" s="1"/>
  <c r="E14" i="52"/>
  <c r="B14" i="52" s="1"/>
  <c r="E15" i="52"/>
  <c r="B15" i="52" s="1"/>
  <c r="E16" i="52"/>
  <c r="B16" i="52" s="1"/>
  <c r="E17" i="52"/>
  <c r="B17" i="52" s="1"/>
  <c r="E18" i="52"/>
  <c r="B18" i="52" s="1"/>
  <c r="E19" i="52"/>
  <c r="B19" i="52" s="1"/>
  <c r="E20" i="52"/>
  <c r="B20" i="52" s="1"/>
  <c r="E21" i="52"/>
  <c r="B21" i="52" s="1"/>
  <c r="E22" i="52"/>
  <c r="B22" i="52" s="1"/>
  <c r="E23" i="52"/>
  <c r="B23" i="52" s="1"/>
  <c r="E24" i="52"/>
  <c r="B24" i="52" s="1"/>
  <c r="E25" i="52"/>
  <c r="B25" i="52" s="1"/>
  <c r="E26" i="52"/>
  <c r="B26" i="52" s="1"/>
  <c r="E27" i="52"/>
  <c r="B27" i="52" s="1"/>
  <c r="E28" i="52"/>
  <c r="B28" i="52" s="1"/>
  <c r="E29" i="52"/>
  <c r="B29" i="52" s="1"/>
  <c r="E30" i="52"/>
  <c r="B30" i="52" s="1"/>
  <c r="E31" i="52"/>
  <c r="B31" i="52" s="1"/>
  <c r="E32" i="52"/>
  <c r="B32" i="52" s="1"/>
  <c r="E33" i="52"/>
  <c r="B33" i="52" s="1"/>
  <c r="E34" i="52"/>
  <c r="B34" i="52" s="1"/>
  <c r="E35" i="52"/>
  <c r="B35" i="52" s="1"/>
  <c r="E36" i="52"/>
  <c r="B36" i="52" s="1"/>
  <c r="E37" i="52"/>
  <c r="B37" i="52" s="1"/>
  <c r="E38" i="52"/>
  <c r="B38" i="52" s="1"/>
  <c r="E39" i="52"/>
  <c r="B39" i="52" s="1"/>
  <c r="E40" i="52"/>
  <c r="B40" i="52" s="1"/>
  <c r="E41" i="52"/>
  <c r="B41" i="52" s="1"/>
  <c r="E42" i="52"/>
  <c r="B42" i="52" s="1"/>
  <c r="E43" i="52"/>
  <c r="B43" i="52" s="1"/>
  <c r="E44" i="52"/>
  <c r="B44" i="52" s="1"/>
  <c r="E45" i="52"/>
  <c r="B45" i="52" s="1"/>
  <c r="E46" i="52"/>
  <c r="B46" i="52" s="1"/>
  <c r="E47" i="52"/>
  <c r="B47" i="52" s="1"/>
  <c r="E48" i="52"/>
  <c r="B48" i="52" s="1"/>
  <c r="E49" i="52"/>
  <c r="B49" i="52" s="1"/>
  <c r="E50" i="52"/>
  <c r="B50" i="52" s="1"/>
  <c r="E51" i="52"/>
  <c r="B51" i="52" s="1"/>
  <c r="E52" i="52"/>
  <c r="B52" i="52" s="1"/>
  <c r="E53" i="52"/>
  <c r="B53" i="52" s="1"/>
  <c r="E54" i="52"/>
  <c r="B54" i="52" s="1"/>
  <c r="E55" i="52"/>
  <c r="B55" i="52" s="1"/>
  <c r="E56" i="52"/>
  <c r="B56" i="52" s="1"/>
  <c r="E57" i="52"/>
  <c r="B57" i="52" s="1"/>
  <c r="E58" i="52"/>
  <c r="B58" i="52" s="1"/>
  <c r="E59" i="52"/>
  <c r="B59" i="52" s="1"/>
  <c r="E60" i="52"/>
  <c r="B60" i="52" s="1"/>
  <c r="E61" i="52"/>
  <c r="B61" i="52" s="1"/>
  <c r="E62" i="52"/>
  <c r="B62" i="52" s="1"/>
  <c r="E63" i="52"/>
  <c r="B63" i="52" s="1"/>
  <c r="E64" i="52"/>
  <c r="B64" i="52" s="1"/>
  <c r="E65" i="52"/>
  <c r="B65" i="52" s="1"/>
  <c r="E66" i="52"/>
  <c r="B66" i="52" s="1"/>
  <c r="E67" i="52"/>
  <c r="B67" i="52" s="1"/>
  <c r="E68" i="52"/>
  <c r="B68" i="52" s="1"/>
  <c r="E69" i="52"/>
  <c r="B69" i="52" s="1"/>
  <c r="E70" i="52"/>
  <c r="B70" i="52" s="1"/>
  <c r="E71" i="52"/>
  <c r="B71" i="52" s="1"/>
  <c r="E72" i="52"/>
  <c r="B72" i="52" s="1"/>
  <c r="E73" i="52"/>
  <c r="B73" i="52" s="1"/>
  <c r="E74" i="52"/>
  <c r="B74" i="52" s="1"/>
  <c r="E75" i="52"/>
  <c r="B75" i="52" s="1"/>
  <c r="E76" i="52"/>
  <c r="B76" i="52" s="1"/>
  <c r="E77" i="52"/>
  <c r="B77" i="52" s="1"/>
  <c r="E78" i="52"/>
  <c r="B78" i="52" s="1"/>
  <c r="E79" i="52"/>
  <c r="B79" i="52" s="1"/>
  <c r="E80" i="52"/>
  <c r="B80" i="52" s="1"/>
  <c r="E81" i="52"/>
  <c r="B81" i="52" s="1"/>
  <c r="E82" i="52"/>
  <c r="B82" i="52" s="1"/>
  <c r="E83" i="52"/>
  <c r="B83" i="52" s="1"/>
  <c r="E84" i="52"/>
  <c r="B84" i="52" s="1"/>
  <c r="E85" i="52"/>
  <c r="B85" i="52" s="1"/>
  <c r="E86" i="52"/>
  <c r="B86" i="52" s="1"/>
  <c r="E87" i="52"/>
  <c r="B87" i="52" s="1"/>
  <c r="E88" i="52"/>
  <c r="B88" i="52" s="1"/>
  <c r="E89" i="52"/>
  <c r="B89" i="52" s="1"/>
  <c r="E90" i="52"/>
  <c r="B90" i="52" s="1"/>
  <c r="E91" i="52"/>
  <c r="B91" i="52" s="1"/>
  <c r="E92" i="52"/>
  <c r="B92" i="52" s="1"/>
  <c r="E93" i="52"/>
  <c r="B93" i="52" s="1"/>
  <c r="E94" i="52"/>
  <c r="B94" i="52" s="1"/>
  <c r="E95" i="52"/>
  <c r="B95" i="52" s="1"/>
  <c r="E96" i="52"/>
  <c r="B96" i="52" s="1"/>
  <c r="E97" i="52"/>
  <c r="B97" i="52" s="1"/>
  <c r="E98" i="52"/>
  <c r="B98" i="52" s="1"/>
  <c r="E99" i="52"/>
  <c r="B99" i="52" s="1"/>
  <c r="E100" i="52"/>
  <c r="B100" i="52" s="1"/>
  <c r="E101" i="52"/>
  <c r="B101" i="52" s="1"/>
  <c r="E102" i="52"/>
  <c r="B102" i="52" s="1"/>
  <c r="E103" i="52"/>
  <c r="B103" i="52" s="1"/>
  <c r="E104" i="52"/>
  <c r="B104" i="52" s="1"/>
  <c r="E105" i="52"/>
  <c r="B105" i="52" s="1"/>
  <c r="E106" i="52"/>
  <c r="B106" i="52" s="1"/>
  <c r="E107" i="52"/>
  <c r="B107" i="52" s="1"/>
  <c r="E108" i="52"/>
  <c r="B108" i="52" s="1"/>
  <c r="E109" i="52"/>
  <c r="B109" i="52" s="1"/>
  <c r="E110" i="52"/>
  <c r="B110" i="52" s="1"/>
  <c r="E111" i="52"/>
  <c r="B111" i="52" s="1"/>
  <c r="E112" i="52"/>
  <c r="B112" i="52" s="1"/>
  <c r="E113" i="52"/>
  <c r="B113" i="52" s="1"/>
  <c r="E114" i="52"/>
  <c r="B114" i="52" s="1"/>
  <c r="E115" i="52"/>
  <c r="B115" i="52" s="1"/>
  <c r="E116" i="52"/>
  <c r="B116" i="52" s="1"/>
  <c r="E117" i="52"/>
  <c r="B117" i="52" s="1"/>
  <c r="E118" i="52"/>
  <c r="B118" i="52" s="1"/>
  <c r="E119" i="52"/>
  <c r="B119" i="52" s="1"/>
  <c r="E120" i="52"/>
  <c r="B120" i="52" s="1"/>
  <c r="E121" i="52"/>
  <c r="B121" i="52" s="1"/>
  <c r="E122" i="52"/>
  <c r="B122" i="52" s="1"/>
  <c r="E123" i="52"/>
  <c r="B123" i="52" s="1"/>
  <c r="E124" i="52"/>
  <c r="B124" i="52" s="1"/>
  <c r="E125" i="52"/>
  <c r="B125" i="52" s="1"/>
  <c r="E126" i="52"/>
  <c r="B126" i="52" s="1"/>
  <c r="E127" i="52"/>
  <c r="B127" i="52" s="1"/>
  <c r="E128" i="52"/>
  <c r="B128" i="52" s="1"/>
  <c r="E129" i="52"/>
  <c r="B129" i="52" s="1"/>
  <c r="E130" i="52"/>
  <c r="B130" i="52" s="1"/>
  <c r="E131" i="52"/>
  <c r="B131" i="52" s="1"/>
  <c r="E132" i="52"/>
  <c r="B132" i="52" s="1"/>
  <c r="E133" i="52"/>
  <c r="B133" i="52" s="1"/>
  <c r="E134" i="52"/>
  <c r="B134" i="52" s="1"/>
  <c r="E135" i="52"/>
  <c r="B135" i="52" s="1"/>
  <c r="E136" i="52"/>
  <c r="B136" i="52" s="1"/>
  <c r="E137" i="52"/>
  <c r="B137" i="52" s="1"/>
  <c r="E138" i="52"/>
  <c r="B138" i="52" s="1"/>
  <c r="E139" i="52"/>
  <c r="B139" i="52" s="1"/>
  <c r="E140" i="52"/>
  <c r="B140" i="52" s="1"/>
  <c r="E141" i="52"/>
  <c r="B141" i="52" s="1"/>
  <c r="E142" i="52"/>
  <c r="B142" i="52" s="1"/>
  <c r="E143" i="52"/>
  <c r="B143" i="52" s="1"/>
  <c r="E144" i="52"/>
  <c r="B144" i="52" s="1"/>
  <c r="E145" i="52"/>
  <c r="B145" i="52" s="1"/>
  <c r="E146" i="52"/>
  <c r="B146" i="52" s="1"/>
  <c r="E147" i="52"/>
  <c r="B147" i="52" s="1"/>
  <c r="E148" i="52"/>
  <c r="B148" i="52" s="1"/>
  <c r="E149" i="52"/>
  <c r="B149" i="52" s="1"/>
  <c r="E150" i="52"/>
  <c r="B150" i="52" s="1"/>
  <c r="E151" i="52"/>
  <c r="B151" i="52" s="1"/>
  <c r="E152" i="52"/>
  <c r="B152" i="52" s="1"/>
  <c r="E153" i="52"/>
  <c r="B153" i="52" s="1"/>
  <c r="E154" i="52"/>
  <c r="B154" i="52" s="1"/>
  <c r="E155" i="52"/>
  <c r="B155" i="52" s="1"/>
  <c r="E156" i="52"/>
  <c r="B156" i="52" s="1"/>
  <c r="E157" i="52"/>
  <c r="B157" i="52" s="1"/>
  <c r="E158" i="52"/>
  <c r="B158" i="52" s="1"/>
  <c r="E159" i="52"/>
  <c r="B159" i="52" s="1"/>
  <c r="E160" i="52"/>
  <c r="B160" i="52" s="1"/>
  <c r="E161" i="52"/>
  <c r="B161" i="52" s="1"/>
  <c r="E162" i="52"/>
  <c r="B162" i="52" s="1"/>
  <c r="E163" i="52"/>
  <c r="B163" i="52" s="1"/>
  <c r="E164" i="52"/>
  <c r="B164" i="52" s="1"/>
  <c r="E165" i="52"/>
  <c r="B165" i="52" s="1"/>
  <c r="E166" i="52"/>
  <c r="B166" i="52" s="1"/>
  <c r="E167" i="52"/>
  <c r="B167" i="52" s="1"/>
  <c r="E168" i="52"/>
  <c r="B168" i="52" s="1"/>
  <c r="E169" i="52"/>
  <c r="B169" i="52" s="1"/>
  <c r="E170" i="52"/>
  <c r="B170" i="52" s="1"/>
  <c r="E171" i="52"/>
  <c r="B171" i="52" s="1"/>
  <c r="E172" i="52"/>
  <c r="B172" i="52" s="1"/>
  <c r="E173" i="52"/>
  <c r="B173" i="52" s="1"/>
  <c r="E174" i="52"/>
  <c r="B174" i="52" s="1"/>
  <c r="E175" i="52"/>
  <c r="B175" i="52" s="1"/>
  <c r="E176" i="52"/>
  <c r="B176" i="52" s="1"/>
  <c r="E177" i="52"/>
  <c r="B177" i="52" s="1"/>
  <c r="E178" i="52"/>
  <c r="B178" i="52" s="1"/>
  <c r="E179" i="52"/>
  <c r="B179" i="52" s="1"/>
  <c r="E180" i="52"/>
  <c r="B180" i="52" s="1"/>
  <c r="E181" i="52"/>
  <c r="B181" i="52" s="1"/>
  <c r="E182" i="52"/>
  <c r="B182" i="52" s="1"/>
  <c r="E183" i="52"/>
  <c r="B183" i="52" s="1"/>
  <c r="E184" i="52"/>
  <c r="B184" i="52" s="1"/>
  <c r="E185" i="52"/>
  <c r="B185" i="52" s="1"/>
  <c r="E186" i="52"/>
  <c r="B186" i="52" s="1"/>
  <c r="E187" i="52"/>
  <c r="B187" i="52" s="1"/>
  <c r="E188" i="52"/>
  <c r="B188" i="52" s="1"/>
  <c r="E189" i="52"/>
  <c r="B189" i="52" s="1"/>
  <c r="E190" i="52"/>
  <c r="B190" i="52" s="1"/>
  <c r="E191" i="52"/>
  <c r="B191" i="52" s="1"/>
  <c r="E192" i="52"/>
  <c r="B192" i="52" s="1"/>
  <c r="E193" i="52"/>
  <c r="B193" i="52" s="1"/>
  <c r="E194" i="52"/>
  <c r="B194" i="52" s="1"/>
  <c r="E195" i="52"/>
  <c r="B195" i="52" s="1"/>
  <c r="E196" i="52"/>
  <c r="B196" i="52" s="1"/>
  <c r="E197" i="52"/>
  <c r="B197" i="52" s="1"/>
  <c r="E198" i="52"/>
  <c r="B198" i="52" s="1"/>
  <c r="E199" i="52"/>
  <c r="B199" i="52" s="1"/>
  <c r="E200" i="52"/>
  <c r="B200" i="52" s="1"/>
  <c r="E201" i="52"/>
  <c r="B201" i="52" s="1"/>
  <c r="E202" i="52"/>
  <c r="B202" i="52" s="1"/>
  <c r="E203" i="52"/>
  <c r="B203" i="52" s="1"/>
  <c r="E204" i="52"/>
  <c r="B204" i="52" s="1"/>
  <c r="E205" i="52"/>
  <c r="B205" i="52" s="1"/>
  <c r="E206" i="52"/>
  <c r="B206" i="52" s="1"/>
  <c r="E207" i="52"/>
  <c r="B207" i="52" s="1"/>
  <c r="E208" i="52"/>
  <c r="B208" i="52" s="1"/>
  <c r="E209" i="52"/>
  <c r="B209" i="52" s="1"/>
  <c r="E210" i="52"/>
  <c r="B210" i="52" s="1"/>
  <c r="E211" i="52"/>
  <c r="B211" i="52" s="1"/>
  <c r="E212" i="52"/>
  <c r="B212" i="52" s="1"/>
  <c r="E213" i="52"/>
  <c r="B213" i="52" s="1"/>
  <c r="E214" i="52"/>
  <c r="B214" i="52" s="1"/>
  <c r="E215" i="52"/>
  <c r="B215" i="52" s="1"/>
  <c r="E216" i="52"/>
  <c r="B216" i="52" s="1"/>
  <c r="E217" i="52"/>
  <c r="B217" i="52" s="1"/>
  <c r="E218" i="52"/>
  <c r="B218" i="52" s="1"/>
  <c r="E219" i="52"/>
  <c r="B219" i="52" s="1"/>
  <c r="E220" i="52"/>
  <c r="B220" i="52" s="1"/>
  <c r="E221" i="52"/>
  <c r="B221" i="52" s="1"/>
  <c r="E222" i="52"/>
  <c r="B222" i="52" s="1"/>
  <c r="E223" i="52"/>
  <c r="B223" i="52" s="1"/>
  <c r="E224" i="52"/>
  <c r="B224" i="52" s="1"/>
  <c r="E225" i="52"/>
  <c r="B225" i="52" s="1"/>
  <c r="E226" i="52"/>
  <c r="B226" i="52" s="1"/>
  <c r="E227" i="52"/>
  <c r="B227" i="52" s="1"/>
  <c r="E228" i="52"/>
  <c r="B228" i="52" s="1"/>
  <c r="E229" i="52"/>
  <c r="B229" i="52" s="1"/>
  <c r="E230" i="52"/>
  <c r="B230" i="52" s="1"/>
  <c r="E231" i="52"/>
  <c r="B231" i="52" s="1"/>
  <c r="E232" i="52"/>
  <c r="B232" i="52" s="1"/>
  <c r="E233" i="52"/>
  <c r="B233" i="52" s="1"/>
  <c r="E234" i="52"/>
  <c r="B234" i="52" s="1"/>
  <c r="E235" i="52"/>
  <c r="B235" i="52" s="1"/>
  <c r="E236" i="52"/>
  <c r="B236" i="52" s="1"/>
  <c r="E237" i="52"/>
  <c r="B237" i="52" s="1"/>
  <c r="E238" i="52"/>
  <c r="B238" i="52" s="1"/>
  <c r="E239" i="52"/>
  <c r="B239" i="52" s="1"/>
  <c r="E240" i="52"/>
  <c r="B240" i="52" s="1"/>
  <c r="E241" i="52"/>
  <c r="B241" i="52" s="1"/>
  <c r="E242" i="52"/>
  <c r="B242" i="52" s="1"/>
  <c r="E243" i="52"/>
  <c r="B243" i="52" s="1"/>
  <c r="E244" i="52"/>
  <c r="B244" i="52" s="1"/>
  <c r="E245" i="52"/>
  <c r="B245" i="52" s="1"/>
  <c r="E246" i="52"/>
  <c r="B246" i="52" s="1"/>
  <c r="E247" i="52"/>
  <c r="B247" i="52" s="1"/>
  <c r="E248" i="52"/>
  <c r="B248" i="52" s="1"/>
  <c r="E249" i="52"/>
  <c r="B249" i="52" s="1"/>
  <c r="E250" i="52"/>
  <c r="B250" i="52" s="1"/>
  <c r="E251" i="52"/>
  <c r="B251" i="52" s="1"/>
  <c r="E252" i="52"/>
  <c r="B252" i="52" s="1"/>
  <c r="E253" i="52"/>
  <c r="B253" i="52" s="1"/>
  <c r="E254" i="52"/>
  <c r="B254" i="52" s="1"/>
  <c r="E255" i="52"/>
  <c r="B255" i="52" s="1"/>
  <c r="E256" i="52"/>
  <c r="B256" i="52" s="1"/>
  <c r="E257" i="52"/>
  <c r="B257" i="52" s="1"/>
  <c r="E258" i="52"/>
  <c r="B258" i="52" s="1"/>
  <c r="E259" i="52"/>
  <c r="B259" i="52" s="1"/>
  <c r="E260" i="52"/>
  <c r="B260" i="52" s="1"/>
  <c r="E261" i="52"/>
  <c r="B261" i="52" s="1"/>
  <c r="E262" i="52"/>
  <c r="B262" i="52" s="1"/>
  <c r="E263" i="52"/>
  <c r="B263" i="52" s="1"/>
  <c r="E264" i="52"/>
  <c r="B264" i="52" s="1"/>
  <c r="E265" i="52"/>
  <c r="B265" i="52" s="1"/>
  <c r="E266" i="52"/>
  <c r="B266" i="52" s="1"/>
  <c r="E267" i="52"/>
  <c r="B267" i="52" s="1"/>
  <c r="E268" i="52"/>
  <c r="B268" i="52" s="1"/>
  <c r="E269" i="52"/>
  <c r="B269" i="52" s="1"/>
  <c r="E270" i="52"/>
  <c r="B270" i="52" s="1"/>
  <c r="E271" i="52"/>
  <c r="B271" i="52" s="1"/>
  <c r="E272" i="52"/>
  <c r="B272" i="52" s="1"/>
  <c r="E273" i="52"/>
  <c r="B273" i="52" s="1"/>
  <c r="E274" i="52"/>
  <c r="B274" i="52" s="1"/>
  <c r="E275" i="52"/>
  <c r="B275" i="52" s="1"/>
  <c r="E276" i="52"/>
  <c r="B276" i="52" s="1"/>
  <c r="E277" i="52"/>
  <c r="B277" i="52" s="1"/>
  <c r="E278" i="52"/>
  <c r="B278" i="52" s="1"/>
  <c r="E279" i="52"/>
  <c r="B279" i="52" s="1"/>
  <c r="E280" i="52"/>
  <c r="B280" i="52" s="1"/>
  <c r="E281" i="52"/>
  <c r="B281" i="52" s="1"/>
  <c r="E282" i="52"/>
  <c r="B282" i="52" s="1"/>
  <c r="E283" i="52"/>
  <c r="B283" i="52" s="1"/>
  <c r="E284" i="52"/>
  <c r="B284" i="52" s="1"/>
  <c r="E285" i="52"/>
  <c r="B285" i="52" s="1"/>
  <c r="E286" i="52"/>
  <c r="B286" i="52" s="1"/>
  <c r="E287" i="52"/>
  <c r="B287" i="52" s="1"/>
  <c r="E288" i="52"/>
  <c r="B288" i="52" s="1"/>
  <c r="E289" i="52"/>
  <c r="B289" i="52" s="1"/>
  <c r="E290" i="52"/>
  <c r="B290" i="52" s="1"/>
  <c r="E291" i="52"/>
  <c r="B291" i="52" s="1"/>
  <c r="E292" i="52"/>
  <c r="B292" i="52" s="1"/>
  <c r="E293" i="52"/>
  <c r="B293" i="52" s="1"/>
  <c r="E294" i="52"/>
  <c r="B294" i="52" s="1"/>
  <c r="E295" i="52"/>
  <c r="B295" i="52" s="1"/>
  <c r="E296" i="52"/>
  <c r="B296" i="52" s="1"/>
  <c r="E297" i="52"/>
  <c r="B297" i="52" s="1"/>
  <c r="E298" i="52"/>
  <c r="B298" i="52" s="1"/>
  <c r="E299" i="52"/>
  <c r="B299" i="52" s="1"/>
  <c r="E300" i="52"/>
  <c r="B300" i="52" s="1"/>
  <c r="E301" i="52"/>
  <c r="B301" i="52" s="1"/>
  <c r="E302" i="52"/>
  <c r="E303" i="52"/>
  <c r="E304" i="52"/>
  <c r="E305" i="52"/>
  <c r="E306" i="52"/>
  <c r="E307" i="52"/>
  <c r="E308" i="52"/>
  <c r="E309" i="52"/>
  <c r="E310" i="52"/>
  <c r="E311" i="52"/>
  <c r="E312" i="52"/>
  <c r="E313" i="52"/>
  <c r="E314" i="52"/>
  <c r="E315" i="52"/>
  <c r="E316" i="52"/>
  <c r="E317" i="52"/>
  <c r="E318" i="52"/>
  <c r="E319" i="52"/>
  <c r="E320" i="52"/>
  <c r="E2" i="52"/>
  <c r="B2" i="52" s="1"/>
  <c r="I211" i="64" l="1"/>
  <c r="F211" i="64"/>
  <c r="I209" i="64"/>
  <c r="F209" i="64"/>
  <c r="I207" i="64"/>
  <c r="F207" i="64"/>
  <c r="I205" i="64"/>
  <c r="F205" i="64"/>
  <c r="I203" i="64"/>
  <c r="F203" i="64"/>
  <c r="I201" i="64"/>
  <c r="F201" i="64"/>
  <c r="I199" i="64"/>
  <c r="F199" i="64"/>
  <c r="I197" i="64"/>
  <c r="F197" i="64"/>
  <c r="D197" i="64"/>
  <c r="I195" i="64"/>
  <c r="F195" i="64"/>
  <c r="D195" i="64"/>
  <c r="I212" i="64"/>
  <c r="F212" i="64"/>
  <c r="I210" i="64"/>
  <c r="F210" i="64"/>
  <c r="I208" i="64"/>
  <c r="F208" i="64"/>
  <c r="I206" i="64"/>
  <c r="F206" i="64"/>
  <c r="I204" i="64"/>
  <c r="F204" i="64"/>
  <c r="I202" i="64"/>
  <c r="F202" i="64"/>
  <c r="I200" i="64"/>
  <c r="F200" i="64"/>
  <c r="I198" i="64"/>
  <c r="F198" i="64"/>
  <c r="D196" i="64"/>
  <c r="I196" i="64"/>
  <c r="F196" i="64"/>
  <c r="D194" i="64"/>
  <c r="I194" i="64"/>
  <c r="F194" i="64"/>
  <c r="I2" i="55"/>
  <c r="G2" i="55"/>
  <c r="D2" i="55"/>
  <c r="B2" i="55"/>
  <c r="F2" i="55"/>
  <c r="C2" i="55"/>
  <c r="I184" i="52"/>
  <c r="I185" i="52"/>
  <c r="I186" i="52"/>
  <c r="I187" i="52"/>
  <c r="I188" i="52"/>
  <c r="I189" i="52"/>
  <c r="I190" i="52"/>
  <c r="I191" i="52"/>
  <c r="I192" i="52"/>
  <c r="I193" i="52"/>
  <c r="I194" i="52"/>
  <c r="I195" i="52"/>
  <c r="I196" i="52"/>
  <c r="I197" i="52"/>
  <c r="I198" i="52"/>
  <c r="I199" i="52"/>
  <c r="I200" i="52"/>
  <c r="I201" i="52"/>
  <c r="I202" i="52"/>
  <c r="I203" i="52"/>
  <c r="I204" i="52"/>
  <c r="I205" i="52"/>
  <c r="I206" i="52"/>
  <c r="I207" i="52"/>
  <c r="I208" i="52"/>
  <c r="I209" i="52"/>
  <c r="I210" i="52"/>
  <c r="I211" i="52"/>
  <c r="I212" i="52"/>
  <c r="I213" i="52"/>
  <c r="I214" i="52"/>
  <c r="I215" i="52"/>
  <c r="I216" i="52"/>
  <c r="I217" i="52"/>
  <c r="I218" i="52"/>
  <c r="I219" i="52"/>
  <c r="I220" i="52"/>
  <c r="I221" i="52"/>
  <c r="I222" i="52"/>
  <c r="I223" i="52"/>
  <c r="I224" i="52"/>
  <c r="I225" i="52"/>
  <c r="I226" i="52"/>
  <c r="I227" i="52"/>
  <c r="I228" i="52"/>
  <c r="I229" i="52"/>
  <c r="I230" i="52"/>
  <c r="I231" i="52"/>
  <c r="I232" i="52"/>
  <c r="I233" i="52"/>
  <c r="I234" i="52"/>
  <c r="I235" i="52"/>
  <c r="I236" i="52"/>
  <c r="I237" i="52"/>
  <c r="I238" i="52"/>
  <c r="I239" i="52"/>
  <c r="I240" i="52"/>
  <c r="I241" i="52"/>
  <c r="I242" i="52"/>
  <c r="I243" i="52"/>
  <c r="I244" i="52"/>
  <c r="I245" i="52"/>
  <c r="I246" i="52"/>
  <c r="I247" i="52"/>
  <c r="I248" i="52"/>
  <c r="I249" i="52"/>
  <c r="I250" i="52"/>
  <c r="I251" i="52"/>
  <c r="I252" i="52"/>
  <c r="I253" i="52"/>
  <c r="I254" i="52"/>
  <c r="I255" i="52"/>
  <c r="I256" i="52"/>
  <c r="I257" i="52"/>
  <c r="I258" i="52"/>
  <c r="I259" i="52"/>
  <c r="I260" i="52"/>
  <c r="I261" i="52"/>
  <c r="I262" i="52"/>
  <c r="I263" i="52"/>
  <c r="I264" i="52"/>
  <c r="I265" i="52"/>
  <c r="I266" i="52"/>
  <c r="I267" i="52"/>
  <c r="I268" i="52"/>
  <c r="I269" i="52"/>
  <c r="I270" i="52"/>
  <c r="I271" i="52"/>
  <c r="I272" i="52"/>
  <c r="I273" i="52"/>
  <c r="I274" i="52"/>
  <c r="I275" i="52"/>
  <c r="I276" i="52"/>
  <c r="I277" i="52"/>
  <c r="I278" i="52"/>
  <c r="I279" i="52"/>
  <c r="I280" i="52"/>
  <c r="I281" i="52"/>
  <c r="I282" i="52"/>
  <c r="I283" i="52"/>
  <c r="I284" i="52"/>
  <c r="I285" i="52"/>
  <c r="I286" i="52"/>
  <c r="I287" i="52"/>
  <c r="I288" i="52"/>
  <c r="I289" i="52"/>
  <c r="I290" i="52"/>
  <c r="I291" i="52"/>
  <c r="I292" i="52"/>
  <c r="I293" i="52"/>
  <c r="I294" i="52"/>
  <c r="I295" i="52"/>
  <c r="I296" i="52"/>
  <c r="I297" i="52"/>
  <c r="I298" i="52"/>
  <c r="I299" i="52"/>
  <c r="I300" i="52"/>
  <c r="I301" i="52"/>
  <c r="I302" i="52"/>
  <c r="I303" i="52"/>
  <c r="I304" i="52"/>
  <c r="I305" i="52"/>
  <c r="I306" i="52"/>
  <c r="I307" i="52"/>
  <c r="I308" i="52"/>
  <c r="I309" i="52"/>
  <c r="I310" i="52"/>
  <c r="I311" i="52"/>
  <c r="I312" i="52"/>
  <c r="I313" i="52"/>
  <c r="I314" i="52"/>
  <c r="I315" i="52"/>
  <c r="I316" i="52"/>
  <c r="I317" i="52"/>
  <c r="I318" i="52"/>
  <c r="I319" i="52"/>
  <c r="I320" i="52"/>
  <c r="I321" i="52"/>
  <c r="I322" i="52"/>
  <c r="I323" i="52"/>
  <c r="I324" i="52"/>
  <c r="I325" i="52"/>
  <c r="I326" i="52"/>
  <c r="I327" i="52"/>
  <c r="I328" i="52"/>
  <c r="I329" i="52"/>
  <c r="I330" i="52"/>
  <c r="I331" i="52"/>
  <c r="I332" i="52"/>
  <c r="I333" i="52"/>
  <c r="I334" i="52"/>
  <c r="I335" i="52"/>
  <c r="I336" i="52"/>
  <c r="I337" i="52"/>
  <c r="I338" i="52"/>
  <c r="I339" i="52"/>
  <c r="I340" i="52"/>
  <c r="I341" i="52"/>
  <c r="I342" i="52"/>
  <c r="I343" i="52"/>
  <c r="I344" i="52"/>
  <c r="I345" i="52"/>
  <c r="I346" i="52"/>
  <c r="I347" i="52"/>
  <c r="I348" i="52"/>
  <c r="I349" i="52"/>
  <c r="I350" i="52"/>
  <c r="I351" i="52"/>
  <c r="I352" i="52"/>
  <c r="I353" i="52"/>
  <c r="I354" i="52"/>
  <c r="I355" i="52"/>
  <c r="I356" i="52"/>
  <c r="I357" i="52"/>
  <c r="I358" i="52"/>
  <c r="I359" i="52"/>
  <c r="I360" i="52"/>
  <c r="I361" i="52"/>
  <c r="I362" i="52"/>
  <c r="I363" i="52"/>
  <c r="I364" i="52"/>
  <c r="I365" i="52"/>
  <c r="I366" i="52"/>
  <c r="I367" i="52"/>
  <c r="I368" i="52"/>
  <c r="I369" i="52"/>
  <c r="I370" i="52"/>
  <c r="I371" i="52"/>
  <c r="I372" i="52"/>
  <c r="I373" i="52"/>
  <c r="I374" i="52"/>
  <c r="I375" i="52"/>
  <c r="I376" i="52"/>
  <c r="I377" i="52"/>
  <c r="I378" i="52"/>
  <c r="I379" i="52"/>
  <c r="I380" i="52"/>
  <c r="I381" i="52"/>
  <c r="I382" i="52"/>
  <c r="I383" i="52"/>
  <c r="I384" i="52"/>
  <c r="I385" i="52"/>
  <c r="I386" i="52"/>
  <c r="I387" i="52"/>
  <c r="I388" i="52"/>
  <c r="I389" i="52"/>
  <c r="I390" i="52"/>
  <c r="I391" i="52"/>
  <c r="I392" i="52"/>
  <c r="I393" i="52"/>
  <c r="I394" i="52"/>
  <c r="I395" i="52"/>
  <c r="I396" i="52"/>
  <c r="I397" i="52"/>
  <c r="I398" i="52"/>
  <c r="I399" i="52"/>
  <c r="I400" i="52"/>
  <c r="I401" i="52"/>
  <c r="I165" i="52"/>
  <c r="I166" i="52"/>
  <c r="I167" i="52"/>
  <c r="I168" i="52"/>
  <c r="I169" i="52"/>
  <c r="I170" i="52"/>
  <c r="I171" i="52"/>
  <c r="I172" i="52"/>
  <c r="I173" i="52"/>
  <c r="I174" i="52"/>
  <c r="I175" i="52"/>
  <c r="I176" i="52"/>
  <c r="I177" i="52"/>
  <c r="I178" i="52"/>
  <c r="I179" i="52"/>
  <c r="I180" i="52"/>
  <c r="I181" i="52"/>
  <c r="I182" i="52"/>
  <c r="I183" i="52"/>
  <c r="I138" i="52"/>
  <c r="I139" i="52"/>
  <c r="I140" i="52"/>
  <c r="I141" i="52"/>
  <c r="I142" i="52"/>
  <c r="I143" i="52"/>
  <c r="I144" i="52"/>
  <c r="I145" i="52"/>
  <c r="I146" i="52"/>
  <c r="I147" i="52"/>
  <c r="I148" i="52"/>
  <c r="I149" i="52"/>
  <c r="I150" i="52"/>
  <c r="I151" i="52"/>
  <c r="I152" i="52"/>
  <c r="I153" i="52"/>
  <c r="I154" i="52"/>
  <c r="I155" i="52"/>
  <c r="I156" i="52"/>
  <c r="I157" i="52"/>
  <c r="I158" i="52"/>
  <c r="I159" i="52"/>
  <c r="I160" i="52"/>
  <c r="I161" i="52"/>
  <c r="I162" i="52"/>
  <c r="I163" i="52"/>
  <c r="I164" i="52"/>
  <c r="I105" i="52"/>
  <c r="I106" i="52"/>
  <c r="I107" i="52"/>
  <c r="I108" i="52"/>
  <c r="I109" i="52"/>
  <c r="I110" i="52"/>
  <c r="I111" i="52"/>
  <c r="I112" i="52"/>
  <c r="I113" i="52"/>
  <c r="I114" i="52"/>
  <c r="I115" i="52"/>
  <c r="I116" i="52"/>
  <c r="I117" i="52"/>
  <c r="I118" i="52"/>
  <c r="I119" i="52"/>
  <c r="I120" i="52"/>
  <c r="I121" i="52"/>
  <c r="I122" i="52"/>
  <c r="I123" i="52"/>
  <c r="I124" i="52"/>
  <c r="I125" i="52"/>
  <c r="I126" i="52"/>
  <c r="I127" i="52"/>
  <c r="I128" i="52"/>
  <c r="I129" i="52"/>
  <c r="I130" i="52"/>
  <c r="I131" i="52"/>
  <c r="I132" i="52"/>
  <c r="I133" i="52"/>
  <c r="I134" i="52"/>
  <c r="I135" i="52"/>
  <c r="I136" i="52"/>
  <c r="I137" i="52"/>
  <c r="I3" i="52"/>
  <c r="I4" i="52"/>
  <c r="I5" i="52"/>
  <c r="I6" i="52"/>
  <c r="I7" i="52"/>
  <c r="I8" i="52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23" i="52"/>
  <c r="I24" i="52"/>
  <c r="I25" i="52"/>
  <c r="I26" i="52"/>
  <c r="I27" i="52"/>
  <c r="I28" i="52"/>
  <c r="I29" i="52"/>
  <c r="I30" i="52"/>
  <c r="I31" i="52"/>
  <c r="I32" i="52"/>
  <c r="I33" i="52"/>
  <c r="I34" i="52"/>
  <c r="I35" i="52"/>
  <c r="I36" i="52"/>
  <c r="I37" i="52"/>
  <c r="I38" i="52"/>
  <c r="I39" i="52"/>
  <c r="I40" i="52"/>
  <c r="I41" i="52"/>
  <c r="I42" i="52"/>
  <c r="I43" i="52"/>
  <c r="I44" i="52"/>
  <c r="I45" i="52"/>
  <c r="I46" i="52"/>
  <c r="I47" i="52"/>
  <c r="I48" i="52"/>
  <c r="I49" i="52"/>
  <c r="I50" i="52"/>
  <c r="I51" i="52"/>
  <c r="I52" i="52"/>
  <c r="I53" i="52"/>
  <c r="I54" i="52"/>
  <c r="I55" i="52"/>
  <c r="I56" i="52"/>
  <c r="I57" i="52"/>
  <c r="I58" i="52"/>
  <c r="I59" i="52"/>
  <c r="I60" i="52"/>
  <c r="I61" i="52"/>
  <c r="I62" i="52"/>
  <c r="I63" i="52"/>
  <c r="I64" i="52"/>
  <c r="I65" i="52"/>
  <c r="I66" i="52"/>
  <c r="I67" i="52"/>
  <c r="I68" i="52"/>
  <c r="I69" i="52"/>
  <c r="I70" i="52"/>
  <c r="I71" i="52"/>
  <c r="I72" i="52"/>
  <c r="I73" i="52"/>
  <c r="I74" i="52"/>
  <c r="I75" i="52"/>
  <c r="I76" i="52"/>
  <c r="I77" i="52"/>
  <c r="I78" i="52"/>
  <c r="I79" i="52"/>
  <c r="I80" i="52"/>
  <c r="I81" i="52"/>
  <c r="I82" i="52"/>
  <c r="I83" i="52"/>
  <c r="I84" i="52"/>
  <c r="I85" i="52"/>
  <c r="I86" i="52"/>
  <c r="I87" i="52"/>
  <c r="I88" i="52"/>
  <c r="I89" i="52"/>
  <c r="I90" i="52"/>
  <c r="I91" i="52"/>
  <c r="I92" i="52"/>
  <c r="I93" i="52"/>
  <c r="I94" i="52"/>
  <c r="I95" i="52"/>
  <c r="I96" i="52"/>
  <c r="I97" i="52"/>
  <c r="I98" i="52"/>
  <c r="I99" i="52"/>
  <c r="I100" i="52"/>
  <c r="I101" i="52"/>
  <c r="I102" i="52"/>
  <c r="I103" i="52"/>
  <c r="I104" i="52"/>
  <c r="I2" i="52"/>
  <c r="F36" i="52"/>
  <c r="F37" i="52"/>
  <c r="F38" i="52"/>
  <c r="F39" i="52"/>
  <c r="F40" i="52"/>
  <c r="F41" i="52"/>
  <c r="F42" i="52"/>
  <c r="F43" i="52"/>
  <c r="F44" i="52"/>
  <c r="F45" i="52"/>
  <c r="F46" i="52"/>
  <c r="F47" i="52"/>
  <c r="F48" i="52"/>
  <c r="F49" i="52"/>
  <c r="F50" i="52"/>
  <c r="F51" i="52"/>
  <c r="F52" i="52"/>
  <c r="F53" i="52"/>
  <c r="F54" i="52"/>
  <c r="F55" i="52"/>
  <c r="F56" i="52"/>
  <c r="F57" i="52"/>
  <c r="F58" i="52"/>
  <c r="F59" i="52"/>
  <c r="F60" i="52"/>
  <c r="F61" i="52"/>
  <c r="F62" i="52"/>
  <c r="F63" i="52"/>
  <c r="F64" i="52"/>
  <c r="F65" i="52"/>
  <c r="F66" i="52"/>
  <c r="F67" i="52"/>
  <c r="F68" i="52"/>
  <c r="F69" i="52"/>
  <c r="F70" i="52"/>
  <c r="F71" i="52"/>
  <c r="F72" i="52"/>
  <c r="F73" i="52"/>
  <c r="F74" i="52"/>
  <c r="F75" i="52"/>
  <c r="F76" i="52"/>
  <c r="F77" i="52"/>
  <c r="F78" i="52"/>
  <c r="F79" i="52"/>
  <c r="F80" i="52"/>
  <c r="F81" i="52"/>
  <c r="F82" i="52"/>
  <c r="F83" i="52"/>
  <c r="F84" i="52"/>
  <c r="F85" i="52"/>
  <c r="F86" i="52"/>
  <c r="F87" i="52"/>
  <c r="F88" i="52"/>
  <c r="F89" i="52"/>
  <c r="F90" i="52"/>
  <c r="F91" i="52"/>
  <c r="F92" i="52"/>
  <c r="F93" i="52"/>
  <c r="F94" i="52"/>
  <c r="F95" i="52"/>
  <c r="F96" i="52"/>
  <c r="F97" i="52"/>
  <c r="F98" i="52"/>
  <c r="F99" i="52"/>
  <c r="F100" i="52"/>
  <c r="F101" i="52"/>
  <c r="F102" i="52"/>
  <c r="F103" i="52"/>
  <c r="F104" i="52"/>
  <c r="F105" i="52"/>
  <c r="F106" i="52"/>
  <c r="F107" i="52"/>
  <c r="F108" i="52"/>
  <c r="F109" i="52"/>
  <c r="F110" i="52"/>
  <c r="F111" i="52"/>
  <c r="F112" i="52"/>
  <c r="F113" i="52"/>
  <c r="F114" i="52"/>
  <c r="F115" i="52"/>
  <c r="F116" i="52"/>
  <c r="F117" i="52"/>
  <c r="F118" i="52"/>
  <c r="F119" i="52"/>
  <c r="F120" i="52"/>
  <c r="F121" i="52"/>
  <c r="F122" i="52"/>
  <c r="F123" i="52"/>
  <c r="F124" i="52"/>
  <c r="F125" i="52"/>
  <c r="F126" i="52"/>
  <c r="F127" i="52"/>
  <c r="F128" i="52"/>
  <c r="F129" i="52"/>
  <c r="F130" i="52"/>
  <c r="F131" i="52"/>
  <c r="F132" i="52"/>
  <c r="F133" i="52"/>
  <c r="F134" i="52"/>
  <c r="F135" i="52"/>
  <c r="F136" i="52"/>
  <c r="F137" i="52"/>
  <c r="F138" i="52"/>
  <c r="F139" i="52"/>
  <c r="F140" i="52"/>
  <c r="F141" i="52"/>
  <c r="F142" i="52"/>
  <c r="F143" i="52"/>
  <c r="F144" i="52"/>
  <c r="F145" i="52"/>
  <c r="F146" i="52"/>
  <c r="F147" i="52"/>
  <c r="F148" i="52"/>
  <c r="F149" i="52"/>
  <c r="F150" i="52"/>
  <c r="F151" i="52"/>
  <c r="F152" i="52"/>
  <c r="F153" i="52"/>
  <c r="F154" i="52"/>
  <c r="F155" i="52"/>
  <c r="F156" i="52"/>
  <c r="F157" i="52"/>
  <c r="F158" i="52"/>
  <c r="F159" i="52"/>
  <c r="F160" i="52"/>
  <c r="F161" i="52"/>
  <c r="F162" i="52"/>
  <c r="F163" i="52"/>
  <c r="F164" i="52"/>
  <c r="F165" i="52"/>
  <c r="F166" i="52"/>
  <c r="F167" i="52"/>
  <c r="F168" i="52"/>
  <c r="F169" i="52"/>
  <c r="F170" i="52"/>
  <c r="F171" i="52"/>
  <c r="F172" i="52"/>
  <c r="F173" i="52"/>
  <c r="F174" i="52"/>
  <c r="F175" i="52"/>
  <c r="F176" i="52"/>
  <c r="F177" i="52"/>
  <c r="F178" i="52"/>
  <c r="F179" i="52"/>
  <c r="F180" i="52"/>
  <c r="F181" i="52"/>
  <c r="F182" i="52"/>
  <c r="F183" i="52"/>
  <c r="F184" i="52"/>
  <c r="F185" i="52"/>
  <c r="F186" i="52"/>
  <c r="F187" i="52"/>
  <c r="F188" i="52"/>
  <c r="F189" i="52"/>
  <c r="F190" i="52"/>
  <c r="F191" i="52"/>
  <c r="F192" i="52"/>
  <c r="F193" i="52"/>
  <c r="F194" i="52"/>
  <c r="F195" i="52"/>
  <c r="F196" i="52"/>
  <c r="F197" i="52"/>
  <c r="F198" i="52"/>
  <c r="F199" i="52"/>
  <c r="F200" i="52"/>
  <c r="F201" i="52"/>
  <c r="F202" i="52"/>
  <c r="F203" i="52"/>
  <c r="F204" i="52"/>
  <c r="F205" i="52"/>
  <c r="F206" i="52"/>
  <c r="F207" i="52"/>
  <c r="F208" i="52"/>
  <c r="F209" i="52"/>
  <c r="F210" i="52"/>
  <c r="F211" i="52"/>
  <c r="F212" i="52"/>
  <c r="F213" i="52"/>
  <c r="F214" i="52"/>
  <c r="F215" i="52"/>
  <c r="F216" i="52"/>
  <c r="F217" i="52"/>
  <c r="F218" i="52"/>
  <c r="F219" i="52"/>
  <c r="F220" i="52"/>
  <c r="F221" i="52"/>
  <c r="F222" i="52"/>
  <c r="F223" i="52"/>
  <c r="F224" i="52"/>
  <c r="F225" i="52"/>
  <c r="F226" i="52"/>
  <c r="F227" i="52"/>
  <c r="F228" i="52"/>
  <c r="F229" i="52"/>
  <c r="F230" i="52"/>
  <c r="F231" i="52"/>
  <c r="F232" i="52"/>
  <c r="F233" i="52"/>
  <c r="F234" i="52"/>
  <c r="F235" i="52"/>
  <c r="F236" i="52"/>
  <c r="F237" i="52"/>
  <c r="F238" i="52"/>
  <c r="F239" i="52"/>
  <c r="F240" i="52"/>
  <c r="F241" i="52"/>
  <c r="F242" i="52"/>
  <c r="F243" i="52"/>
  <c r="F244" i="52"/>
  <c r="F245" i="52"/>
  <c r="F246" i="52"/>
  <c r="F247" i="52"/>
  <c r="F248" i="52"/>
  <c r="F249" i="52"/>
  <c r="F250" i="52"/>
  <c r="F251" i="52"/>
  <c r="F252" i="52"/>
  <c r="F253" i="52"/>
  <c r="F254" i="52"/>
  <c r="F255" i="52"/>
  <c r="F256" i="52"/>
  <c r="F257" i="52"/>
  <c r="F258" i="52"/>
  <c r="F259" i="52"/>
  <c r="F260" i="52"/>
  <c r="F261" i="52"/>
  <c r="F262" i="52"/>
  <c r="F263" i="52"/>
  <c r="F264" i="52"/>
  <c r="F265" i="52"/>
  <c r="F266" i="52"/>
  <c r="F267" i="52"/>
  <c r="F268" i="52"/>
  <c r="F269" i="52"/>
  <c r="F270" i="52"/>
  <c r="F271" i="52"/>
  <c r="F272" i="52"/>
  <c r="F273" i="52"/>
  <c r="F274" i="52"/>
  <c r="F275" i="52"/>
  <c r="F276" i="52"/>
  <c r="F277" i="52"/>
  <c r="F278" i="52"/>
  <c r="F279" i="52"/>
  <c r="F280" i="52"/>
  <c r="F281" i="52"/>
  <c r="F282" i="52"/>
  <c r="F283" i="52"/>
  <c r="F284" i="52"/>
  <c r="F285" i="52"/>
  <c r="F286" i="52"/>
  <c r="F287" i="52"/>
  <c r="F288" i="52"/>
  <c r="F289" i="52"/>
  <c r="F290" i="52"/>
  <c r="F291" i="52"/>
  <c r="F292" i="52"/>
  <c r="F293" i="52"/>
  <c r="F294" i="52"/>
  <c r="F295" i="52"/>
  <c r="F296" i="52"/>
  <c r="F297" i="52"/>
  <c r="F298" i="52"/>
  <c r="F299" i="52"/>
  <c r="F300" i="52"/>
  <c r="F301" i="52"/>
  <c r="F302" i="52"/>
  <c r="F303" i="52"/>
  <c r="F304" i="52"/>
  <c r="F305" i="52"/>
  <c r="F306" i="52"/>
  <c r="F307" i="52"/>
  <c r="F308" i="52"/>
  <c r="F309" i="52"/>
  <c r="F310" i="52"/>
  <c r="F311" i="52"/>
  <c r="F3" i="52"/>
  <c r="F4" i="52"/>
  <c r="F5" i="52"/>
  <c r="F6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F23" i="52"/>
  <c r="F24" i="52"/>
  <c r="F25" i="52"/>
  <c r="F26" i="52"/>
  <c r="F27" i="52"/>
  <c r="F28" i="52"/>
  <c r="F29" i="52"/>
  <c r="F30" i="52"/>
  <c r="F31" i="52"/>
  <c r="F32" i="52"/>
  <c r="F33" i="52"/>
  <c r="F34" i="52"/>
  <c r="F35" i="52"/>
  <c r="F2" i="52"/>
  <c r="D3" i="52"/>
  <c r="D4" i="52"/>
  <c r="D5" i="52"/>
  <c r="D6" i="52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39" i="52"/>
  <c r="D40" i="52"/>
  <c r="D41" i="52"/>
  <c r="D42" i="52"/>
  <c r="D43" i="52"/>
  <c r="D44" i="52"/>
  <c r="D45" i="52"/>
  <c r="D46" i="52"/>
  <c r="D47" i="52"/>
  <c r="D48" i="52"/>
  <c r="D49" i="52"/>
  <c r="D50" i="52"/>
  <c r="D51" i="52"/>
  <c r="D52" i="52"/>
  <c r="D53" i="52"/>
  <c r="D54" i="52"/>
  <c r="D55" i="52"/>
  <c r="D56" i="52"/>
  <c r="D57" i="52"/>
  <c r="D58" i="52"/>
  <c r="D59" i="52"/>
  <c r="D60" i="52"/>
  <c r="D61" i="52"/>
  <c r="D62" i="52"/>
  <c r="D63" i="52"/>
  <c r="D64" i="52"/>
  <c r="D65" i="52"/>
  <c r="D66" i="52"/>
  <c r="D67" i="52"/>
  <c r="D68" i="52"/>
  <c r="D69" i="52"/>
  <c r="D70" i="52"/>
  <c r="D71" i="52"/>
  <c r="D72" i="52"/>
  <c r="D73" i="52"/>
  <c r="D74" i="52"/>
  <c r="D75" i="52"/>
  <c r="D76" i="52"/>
  <c r="D77" i="52"/>
  <c r="D78" i="52"/>
  <c r="D79" i="52"/>
  <c r="D80" i="52"/>
  <c r="D81" i="52"/>
  <c r="D82" i="52"/>
  <c r="D83" i="52"/>
  <c r="D84" i="52"/>
  <c r="D85" i="52"/>
  <c r="D86" i="52"/>
  <c r="D87" i="52"/>
  <c r="D88" i="52"/>
  <c r="D89" i="52"/>
  <c r="D90" i="52"/>
  <c r="D91" i="52"/>
  <c r="D92" i="52"/>
  <c r="D93" i="52"/>
  <c r="D94" i="52"/>
  <c r="D95" i="52"/>
  <c r="D96" i="52"/>
  <c r="D97" i="52"/>
  <c r="D98" i="52"/>
  <c r="D99" i="52"/>
  <c r="D100" i="52"/>
  <c r="D101" i="52"/>
  <c r="D102" i="52"/>
  <c r="D103" i="52"/>
  <c r="D104" i="52"/>
  <c r="D105" i="52"/>
  <c r="D106" i="52"/>
  <c r="D107" i="52"/>
  <c r="D108" i="52"/>
  <c r="D109" i="52"/>
  <c r="D110" i="52"/>
  <c r="D111" i="52"/>
  <c r="D112" i="52"/>
  <c r="D113" i="52"/>
  <c r="D114" i="52"/>
  <c r="D115" i="52"/>
  <c r="D116" i="52"/>
  <c r="D117" i="52"/>
  <c r="D118" i="52"/>
  <c r="D119" i="52"/>
  <c r="D120" i="52"/>
  <c r="D121" i="52"/>
  <c r="D122" i="52"/>
  <c r="D123" i="52"/>
  <c r="D124" i="52"/>
  <c r="D125" i="52"/>
  <c r="D126" i="52"/>
  <c r="D127" i="52"/>
  <c r="D128" i="52"/>
  <c r="D129" i="52"/>
  <c r="D130" i="52"/>
  <c r="D131" i="52"/>
  <c r="D132" i="52"/>
  <c r="D133" i="52"/>
  <c r="D134" i="52"/>
  <c r="D135" i="52"/>
  <c r="D136" i="52"/>
  <c r="D137" i="52"/>
  <c r="D138" i="52"/>
  <c r="D139" i="52"/>
  <c r="D140" i="52"/>
  <c r="D141" i="52"/>
  <c r="D142" i="52"/>
  <c r="D143" i="52"/>
  <c r="D144" i="52"/>
  <c r="D145" i="52"/>
  <c r="D146" i="52"/>
  <c r="D147" i="52"/>
  <c r="D148" i="52"/>
  <c r="D149" i="52"/>
  <c r="D150" i="52"/>
  <c r="D151" i="52"/>
  <c r="D152" i="52"/>
  <c r="D153" i="52"/>
  <c r="D154" i="52"/>
  <c r="D155" i="52"/>
  <c r="D156" i="52"/>
  <c r="D157" i="52"/>
  <c r="D158" i="52"/>
  <c r="D159" i="52"/>
  <c r="D160" i="52"/>
  <c r="D161" i="52"/>
  <c r="D162" i="52"/>
  <c r="D163" i="52"/>
  <c r="D164" i="52"/>
  <c r="D165" i="52"/>
  <c r="D166" i="52"/>
  <c r="D167" i="52"/>
  <c r="D168" i="52"/>
  <c r="D169" i="52"/>
  <c r="D170" i="52"/>
  <c r="D171" i="52"/>
  <c r="D172" i="52"/>
  <c r="D173" i="52"/>
  <c r="D174" i="52"/>
  <c r="D175" i="52"/>
  <c r="D176" i="52"/>
  <c r="D177" i="52"/>
  <c r="D178" i="52"/>
  <c r="D179" i="52"/>
  <c r="D180" i="52"/>
  <c r="D181" i="52"/>
  <c r="D182" i="52"/>
  <c r="D183" i="52"/>
  <c r="D184" i="52"/>
  <c r="D185" i="52"/>
  <c r="D186" i="52"/>
  <c r="D187" i="52"/>
  <c r="D188" i="52"/>
  <c r="D189" i="52"/>
  <c r="D190" i="52"/>
  <c r="D191" i="52"/>
  <c r="D192" i="52"/>
  <c r="D193" i="52"/>
  <c r="D194" i="52"/>
  <c r="D195" i="52"/>
  <c r="D196" i="52"/>
  <c r="D197" i="52"/>
  <c r="D198" i="52"/>
  <c r="D199" i="52"/>
  <c r="D200" i="52"/>
  <c r="D201" i="52"/>
  <c r="D202" i="52"/>
  <c r="D203" i="52"/>
  <c r="D204" i="52"/>
  <c r="D205" i="52"/>
  <c r="D206" i="52"/>
  <c r="D207" i="52"/>
  <c r="D208" i="52"/>
  <c r="D209" i="52"/>
  <c r="D210" i="52"/>
  <c r="D211" i="52"/>
  <c r="D212" i="52"/>
  <c r="D213" i="52"/>
  <c r="D214" i="52"/>
  <c r="D215" i="52"/>
  <c r="D216" i="52"/>
  <c r="D217" i="52"/>
  <c r="D218" i="52"/>
  <c r="D219" i="52"/>
  <c r="D220" i="52"/>
  <c r="D221" i="52"/>
  <c r="D222" i="52"/>
  <c r="D223" i="52"/>
  <c r="D224" i="52"/>
  <c r="D225" i="52"/>
  <c r="D226" i="52"/>
  <c r="D227" i="52"/>
  <c r="D228" i="52"/>
  <c r="D229" i="52"/>
  <c r="D230" i="52"/>
  <c r="D231" i="52"/>
  <c r="D232" i="52"/>
  <c r="D233" i="52"/>
  <c r="D234" i="52"/>
  <c r="D235" i="52"/>
  <c r="D236" i="52"/>
  <c r="D237" i="52"/>
  <c r="D238" i="52"/>
  <c r="D239" i="52"/>
  <c r="D240" i="52"/>
  <c r="D241" i="52"/>
  <c r="D242" i="52"/>
  <c r="D243" i="52"/>
  <c r="D244" i="52"/>
  <c r="D245" i="52"/>
  <c r="D246" i="52"/>
  <c r="D247" i="52"/>
  <c r="D248" i="52"/>
  <c r="D249" i="52"/>
  <c r="D250" i="52"/>
  <c r="D251" i="52"/>
  <c r="D252" i="52"/>
  <c r="D253" i="52"/>
  <c r="D254" i="52"/>
  <c r="D255" i="52"/>
  <c r="D256" i="52"/>
  <c r="D257" i="52"/>
  <c r="D258" i="52"/>
  <c r="D259" i="52"/>
  <c r="D260" i="52"/>
  <c r="D261" i="52"/>
  <c r="D262" i="52"/>
  <c r="D263" i="52"/>
  <c r="D264" i="52"/>
  <c r="D265" i="52"/>
  <c r="D266" i="52"/>
  <c r="D267" i="52"/>
  <c r="D268" i="52"/>
  <c r="D269" i="52"/>
  <c r="D270" i="52"/>
  <c r="D271" i="52"/>
  <c r="D272" i="52"/>
  <c r="D273" i="52"/>
  <c r="D274" i="52"/>
  <c r="D275" i="52"/>
  <c r="D276" i="52"/>
  <c r="D277" i="52"/>
  <c r="D278" i="52"/>
  <c r="D279" i="52"/>
  <c r="D280" i="52"/>
  <c r="D281" i="52"/>
  <c r="D282" i="52"/>
  <c r="D283" i="52"/>
  <c r="D284" i="52"/>
  <c r="D285" i="52"/>
  <c r="D2" i="52"/>
  <c r="C3" i="52"/>
  <c r="C4" i="52"/>
  <c r="C5" i="52"/>
  <c r="C6" i="52"/>
  <c r="C7" i="52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51" i="52"/>
  <c r="C52" i="52"/>
  <c r="C53" i="52"/>
  <c r="C54" i="52"/>
  <c r="C55" i="52"/>
  <c r="C56" i="52"/>
  <c r="C57" i="52"/>
  <c r="C58" i="52"/>
  <c r="C59" i="52"/>
  <c r="C60" i="52"/>
  <c r="C61" i="52"/>
  <c r="C62" i="52"/>
  <c r="C63" i="52"/>
  <c r="C64" i="52"/>
  <c r="C65" i="52"/>
  <c r="C66" i="52"/>
  <c r="C67" i="52"/>
  <c r="C68" i="52"/>
  <c r="C69" i="52"/>
  <c r="C70" i="52"/>
  <c r="C71" i="52"/>
  <c r="C72" i="52"/>
  <c r="C73" i="52"/>
  <c r="C74" i="52"/>
  <c r="C75" i="52"/>
  <c r="C76" i="52"/>
  <c r="C77" i="52"/>
  <c r="C78" i="52"/>
  <c r="C79" i="52"/>
  <c r="C80" i="52"/>
  <c r="C81" i="52"/>
  <c r="C82" i="52"/>
  <c r="C83" i="52"/>
  <c r="C84" i="52"/>
  <c r="C85" i="52"/>
  <c r="C86" i="52"/>
  <c r="C87" i="52"/>
  <c r="C88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1" i="52"/>
  <c r="C102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0" i="52"/>
  <c r="C151" i="52"/>
  <c r="C152" i="52"/>
  <c r="C153" i="52"/>
  <c r="C154" i="52"/>
  <c r="C155" i="52"/>
  <c r="C156" i="52"/>
  <c r="C157" i="52"/>
  <c r="C158" i="52"/>
  <c r="C159" i="52"/>
  <c r="C160" i="52"/>
  <c r="C161" i="52"/>
  <c r="C162" i="52"/>
  <c r="C163" i="52"/>
  <c r="C164" i="52"/>
  <c r="C165" i="52"/>
  <c r="C166" i="52"/>
  <c r="C167" i="52"/>
  <c r="C168" i="52"/>
  <c r="C169" i="52"/>
  <c r="C170" i="52"/>
  <c r="C171" i="52"/>
  <c r="C172" i="52"/>
  <c r="C173" i="52"/>
  <c r="C174" i="52"/>
  <c r="C175" i="52"/>
  <c r="C176" i="52"/>
  <c r="C177" i="52"/>
  <c r="C178" i="52"/>
  <c r="C179" i="52"/>
  <c r="C180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3" i="52"/>
  <c r="C194" i="52"/>
  <c r="C195" i="52"/>
  <c r="C196" i="52"/>
  <c r="C197" i="52"/>
  <c r="C198" i="52"/>
  <c r="C199" i="52"/>
  <c r="C200" i="52"/>
  <c r="C201" i="52"/>
  <c r="C202" i="52"/>
  <c r="C203" i="52"/>
  <c r="C204" i="52"/>
  <c r="C205" i="52"/>
  <c r="C206" i="52"/>
  <c r="C207" i="52"/>
  <c r="C208" i="52"/>
  <c r="C209" i="52"/>
  <c r="C210" i="52"/>
  <c r="C211" i="52"/>
  <c r="C212" i="52"/>
  <c r="C213" i="52"/>
  <c r="C214" i="52"/>
  <c r="C215" i="52"/>
  <c r="C216" i="52"/>
  <c r="C217" i="52"/>
  <c r="C218" i="52"/>
  <c r="C219" i="52"/>
  <c r="C220" i="52"/>
  <c r="C221" i="52"/>
  <c r="C222" i="52"/>
  <c r="C223" i="52"/>
  <c r="C224" i="52"/>
  <c r="C225" i="52"/>
  <c r="C226" i="52"/>
  <c r="C227" i="52"/>
  <c r="C228" i="52"/>
  <c r="C229" i="52"/>
  <c r="C230" i="52"/>
  <c r="C231" i="52"/>
  <c r="C232" i="52"/>
  <c r="C233" i="52"/>
  <c r="C234" i="52"/>
  <c r="C235" i="52"/>
  <c r="C236" i="52"/>
  <c r="C237" i="52"/>
  <c r="C238" i="52"/>
  <c r="C239" i="52"/>
  <c r="C240" i="52"/>
  <c r="C241" i="52"/>
  <c r="C242" i="52"/>
  <c r="C243" i="52"/>
  <c r="C244" i="52"/>
  <c r="C245" i="52"/>
  <c r="C246" i="52"/>
  <c r="C247" i="52"/>
  <c r="C248" i="52"/>
  <c r="C249" i="52"/>
  <c r="C250" i="52"/>
  <c r="C251" i="52"/>
  <c r="C252" i="52"/>
  <c r="C253" i="52"/>
  <c r="C254" i="52"/>
  <c r="C255" i="52"/>
  <c r="C256" i="52"/>
  <c r="C257" i="52"/>
  <c r="C258" i="52"/>
  <c r="C259" i="52"/>
  <c r="C260" i="52"/>
  <c r="C261" i="52"/>
  <c r="C262" i="52"/>
  <c r="C263" i="52"/>
  <c r="C264" i="52"/>
  <c r="C265" i="52"/>
  <c r="C266" i="52"/>
  <c r="C267" i="52"/>
  <c r="C268" i="52"/>
  <c r="C269" i="52"/>
  <c r="C270" i="52"/>
  <c r="C271" i="52"/>
  <c r="C272" i="52"/>
  <c r="C273" i="52"/>
  <c r="C274" i="52"/>
  <c r="C275" i="52"/>
  <c r="C276" i="52"/>
  <c r="C277" i="52"/>
  <c r="C278" i="52"/>
  <c r="C279" i="52"/>
  <c r="C280" i="52"/>
  <c r="C281" i="52"/>
  <c r="C282" i="52"/>
  <c r="C283" i="52"/>
  <c r="C284" i="52"/>
  <c r="C285" i="52"/>
  <c r="C286" i="52"/>
  <c r="C287" i="52"/>
  <c r="C288" i="52"/>
  <c r="C289" i="52"/>
  <c r="C290" i="52"/>
  <c r="C291" i="52"/>
  <c r="C292" i="52"/>
  <c r="C293" i="52"/>
  <c r="C294" i="52"/>
  <c r="C295" i="52"/>
  <c r="C296" i="52"/>
  <c r="C297" i="52"/>
  <c r="C298" i="52"/>
  <c r="C299" i="52"/>
  <c r="C300" i="52"/>
  <c r="C301" i="52"/>
  <c r="C302" i="52"/>
  <c r="C303" i="52"/>
  <c r="C304" i="52"/>
  <c r="C305" i="52"/>
  <c r="C306" i="52"/>
  <c r="C307" i="52"/>
  <c r="C308" i="52"/>
  <c r="C309" i="52"/>
  <c r="C310" i="52"/>
  <c r="C311" i="52"/>
  <c r="C312" i="52"/>
  <c r="C313" i="52"/>
  <c r="C314" i="52"/>
  <c r="C315" i="52"/>
  <c r="C316" i="52"/>
  <c r="C317" i="52"/>
  <c r="C318" i="52"/>
  <c r="C319" i="52"/>
  <c r="C320" i="52"/>
  <c r="C321" i="52"/>
  <c r="C322" i="52"/>
  <c r="C323" i="52"/>
  <c r="C324" i="52"/>
  <c r="C325" i="52"/>
  <c r="C326" i="52"/>
  <c r="C327" i="52"/>
  <c r="C328" i="52"/>
  <c r="C329" i="52"/>
  <c r="C330" i="52"/>
  <c r="C331" i="52"/>
  <c r="C332" i="52"/>
  <c r="C333" i="52"/>
  <c r="C334" i="52"/>
  <c r="C335" i="52"/>
  <c r="C336" i="52"/>
  <c r="C337" i="52"/>
  <c r="C338" i="52"/>
  <c r="C339" i="52"/>
  <c r="C340" i="52"/>
  <c r="C341" i="52"/>
  <c r="C342" i="52"/>
  <c r="C343" i="52"/>
  <c r="C344" i="52"/>
  <c r="C345" i="52"/>
  <c r="C346" i="52"/>
  <c r="C347" i="52"/>
  <c r="C348" i="52"/>
  <c r="C349" i="52"/>
  <c r="C350" i="52"/>
  <c r="C351" i="52"/>
  <c r="C352" i="52"/>
  <c r="C353" i="52"/>
  <c r="C354" i="52"/>
  <c r="C355" i="52"/>
  <c r="C356" i="52"/>
  <c r="C357" i="52"/>
  <c r="C358" i="52"/>
  <c r="C359" i="52"/>
  <c r="C360" i="52"/>
  <c r="C361" i="52"/>
  <c r="C362" i="52"/>
  <c r="C363" i="52"/>
  <c r="C364" i="52"/>
  <c r="C365" i="52"/>
  <c r="C366" i="52"/>
  <c r="C367" i="52"/>
  <c r="C368" i="52"/>
  <c r="C369" i="52"/>
  <c r="C370" i="52"/>
  <c r="C371" i="52"/>
  <c r="C372" i="52"/>
  <c r="C373" i="52"/>
  <c r="C374" i="52"/>
  <c r="C375" i="52"/>
  <c r="C376" i="52"/>
  <c r="C377" i="52"/>
  <c r="C378" i="52"/>
  <c r="C379" i="52"/>
  <c r="C380" i="52"/>
  <c r="C381" i="52"/>
  <c r="C382" i="52"/>
  <c r="C383" i="52"/>
  <c r="C384" i="52"/>
  <c r="C385" i="52"/>
  <c r="C386" i="52"/>
  <c r="C387" i="52"/>
  <c r="C388" i="52"/>
  <c r="C389" i="52"/>
  <c r="C390" i="52"/>
  <c r="C391" i="52"/>
  <c r="C392" i="52"/>
  <c r="C393" i="52"/>
  <c r="C394" i="52"/>
  <c r="C395" i="52"/>
  <c r="C396" i="52"/>
  <c r="C397" i="52"/>
  <c r="C398" i="52"/>
  <c r="C399" i="52"/>
  <c r="C400" i="52"/>
  <c r="C2" i="52"/>
  <c r="D201" i="55"/>
  <c r="D202" i="55"/>
  <c r="D203" i="55"/>
  <c r="D204" i="55"/>
  <c r="D205" i="55"/>
  <c r="D206" i="55"/>
  <c r="D207" i="55"/>
  <c r="D208" i="55"/>
  <c r="D209" i="55"/>
  <c r="D210" i="55"/>
  <c r="D211" i="55"/>
  <c r="D212" i="55"/>
  <c r="D213" i="55"/>
  <c r="D214" i="55"/>
  <c r="D215" i="55"/>
  <c r="D216" i="55"/>
  <c r="D217" i="55"/>
  <c r="D218" i="55"/>
  <c r="D219" i="55"/>
  <c r="D220" i="55"/>
  <c r="D221" i="55"/>
  <c r="D222" i="55"/>
  <c r="D223" i="55"/>
  <c r="D224" i="55"/>
  <c r="D225" i="55"/>
  <c r="D226" i="55"/>
  <c r="D227" i="55"/>
  <c r="D228" i="55"/>
  <c r="D229" i="55"/>
  <c r="D230" i="55"/>
  <c r="D231" i="55"/>
  <c r="D232" i="55"/>
  <c r="D233" i="55"/>
  <c r="D234" i="55"/>
  <c r="D235" i="55"/>
  <c r="D236" i="55"/>
  <c r="D237" i="55"/>
  <c r="C194" i="64"/>
  <c r="C195" i="64"/>
  <c r="C196" i="64"/>
  <c r="C197" i="64"/>
  <c r="C198" i="64"/>
  <c r="C199" i="64"/>
  <c r="C200" i="64"/>
  <c r="C201" i="64"/>
  <c r="C202" i="64"/>
  <c r="C203" i="64"/>
  <c r="C204" i="64"/>
  <c r="C205" i="64"/>
  <c r="C206" i="64"/>
  <c r="C207" i="64"/>
  <c r="C208" i="64"/>
  <c r="C209" i="64"/>
  <c r="C210" i="64"/>
  <c r="C211" i="64"/>
  <c r="C212" i="64"/>
  <c r="C213" i="64"/>
  <c r="C214" i="64"/>
  <c r="C215" i="64"/>
  <c r="C216" i="64"/>
  <c r="C217" i="64"/>
  <c r="C218" i="64"/>
  <c r="C219" i="64"/>
  <c r="C220" i="64"/>
  <c r="C221" i="64"/>
  <c r="C222" i="64"/>
  <c r="C223" i="64"/>
  <c r="C224" i="64"/>
  <c r="C225" i="64"/>
  <c r="C226" i="64"/>
  <c r="C227" i="64"/>
  <c r="C228" i="64"/>
  <c r="C229" i="64"/>
  <c r="C230" i="64"/>
  <c r="C231" i="64"/>
  <c r="C232" i="64"/>
  <c r="C233" i="64"/>
  <c r="C234" i="64"/>
  <c r="F213" i="64"/>
  <c r="F214" i="64"/>
  <c r="F215" i="64"/>
  <c r="F216" i="64"/>
  <c r="F217" i="64"/>
  <c r="F218" i="64"/>
  <c r="F219" i="64"/>
  <c r="F220" i="64"/>
  <c r="F221" i="64"/>
  <c r="F222" i="64"/>
  <c r="F223" i="64"/>
  <c r="G194" i="64"/>
  <c r="G195" i="64"/>
  <c r="G196" i="64"/>
  <c r="G197" i="64"/>
  <c r="G198" i="64"/>
  <c r="G199" i="64"/>
  <c r="G200" i="64"/>
  <c r="G201" i="64"/>
  <c r="G202" i="64"/>
  <c r="G203" i="64"/>
  <c r="G204" i="64"/>
  <c r="G205" i="64"/>
  <c r="G206" i="64"/>
  <c r="G207" i="64"/>
  <c r="G208" i="64"/>
  <c r="G209" i="64"/>
  <c r="G210" i="64"/>
  <c r="G211" i="64"/>
  <c r="G212" i="64"/>
  <c r="B3" i="61"/>
  <c r="B4" i="61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18" i="61"/>
  <c r="B19" i="61"/>
  <c r="B20" i="61"/>
  <c r="B21" i="61"/>
  <c r="B22" i="61"/>
  <c r="B23" i="61"/>
  <c r="B24" i="61"/>
  <c r="B25" i="61"/>
  <c r="B26" i="61"/>
  <c r="B27" i="61"/>
  <c r="B28" i="61"/>
  <c r="B29" i="61"/>
  <c r="B30" i="61"/>
  <c r="B31" i="61"/>
  <c r="B32" i="61"/>
  <c r="B33" i="61"/>
  <c r="B34" i="61"/>
  <c r="B35" i="61"/>
  <c r="B36" i="61"/>
  <c r="B37" i="61"/>
  <c r="B38" i="61"/>
  <c r="B39" i="61"/>
  <c r="B40" i="61"/>
  <c r="B47" i="61"/>
  <c r="B48" i="61"/>
  <c r="B49" i="61"/>
  <c r="B50" i="61"/>
  <c r="B51" i="61"/>
  <c r="B52" i="61"/>
  <c r="B53" i="61"/>
  <c r="B54" i="61"/>
  <c r="B55" i="61"/>
  <c r="B56" i="61"/>
  <c r="B57" i="61"/>
  <c r="B58" i="61"/>
  <c r="B59" i="61"/>
  <c r="B60" i="61"/>
  <c r="B61" i="61"/>
  <c r="B62" i="61"/>
  <c r="B63" i="61"/>
  <c r="B64" i="61"/>
  <c r="B65" i="61"/>
  <c r="B66" i="61"/>
  <c r="B67" i="61"/>
  <c r="B68" i="61"/>
  <c r="B69" i="61"/>
  <c r="B70" i="61"/>
  <c r="B71" i="61"/>
  <c r="B72" i="61"/>
  <c r="B73" i="61"/>
  <c r="B74" i="61"/>
  <c r="B75" i="61"/>
  <c r="B76" i="61"/>
  <c r="B77" i="61"/>
  <c r="B78" i="61"/>
  <c r="B79" i="61"/>
  <c r="B80" i="61"/>
  <c r="B81" i="61"/>
  <c r="B82" i="61"/>
  <c r="B83" i="61"/>
  <c r="B84" i="61"/>
  <c r="B85" i="61"/>
  <c r="B86" i="61"/>
  <c r="B87" i="61"/>
  <c r="B88" i="61"/>
  <c r="B89" i="61"/>
  <c r="B90" i="61"/>
  <c r="B91" i="61"/>
  <c r="B92" i="61"/>
  <c r="B93" i="61"/>
  <c r="B94" i="61"/>
  <c r="B95" i="61"/>
  <c r="B96" i="61"/>
  <c r="B97" i="61"/>
  <c r="B98" i="61"/>
  <c r="B99" i="61"/>
  <c r="B100" i="61"/>
  <c r="B101" i="61"/>
  <c r="B102" i="61"/>
  <c r="B103" i="61"/>
  <c r="B104" i="61"/>
  <c r="B105" i="61"/>
  <c r="B106" i="61"/>
  <c r="B107" i="61"/>
  <c r="B108" i="61"/>
  <c r="B109" i="61"/>
  <c r="B110" i="61"/>
  <c r="B2" i="61"/>
  <c r="C31" i="61"/>
  <c r="C32" i="61"/>
  <c r="C33" i="61"/>
  <c r="C34" i="61"/>
  <c r="C35" i="61"/>
  <c r="C36" i="61"/>
  <c r="C37" i="61"/>
  <c r="C38" i="61"/>
  <c r="C39" i="61"/>
  <c r="C40" i="61"/>
  <c r="C48" i="61"/>
  <c r="C49" i="61"/>
  <c r="C50" i="61"/>
  <c r="C51" i="61"/>
  <c r="C52" i="61"/>
  <c r="C53" i="61"/>
  <c r="C54" i="61"/>
  <c r="C55" i="61"/>
  <c r="C56" i="61"/>
  <c r="C57" i="61"/>
  <c r="C58" i="61"/>
  <c r="C59" i="61"/>
  <c r="C60" i="61"/>
  <c r="C61" i="61"/>
  <c r="C62" i="61"/>
  <c r="C63" i="61"/>
  <c r="C64" i="61"/>
  <c r="C65" i="61"/>
  <c r="C66" i="61"/>
  <c r="C67" i="61"/>
  <c r="C68" i="61"/>
  <c r="C69" i="61"/>
  <c r="C70" i="61"/>
  <c r="C71" i="61"/>
  <c r="C72" i="61"/>
  <c r="C73" i="61"/>
  <c r="C74" i="61"/>
  <c r="C75" i="61"/>
  <c r="C76" i="61"/>
  <c r="C77" i="61"/>
  <c r="C78" i="61"/>
  <c r="C79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" i="61"/>
  <c r="C4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2" i="61"/>
  <c r="D28" i="61"/>
  <c r="D29" i="61"/>
  <c r="D30" i="61"/>
  <c r="D31" i="61"/>
  <c r="D32" i="61"/>
  <c r="D33" i="61"/>
  <c r="D34" i="61"/>
  <c r="D35" i="61"/>
  <c r="D36" i="61"/>
  <c r="D37" i="61"/>
  <c r="D38" i="61"/>
  <c r="D39" i="61"/>
  <c r="D40" i="61"/>
  <c r="D47" i="61"/>
  <c r="D48" i="61"/>
  <c r="D49" i="61"/>
  <c r="D50" i="61"/>
  <c r="D51" i="61"/>
  <c r="D52" i="61"/>
  <c r="D53" i="61"/>
  <c r="D54" i="61"/>
  <c r="D55" i="61"/>
  <c r="D56" i="61"/>
  <c r="D57" i="61"/>
  <c r="D58" i="61"/>
  <c r="D59" i="61"/>
  <c r="D60" i="61"/>
  <c r="D61" i="61"/>
  <c r="D62" i="61"/>
  <c r="D63" i="61"/>
  <c r="D64" i="61"/>
  <c r="D65" i="61"/>
  <c r="D66" i="61"/>
  <c r="D67" i="61"/>
  <c r="D68" i="61"/>
  <c r="D69" i="61"/>
  <c r="D70" i="61"/>
  <c r="D71" i="61"/>
  <c r="D72" i="61"/>
  <c r="D73" i="61"/>
  <c r="D74" i="61"/>
  <c r="D75" i="61"/>
  <c r="D76" i="61"/>
  <c r="D77" i="61"/>
  <c r="D78" i="61"/>
  <c r="D79" i="61"/>
  <c r="D80" i="61"/>
  <c r="D81" i="61"/>
  <c r="D82" i="61"/>
  <c r="D83" i="61"/>
  <c r="D84" i="61"/>
  <c r="D85" i="61"/>
  <c r="D86" i="61"/>
  <c r="D87" i="61"/>
  <c r="D88" i="61"/>
  <c r="D89" i="61"/>
  <c r="D90" i="61"/>
  <c r="D91" i="61"/>
  <c r="D92" i="61"/>
  <c r="D93" i="61"/>
  <c r="D94" i="61"/>
  <c r="D95" i="61"/>
  <c r="D96" i="61"/>
  <c r="D97" i="61"/>
  <c r="D98" i="61"/>
  <c r="D99" i="61"/>
  <c r="D100" i="61"/>
  <c r="D101" i="61"/>
  <c r="D102" i="61"/>
  <c r="D103" i="61"/>
  <c r="D104" i="61"/>
  <c r="D105" i="61"/>
  <c r="D106" i="61"/>
  <c r="D107" i="61"/>
  <c r="D108" i="61"/>
  <c r="D3" i="61"/>
  <c r="D4" i="61"/>
  <c r="D5" i="61"/>
  <c r="D6" i="61"/>
  <c r="D7" i="61"/>
  <c r="D8" i="61"/>
  <c r="D9" i="61"/>
  <c r="D10" i="61"/>
  <c r="D11" i="61"/>
  <c r="D12" i="61"/>
  <c r="D13" i="61"/>
  <c r="D14" i="61"/>
  <c r="D15" i="61"/>
  <c r="D16" i="61"/>
  <c r="D17" i="61"/>
  <c r="D18" i="61"/>
  <c r="D19" i="61"/>
  <c r="D20" i="61"/>
  <c r="D21" i="61"/>
  <c r="D22" i="61"/>
  <c r="D23" i="61"/>
  <c r="D24" i="61"/>
  <c r="D25" i="61"/>
  <c r="D26" i="61"/>
  <c r="D27" i="61"/>
  <c r="D2" i="61"/>
  <c r="I3" i="61"/>
  <c r="I4" i="61"/>
  <c r="I5" i="61"/>
  <c r="I6" i="61"/>
  <c r="I7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33" i="61"/>
  <c r="I34" i="61"/>
  <c r="I35" i="61"/>
  <c r="I36" i="61"/>
  <c r="I37" i="61"/>
  <c r="I38" i="61"/>
  <c r="I39" i="61"/>
  <c r="I40" i="61"/>
  <c r="I47" i="61"/>
  <c r="I48" i="61"/>
  <c r="I49" i="61"/>
  <c r="I50" i="61"/>
  <c r="I51" i="61"/>
  <c r="I52" i="61"/>
  <c r="I53" i="61"/>
  <c r="I54" i="61"/>
  <c r="I55" i="61"/>
  <c r="I56" i="61"/>
  <c r="I57" i="61"/>
  <c r="I58" i="61"/>
  <c r="I59" i="61"/>
  <c r="I60" i="61"/>
  <c r="I61" i="61"/>
  <c r="I62" i="61"/>
  <c r="I63" i="61"/>
  <c r="I64" i="61"/>
  <c r="I65" i="61"/>
  <c r="I66" i="61"/>
  <c r="I67" i="61"/>
  <c r="I68" i="61"/>
  <c r="I69" i="61"/>
  <c r="I70" i="61"/>
  <c r="I71" i="61"/>
  <c r="I72" i="61"/>
  <c r="I73" i="61"/>
  <c r="I74" i="61"/>
  <c r="I75" i="61"/>
  <c r="I76" i="61"/>
  <c r="I77" i="61"/>
  <c r="I78" i="61"/>
  <c r="I79" i="61"/>
  <c r="I80" i="61"/>
  <c r="I81" i="61"/>
  <c r="I82" i="61"/>
  <c r="I83" i="61"/>
  <c r="I84" i="61"/>
  <c r="I85" i="61"/>
  <c r="I86" i="61"/>
  <c r="I87" i="61"/>
  <c r="I88" i="61"/>
  <c r="I89" i="61"/>
  <c r="I90" i="61"/>
  <c r="I91" i="61"/>
  <c r="I92" i="61"/>
  <c r="I93" i="61"/>
  <c r="I94" i="61"/>
  <c r="I95" i="61"/>
  <c r="I96" i="61"/>
  <c r="I97" i="61"/>
  <c r="I98" i="61"/>
  <c r="I99" i="61"/>
  <c r="I100" i="61"/>
  <c r="I101" i="61"/>
  <c r="I102" i="61"/>
  <c r="I103" i="61"/>
  <c r="I104" i="61"/>
  <c r="I105" i="61"/>
  <c r="I106" i="61"/>
  <c r="I107" i="61"/>
  <c r="I108" i="61"/>
  <c r="I109" i="61"/>
  <c r="I110" i="61"/>
  <c r="I2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36" i="61"/>
  <c r="G37" i="61"/>
  <c r="G38" i="61"/>
  <c r="G39" i="61"/>
  <c r="G40" i="61"/>
  <c r="G47" i="61"/>
  <c r="G48" i="61"/>
  <c r="G49" i="61"/>
  <c r="G50" i="61"/>
  <c r="G51" i="61"/>
  <c r="G52" i="61"/>
  <c r="G53" i="61"/>
  <c r="G54" i="61"/>
  <c r="G55" i="61"/>
  <c r="G56" i="61"/>
  <c r="G57" i="61"/>
  <c r="G58" i="61"/>
  <c r="G59" i="61"/>
  <c r="G60" i="61"/>
  <c r="G61" i="61"/>
  <c r="G62" i="61"/>
  <c r="G63" i="61"/>
  <c r="G64" i="61"/>
  <c r="G65" i="61"/>
  <c r="G66" i="61"/>
  <c r="G67" i="61"/>
  <c r="G68" i="61"/>
  <c r="G69" i="61"/>
  <c r="G70" i="61"/>
  <c r="G71" i="61"/>
  <c r="G72" i="61"/>
  <c r="G73" i="61"/>
  <c r="G74" i="61"/>
  <c r="G75" i="61"/>
  <c r="G76" i="61"/>
  <c r="G77" i="61"/>
  <c r="G78" i="61"/>
  <c r="G79" i="61"/>
  <c r="G80" i="61"/>
  <c r="G81" i="61"/>
  <c r="G82" i="61"/>
  <c r="G83" i="61"/>
  <c r="G84" i="61"/>
  <c r="G85" i="61"/>
  <c r="G86" i="61"/>
  <c r="G87" i="61"/>
  <c r="G88" i="61"/>
  <c r="G89" i="61"/>
  <c r="G90" i="61"/>
  <c r="G91" i="61"/>
  <c r="G92" i="61"/>
  <c r="G93" i="61"/>
  <c r="G94" i="61"/>
  <c r="G95" i="61"/>
  <c r="G96" i="61"/>
  <c r="G97" i="61"/>
  <c r="G98" i="61"/>
  <c r="G99" i="61"/>
  <c r="G100" i="61"/>
  <c r="G101" i="61"/>
  <c r="G102" i="61"/>
  <c r="G103" i="61"/>
  <c r="G104" i="61"/>
  <c r="G105" i="61"/>
  <c r="G106" i="61"/>
  <c r="G107" i="61"/>
  <c r="G108" i="61"/>
  <c r="G109" i="61"/>
  <c r="G110" i="61"/>
  <c r="G111" i="61"/>
  <c r="G112" i="61"/>
  <c r="G3" i="61"/>
  <c r="G4" i="61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" i="61"/>
  <c r="F55" i="61"/>
  <c r="F56" i="61"/>
  <c r="F57" i="61"/>
  <c r="F58" i="61"/>
  <c r="F59" i="61"/>
  <c r="F60" i="61"/>
  <c r="F61" i="61"/>
  <c r="F62" i="61"/>
  <c r="F63" i="61"/>
  <c r="F64" i="61"/>
  <c r="F65" i="61"/>
  <c r="F66" i="61"/>
  <c r="F67" i="61"/>
  <c r="F68" i="61"/>
  <c r="F69" i="61"/>
  <c r="F70" i="61"/>
  <c r="F71" i="61"/>
  <c r="F72" i="61"/>
  <c r="F73" i="61"/>
  <c r="F74" i="61"/>
  <c r="F75" i="61"/>
  <c r="F76" i="61"/>
  <c r="F77" i="61"/>
  <c r="F78" i="61"/>
  <c r="F79" i="61"/>
  <c r="F80" i="61"/>
  <c r="F81" i="61"/>
  <c r="F82" i="61"/>
  <c r="F83" i="61"/>
  <c r="F84" i="61"/>
  <c r="F85" i="61"/>
  <c r="F86" i="61"/>
  <c r="F87" i="61"/>
  <c r="F88" i="61"/>
  <c r="F89" i="61"/>
  <c r="F90" i="61"/>
  <c r="F91" i="61"/>
  <c r="F92" i="61"/>
  <c r="F93" i="61"/>
  <c r="F94" i="61"/>
  <c r="F95" i="61"/>
  <c r="F96" i="61"/>
  <c r="F97" i="61"/>
  <c r="F98" i="61"/>
  <c r="F99" i="61"/>
  <c r="F100" i="61"/>
  <c r="F101" i="61"/>
  <c r="F102" i="61"/>
  <c r="F103" i="61"/>
  <c r="F104" i="61"/>
  <c r="F105" i="61"/>
  <c r="F106" i="61"/>
  <c r="F3" i="61"/>
  <c r="F4" i="61"/>
  <c r="F5" i="61"/>
  <c r="F6" i="61"/>
  <c r="F7" i="61"/>
  <c r="F8" i="61"/>
  <c r="F9" i="61"/>
  <c r="F10" i="61"/>
  <c r="F11" i="61"/>
  <c r="F12" i="61"/>
  <c r="F13" i="61"/>
  <c r="F14" i="61"/>
  <c r="F15" i="61"/>
  <c r="F16" i="61"/>
  <c r="F17" i="61"/>
  <c r="F18" i="61"/>
  <c r="F19" i="61"/>
  <c r="F20" i="61"/>
  <c r="F21" i="61"/>
  <c r="F22" i="61"/>
  <c r="F23" i="61"/>
  <c r="F24" i="61"/>
  <c r="F25" i="61"/>
  <c r="F26" i="61"/>
  <c r="F27" i="61"/>
  <c r="F28" i="61"/>
  <c r="F29" i="61"/>
  <c r="F30" i="61"/>
  <c r="F31" i="61"/>
  <c r="F32" i="61"/>
  <c r="F33" i="61"/>
  <c r="F34" i="61"/>
  <c r="F35" i="61"/>
  <c r="F36" i="61"/>
  <c r="F37" i="61"/>
  <c r="F38" i="61"/>
  <c r="F39" i="61"/>
  <c r="F40" i="61"/>
  <c r="F47" i="61"/>
  <c r="F48" i="61"/>
  <c r="F49" i="61"/>
  <c r="F50" i="61"/>
  <c r="F51" i="61"/>
  <c r="F52" i="61"/>
  <c r="F53" i="61"/>
  <c r="F54" i="61"/>
  <c r="F2" i="61"/>
  <c r="F316" i="52"/>
  <c r="G213" i="64" l="1"/>
  <c r="G214" i="64"/>
  <c r="G215" i="64"/>
  <c r="G216" i="64"/>
  <c r="G217" i="64"/>
  <c r="G218" i="64"/>
  <c r="G219" i="64"/>
  <c r="G220" i="64"/>
  <c r="G221" i="64"/>
  <c r="G222" i="64"/>
  <c r="G223" i="64"/>
  <c r="F224" i="64"/>
  <c r="G224" i="64"/>
  <c r="F225" i="64"/>
  <c r="G225" i="64"/>
  <c r="F226" i="64"/>
  <c r="G226" i="64"/>
  <c r="F227" i="64"/>
  <c r="G227" i="64"/>
  <c r="F228" i="64"/>
  <c r="G228" i="64"/>
  <c r="F229" i="64"/>
  <c r="G229" i="64"/>
  <c r="F230" i="64"/>
  <c r="G230" i="64"/>
  <c r="F231" i="64"/>
  <c r="G231" i="64"/>
  <c r="F232" i="64"/>
  <c r="G232" i="64"/>
  <c r="F233" i="64"/>
  <c r="G233" i="64"/>
  <c r="F234" i="64"/>
  <c r="G234" i="64"/>
  <c r="F235" i="64"/>
  <c r="G235" i="64"/>
  <c r="F236" i="64"/>
  <c r="G236" i="64"/>
  <c r="F237" i="64"/>
  <c r="G237" i="64"/>
  <c r="F238" i="64"/>
  <c r="G238" i="64"/>
  <c r="F239" i="64"/>
  <c r="G239" i="64"/>
  <c r="F240" i="64"/>
  <c r="G240" i="64"/>
  <c r="F241" i="64"/>
  <c r="G241" i="64"/>
  <c r="F242" i="64"/>
  <c r="G242" i="64"/>
  <c r="F243" i="64"/>
  <c r="G243" i="64"/>
  <c r="F244" i="64"/>
  <c r="G244" i="64"/>
  <c r="F245" i="64"/>
  <c r="G245" i="64"/>
  <c r="F246" i="64"/>
  <c r="G246" i="64"/>
  <c r="F247" i="64"/>
  <c r="G247" i="64"/>
  <c r="F248" i="64"/>
  <c r="G248" i="64"/>
  <c r="F249" i="64"/>
  <c r="G249" i="64"/>
  <c r="F250" i="64"/>
  <c r="G250" i="64"/>
  <c r="F251" i="64"/>
  <c r="G251" i="64"/>
  <c r="F252" i="64"/>
  <c r="G252" i="64"/>
  <c r="F253" i="64"/>
  <c r="G253" i="64"/>
  <c r="F254" i="64"/>
  <c r="G254" i="64"/>
  <c r="F255" i="64"/>
  <c r="G255" i="64"/>
  <c r="F256" i="64"/>
  <c r="G256" i="64"/>
  <c r="F257" i="64"/>
  <c r="G257" i="64"/>
  <c r="F258" i="64"/>
  <c r="G258" i="64"/>
  <c r="F259" i="64"/>
  <c r="G259" i="64"/>
  <c r="F260" i="64"/>
  <c r="G260" i="64"/>
  <c r="F261" i="64"/>
  <c r="G261" i="64"/>
  <c r="F262" i="64"/>
  <c r="G262" i="64"/>
  <c r="F263" i="64"/>
  <c r="G263" i="64"/>
  <c r="F264" i="64"/>
  <c r="G264" i="64"/>
  <c r="F265" i="64"/>
  <c r="G265" i="64"/>
  <c r="F266" i="64"/>
  <c r="G266" i="64"/>
  <c r="F267" i="64"/>
  <c r="G267" i="64"/>
  <c r="F268" i="64"/>
  <c r="G268" i="64"/>
  <c r="F269" i="64"/>
  <c r="G269" i="64"/>
  <c r="F270" i="64"/>
  <c r="G270" i="64"/>
  <c r="F271" i="64"/>
  <c r="G271" i="64"/>
  <c r="F272" i="64"/>
  <c r="G272" i="64"/>
  <c r="F273" i="64"/>
  <c r="G273" i="64"/>
  <c r="F274" i="64"/>
  <c r="G274" i="64"/>
  <c r="F275" i="64"/>
  <c r="G275" i="64"/>
  <c r="I275" i="64"/>
  <c r="F276" i="64"/>
  <c r="G276" i="64"/>
  <c r="I276" i="64"/>
  <c r="F277" i="64"/>
  <c r="G277" i="64"/>
  <c r="I277" i="64"/>
  <c r="F278" i="64"/>
  <c r="G278" i="64"/>
  <c r="I278" i="64"/>
  <c r="F279" i="64"/>
  <c r="G279" i="64"/>
  <c r="I279" i="64"/>
  <c r="F280" i="64"/>
  <c r="G280" i="64"/>
  <c r="I280" i="64"/>
  <c r="F281" i="64"/>
  <c r="G281" i="64"/>
  <c r="I281" i="64"/>
  <c r="F282" i="64"/>
  <c r="G282" i="64"/>
  <c r="I282" i="64"/>
  <c r="F283" i="64"/>
  <c r="G283" i="64"/>
  <c r="I283" i="64"/>
  <c r="F284" i="64"/>
  <c r="G284" i="64"/>
  <c r="I284" i="64"/>
  <c r="F285" i="64"/>
  <c r="G285" i="64"/>
  <c r="I285" i="64"/>
  <c r="F286" i="64"/>
  <c r="G286" i="64"/>
  <c r="I286" i="64"/>
  <c r="F287" i="64"/>
  <c r="G287" i="64"/>
  <c r="I287" i="64"/>
  <c r="F288" i="64"/>
  <c r="G288" i="64"/>
  <c r="I288" i="64"/>
  <c r="F289" i="64"/>
  <c r="G289" i="64"/>
  <c r="I289" i="64"/>
  <c r="F290" i="64"/>
  <c r="G290" i="64"/>
  <c r="I290" i="64"/>
  <c r="F291" i="64"/>
  <c r="G291" i="64"/>
  <c r="I291" i="64"/>
  <c r="F292" i="64"/>
  <c r="G292" i="64"/>
  <c r="I292" i="64"/>
  <c r="F293" i="64"/>
  <c r="G293" i="64"/>
  <c r="I293" i="64"/>
  <c r="F294" i="64"/>
  <c r="G294" i="64"/>
  <c r="I294" i="64"/>
  <c r="F295" i="64"/>
  <c r="G295" i="64"/>
  <c r="I295" i="64"/>
  <c r="F296" i="64"/>
  <c r="G296" i="64"/>
  <c r="I296" i="64"/>
  <c r="F297" i="64"/>
  <c r="G297" i="64"/>
  <c r="I297" i="64"/>
  <c r="F298" i="64"/>
  <c r="G298" i="64"/>
  <c r="I298" i="64"/>
  <c r="F299" i="64"/>
  <c r="G299" i="64"/>
  <c r="I299" i="64"/>
  <c r="F300" i="64"/>
  <c r="G300" i="64"/>
  <c r="I300" i="64"/>
  <c r="F301" i="64"/>
  <c r="G301" i="64"/>
  <c r="I301" i="64"/>
  <c r="F302" i="64"/>
  <c r="G302" i="64"/>
  <c r="I302" i="64"/>
  <c r="F303" i="64"/>
  <c r="G303" i="64"/>
  <c r="I303" i="64"/>
  <c r="F304" i="64"/>
  <c r="G304" i="64"/>
  <c r="I304" i="64"/>
  <c r="F305" i="64"/>
  <c r="G305" i="64"/>
  <c r="I305" i="64"/>
  <c r="F306" i="64"/>
  <c r="G306" i="64"/>
  <c r="I306" i="64"/>
  <c r="F307" i="64"/>
  <c r="G307" i="64"/>
  <c r="I307" i="64"/>
  <c r="F308" i="64"/>
  <c r="G308" i="64"/>
  <c r="I308" i="64"/>
  <c r="F309" i="64"/>
  <c r="G309" i="64"/>
  <c r="I309" i="64"/>
  <c r="F310" i="64"/>
  <c r="G310" i="64"/>
  <c r="I310" i="64"/>
  <c r="F311" i="64"/>
  <c r="G311" i="64"/>
  <c r="I311" i="64"/>
  <c r="F312" i="64"/>
  <c r="G312" i="64"/>
  <c r="I312" i="64"/>
  <c r="F313" i="64"/>
  <c r="G313" i="64"/>
  <c r="I313" i="64"/>
  <c r="F314" i="64"/>
  <c r="G314" i="64"/>
  <c r="I314" i="64"/>
  <c r="F315" i="64"/>
  <c r="G315" i="64"/>
  <c r="I315" i="64"/>
  <c r="F316" i="64"/>
  <c r="G316" i="64"/>
  <c r="I316" i="64"/>
  <c r="F317" i="64"/>
  <c r="G317" i="64"/>
  <c r="I317" i="64"/>
  <c r="F318" i="64"/>
  <c r="G318" i="64"/>
  <c r="I318" i="64"/>
  <c r="F319" i="64"/>
  <c r="G319" i="64"/>
  <c r="I319" i="64"/>
  <c r="F320" i="64"/>
  <c r="G320" i="64"/>
  <c r="I320" i="64"/>
  <c r="F321" i="64"/>
  <c r="G321" i="64"/>
  <c r="I321" i="64"/>
  <c r="F322" i="64"/>
  <c r="G322" i="64"/>
  <c r="I322" i="64"/>
  <c r="F323" i="64"/>
  <c r="G323" i="64"/>
  <c r="I323" i="64"/>
  <c r="F324" i="64"/>
  <c r="G324" i="64"/>
  <c r="I324" i="64"/>
  <c r="F325" i="64"/>
  <c r="G325" i="64"/>
  <c r="I325" i="64"/>
  <c r="F326" i="64"/>
  <c r="G326" i="64"/>
  <c r="I326" i="64"/>
  <c r="F327" i="64"/>
  <c r="G327" i="64"/>
  <c r="I327" i="64"/>
  <c r="F328" i="64"/>
  <c r="G328" i="64"/>
  <c r="I328" i="64"/>
  <c r="F329" i="64"/>
  <c r="G329" i="64"/>
  <c r="I329" i="64"/>
  <c r="F330" i="64"/>
  <c r="G330" i="64"/>
  <c r="I330" i="64"/>
  <c r="F331" i="64"/>
  <c r="G331" i="64"/>
  <c r="I331" i="64"/>
  <c r="F332" i="64"/>
  <c r="G332" i="64"/>
  <c r="I332" i="64"/>
  <c r="F333" i="64"/>
  <c r="G333" i="64"/>
  <c r="I333" i="64"/>
  <c r="F334" i="64"/>
  <c r="G334" i="64"/>
  <c r="I334" i="64"/>
  <c r="F335" i="64"/>
  <c r="G335" i="64"/>
  <c r="I335" i="64"/>
  <c r="F336" i="64"/>
  <c r="G336" i="64"/>
  <c r="I336" i="64"/>
  <c r="F337" i="64"/>
  <c r="G337" i="64"/>
  <c r="I337" i="64"/>
  <c r="F338" i="64"/>
  <c r="G338" i="64"/>
  <c r="I338" i="64"/>
  <c r="F339" i="64"/>
  <c r="G339" i="64"/>
  <c r="I339" i="64"/>
  <c r="F340" i="64"/>
  <c r="G340" i="64"/>
  <c r="I340" i="64"/>
  <c r="F341" i="64"/>
  <c r="G341" i="64"/>
  <c r="I341" i="64"/>
  <c r="F342" i="64"/>
  <c r="G342" i="64"/>
  <c r="I342" i="64"/>
  <c r="F343" i="64"/>
  <c r="G343" i="64"/>
  <c r="I343" i="64"/>
  <c r="F344" i="64"/>
  <c r="G344" i="64"/>
  <c r="I344" i="64"/>
  <c r="F345" i="64"/>
  <c r="G345" i="64"/>
  <c r="I345" i="64"/>
  <c r="F346" i="64"/>
  <c r="G346" i="64"/>
  <c r="I346" i="64"/>
  <c r="F347" i="64"/>
  <c r="G347" i="64"/>
  <c r="I347" i="64"/>
  <c r="F348" i="64"/>
  <c r="G348" i="64"/>
  <c r="I348" i="64"/>
  <c r="F349" i="64"/>
  <c r="G349" i="64"/>
  <c r="I349" i="64"/>
  <c r="F350" i="64"/>
  <c r="G350" i="64"/>
  <c r="I350" i="64"/>
  <c r="F351" i="64"/>
  <c r="G351" i="64"/>
  <c r="I351" i="64"/>
  <c r="F352" i="64"/>
  <c r="G352" i="64"/>
  <c r="I352" i="64"/>
  <c r="F353" i="64"/>
  <c r="G353" i="64"/>
  <c r="I353" i="64"/>
  <c r="F354" i="64"/>
  <c r="G354" i="64"/>
  <c r="I354" i="64"/>
  <c r="F355" i="64"/>
  <c r="G355" i="64"/>
  <c r="I355" i="64"/>
  <c r="F356" i="64"/>
  <c r="G356" i="64"/>
  <c r="I356" i="64"/>
  <c r="F357" i="64"/>
  <c r="G357" i="64"/>
  <c r="I357" i="64"/>
  <c r="F358" i="64"/>
  <c r="G358" i="64"/>
  <c r="I358" i="64"/>
  <c r="F359" i="64"/>
  <c r="G359" i="64"/>
  <c r="I359" i="64"/>
  <c r="F360" i="64"/>
  <c r="G360" i="64"/>
  <c r="I360" i="64"/>
  <c r="F361" i="64"/>
  <c r="G361" i="64"/>
  <c r="I361" i="64"/>
  <c r="F362" i="64"/>
  <c r="G362" i="64"/>
  <c r="I362" i="64"/>
  <c r="F363" i="64"/>
  <c r="G363" i="64"/>
  <c r="I363" i="64"/>
  <c r="F364" i="64"/>
  <c r="G364" i="64"/>
  <c r="I364" i="64"/>
  <c r="F365" i="64"/>
  <c r="G365" i="64"/>
  <c r="I365" i="64"/>
  <c r="F366" i="64"/>
  <c r="G366" i="64"/>
  <c r="I366" i="64"/>
  <c r="F367" i="64"/>
  <c r="G367" i="64"/>
  <c r="I367" i="64"/>
  <c r="F368" i="64"/>
  <c r="G368" i="64"/>
  <c r="I368" i="64"/>
  <c r="F369" i="64"/>
  <c r="G369" i="64"/>
  <c r="I369" i="64"/>
  <c r="F370" i="64"/>
  <c r="G370" i="64"/>
  <c r="I370" i="64"/>
  <c r="F371" i="64"/>
  <c r="G371" i="64"/>
  <c r="I371" i="64"/>
  <c r="F372" i="64"/>
  <c r="G372" i="64"/>
  <c r="I372" i="64"/>
  <c r="F373" i="64"/>
  <c r="G373" i="64"/>
  <c r="I373" i="64"/>
  <c r="F374" i="64"/>
  <c r="G374" i="64"/>
  <c r="I374" i="64"/>
  <c r="F375" i="64"/>
  <c r="G375" i="64"/>
  <c r="I375" i="64"/>
  <c r="F376" i="64"/>
  <c r="G376" i="64"/>
  <c r="I376" i="64"/>
  <c r="F377" i="64"/>
  <c r="G377" i="64"/>
  <c r="I377" i="64"/>
  <c r="F378" i="64"/>
  <c r="G378" i="64"/>
  <c r="I378" i="64"/>
  <c r="F379" i="64"/>
  <c r="G379" i="64"/>
  <c r="I379" i="64"/>
  <c r="F380" i="64"/>
  <c r="G380" i="64"/>
  <c r="I380" i="64"/>
  <c r="F381" i="64"/>
  <c r="G381" i="64"/>
  <c r="I381" i="64"/>
  <c r="F382" i="64"/>
  <c r="G382" i="64"/>
  <c r="I382" i="64"/>
  <c r="F383" i="64"/>
  <c r="G383" i="64"/>
  <c r="I383" i="64"/>
  <c r="F384" i="64"/>
  <c r="G384" i="64"/>
  <c r="I384" i="64"/>
  <c r="F385" i="64"/>
  <c r="G385" i="64"/>
  <c r="I385" i="64"/>
  <c r="F386" i="64"/>
  <c r="G386" i="64"/>
  <c r="I386" i="64"/>
  <c r="F387" i="64"/>
  <c r="G387" i="64"/>
  <c r="I387" i="64"/>
  <c r="F388" i="64"/>
  <c r="G388" i="64"/>
  <c r="I388" i="64"/>
  <c r="F389" i="64"/>
  <c r="G389" i="64"/>
  <c r="I389" i="64"/>
  <c r="F390" i="64"/>
  <c r="G390" i="64"/>
  <c r="I390" i="64"/>
  <c r="F391" i="64"/>
  <c r="G391" i="64"/>
  <c r="I391" i="64"/>
  <c r="F392" i="64"/>
  <c r="G392" i="64"/>
  <c r="I392" i="64"/>
  <c r="F393" i="64"/>
  <c r="G393" i="64"/>
  <c r="I393" i="64"/>
  <c r="F394" i="64"/>
  <c r="G394" i="64"/>
  <c r="I394" i="64"/>
  <c r="F395" i="64"/>
  <c r="G395" i="64"/>
  <c r="I395" i="64"/>
  <c r="F396" i="64"/>
  <c r="G396" i="64"/>
  <c r="I396" i="64"/>
  <c r="F397" i="64"/>
  <c r="G397" i="64"/>
  <c r="I397" i="64"/>
  <c r="F398" i="64"/>
  <c r="G398" i="64"/>
  <c r="I398" i="64"/>
  <c r="F399" i="64"/>
  <c r="G399" i="64"/>
  <c r="I399" i="64"/>
  <c r="F400" i="64"/>
  <c r="G400" i="64"/>
  <c r="I400" i="64"/>
  <c r="F401" i="64"/>
  <c r="G401" i="64"/>
  <c r="I401" i="64"/>
  <c r="F402" i="64"/>
  <c r="G402" i="64"/>
  <c r="I402" i="64"/>
  <c r="F403" i="64"/>
  <c r="G403" i="64"/>
  <c r="I403" i="64"/>
  <c r="B194" i="64"/>
  <c r="B195" i="64"/>
  <c r="B196" i="64"/>
  <c r="B197" i="64"/>
  <c r="B198" i="64"/>
  <c r="D198" i="64"/>
  <c r="B199" i="64"/>
  <c r="D199" i="64"/>
  <c r="B200" i="64"/>
  <c r="D200" i="64"/>
  <c r="B201" i="64"/>
  <c r="D201" i="64"/>
  <c r="B202" i="64"/>
  <c r="D202" i="64"/>
  <c r="B203" i="64"/>
  <c r="D203" i="64"/>
  <c r="B204" i="64"/>
  <c r="D204" i="64"/>
  <c r="B205" i="64"/>
  <c r="D205" i="64"/>
  <c r="B206" i="64"/>
  <c r="D206" i="64"/>
  <c r="B207" i="64"/>
  <c r="D207" i="64"/>
  <c r="B208" i="64"/>
  <c r="D208" i="64"/>
  <c r="B209" i="64"/>
  <c r="D209" i="64"/>
  <c r="B210" i="64"/>
  <c r="D210" i="64"/>
  <c r="B211" i="64"/>
  <c r="D211" i="64"/>
  <c r="B212" i="64"/>
  <c r="D212" i="64"/>
  <c r="B213" i="64"/>
  <c r="D213" i="64"/>
  <c r="B214" i="64"/>
  <c r="D214" i="64"/>
  <c r="B215" i="64"/>
  <c r="D215" i="64"/>
  <c r="B216" i="64"/>
  <c r="D216" i="64"/>
  <c r="B217" i="64"/>
  <c r="D217" i="64"/>
  <c r="B218" i="64"/>
  <c r="D218" i="64"/>
  <c r="B219" i="64"/>
  <c r="D219" i="64"/>
  <c r="B220" i="64"/>
  <c r="D220" i="64"/>
  <c r="B221" i="64"/>
  <c r="D221" i="64"/>
  <c r="B222" i="64"/>
  <c r="D222" i="64"/>
  <c r="B223" i="64"/>
  <c r="D223" i="64"/>
  <c r="B224" i="64"/>
  <c r="D224" i="64"/>
  <c r="B225" i="64"/>
  <c r="D225" i="64"/>
  <c r="B226" i="64"/>
  <c r="D226" i="64"/>
  <c r="B227" i="64"/>
  <c r="D227" i="64"/>
  <c r="B228" i="64"/>
  <c r="D228" i="64"/>
  <c r="B229" i="64"/>
  <c r="D229" i="64"/>
  <c r="B230" i="64"/>
  <c r="D230" i="64"/>
  <c r="B231" i="64"/>
  <c r="D231" i="64"/>
  <c r="B232" i="64"/>
  <c r="D232" i="64"/>
  <c r="B233" i="64"/>
  <c r="D233" i="64"/>
  <c r="B234" i="64"/>
  <c r="D234" i="64"/>
  <c r="B235" i="64"/>
  <c r="C235" i="64"/>
  <c r="D235" i="64"/>
  <c r="B236" i="64"/>
  <c r="C236" i="64"/>
  <c r="D236" i="64"/>
  <c r="B237" i="64"/>
  <c r="C237" i="64"/>
  <c r="D237" i="64"/>
  <c r="B238" i="64"/>
  <c r="C238" i="64"/>
  <c r="D238" i="64"/>
  <c r="B239" i="64"/>
  <c r="C239" i="64"/>
  <c r="D239" i="64"/>
  <c r="B240" i="64"/>
  <c r="C240" i="64"/>
  <c r="D240" i="64"/>
  <c r="B241" i="64"/>
  <c r="C241" i="64"/>
  <c r="D241" i="64"/>
  <c r="B242" i="64"/>
  <c r="C242" i="64"/>
  <c r="D242" i="64"/>
  <c r="B243" i="64"/>
  <c r="C243" i="64"/>
  <c r="D243" i="64"/>
  <c r="B244" i="64"/>
  <c r="C244" i="64"/>
  <c r="D244" i="64"/>
  <c r="B245" i="64"/>
  <c r="C245" i="64"/>
  <c r="D245" i="64"/>
  <c r="B246" i="64"/>
  <c r="C246" i="64"/>
  <c r="D246" i="64"/>
  <c r="B247" i="64"/>
  <c r="C247" i="64"/>
  <c r="D247" i="64"/>
  <c r="B248" i="64"/>
  <c r="C248" i="64"/>
  <c r="D248" i="64"/>
  <c r="B249" i="64"/>
  <c r="C249" i="64"/>
  <c r="D249" i="64"/>
  <c r="B250" i="64"/>
  <c r="C250" i="64"/>
  <c r="D250" i="64"/>
  <c r="B251" i="64"/>
  <c r="C251" i="64"/>
  <c r="D251" i="64"/>
  <c r="B252" i="64"/>
  <c r="C252" i="64"/>
  <c r="D252" i="64"/>
  <c r="B253" i="64"/>
  <c r="C253" i="64"/>
  <c r="D253" i="64"/>
  <c r="B254" i="64"/>
  <c r="C254" i="64"/>
  <c r="D254" i="64"/>
  <c r="B255" i="64"/>
  <c r="C255" i="64"/>
  <c r="D255" i="64"/>
  <c r="B256" i="64"/>
  <c r="C256" i="64"/>
  <c r="D256" i="64"/>
  <c r="B257" i="64"/>
  <c r="C257" i="64"/>
  <c r="D257" i="64"/>
  <c r="B258" i="64"/>
  <c r="C258" i="64"/>
  <c r="D258" i="64"/>
  <c r="B259" i="64"/>
  <c r="C259" i="64"/>
  <c r="D259" i="64"/>
  <c r="B260" i="64"/>
  <c r="C260" i="64"/>
  <c r="D260" i="64"/>
  <c r="B261" i="64"/>
  <c r="C261" i="64"/>
  <c r="D261" i="64"/>
  <c r="B262" i="64"/>
  <c r="C262" i="64"/>
  <c r="D262" i="64"/>
  <c r="B263" i="64"/>
  <c r="C263" i="64"/>
  <c r="D263" i="64"/>
  <c r="B264" i="64"/>
  <c r="C264" i="64"/>
  <c r="D264" i="64"/>
  <c r="B265" i="64"/>
  <c r="C265" i="64"/>
  <c r="D265" i="64"/>
  <c r="B266" i="64"/>
  <c r="C266" i="64"/>
  <c r="D266" i="64"/>
  <c r="B267" i="64"/>
  <c r="C267" i="64"/>
  <c r="D267" i="64"/>
  <c r="B268" i="64"/>
  <c r="C268" i="64"/>
  <c r="D268" i="64"/>
  <c r="B269" i="64"/>
  <c r="C269" i="64"/>
  <c r="D269" i="64"/>
  <c r="B270" i="64"/>
  <c r="C270" i="64"/>
  <c r="D270" i="64"/>
  <c r="B271" i="64"/>
  <c r="C271" i="64"/>
  <c r="D271" i="64"/>
  <c r="B272" i="64"/>
  <c r="C272" i="64"/>
  <c r="D272" i="64"/>
  <c r="B273" i="64"/>
  <c r="C273" i="64"/>
  <c r="D273" i="64"/>
  <c r="B274" i="64"/>
  <c r="C274" i="64"/>
  <c r="D274" i="64"/>
  <c r="B275" i="64"/>
  <c r="C275" i="64"/>
  <c r="D275" i="64"/>
  <c r="B276" i="64"/>
  <c r="C276" i="64"/>
  <c r="D276" i="64"/>
  <c r="B277" i="64"/>
  <c r="C277" i="64"/>
  <c r="D277" i="64"/>
  <c r="B278" i="64"/>
  <c r="C278" i="64"/>
  <c r="D278" i="64"/>
  <c r="B279" i="64"/>
  <c r="C279" i="64"/>
  <c r="D279" i="64"/>
  <c r="B280" i="64"/>
  <c r="C280" i="64"/>
  <c r="D280" i="64"/>
  <c r="B281" i="64"/>
  <c r="C281" i="64"/>
  <c r="D281" i="64"/>
  <c r="B282" i="64"/>
  <c r="C282" i="64"/>
  <c r="D282" i="64"/>
  <c r="B283" i="64"/>
  <c r="C283" i="64"/>
  <c r="D283" i="64"/>
  <c r="B284" i="64"/>
  <c r="C284" i="64"/>
  <c r="D284" i="64"/>
  <c r="B285" i="64"/>
  <c r="C285" i="64"/>
  <c r="D285" i="64"/>
  <c r="B286" i="64"/>
  <c r="C286" i="64"/>
  <c r="D286" i="64"/>
  <c r="B287" i="64"/>
  <c r="C287" i="64"/>
  <c r="D287" i="64"/>
  <c r="B288" i="64"/>
  <c r="C288" i="64"/>
  <c r="D288" i="64"/>
  <c r="B289" i="64"/>
  <c r="C289" i="64"/>
  <c r="D289" i="64"/>
  <c r="B290" i="64"/>
  <c r="C290" i="64"/>
  <c r="D290" i="64"/>
  <c r="B291" i="64"/>
  <c r="C291" i="64"/>
  <c r="D291" i="64"/>
  <c r="B292" i="64"/>
  <c r="C292" i="64"/>
  <c r="D292" i="64"/>
  <c r="B293" i="64"/>
  <c r="C293" i="64"/>
  <c r="D293" i="64"/>
  <c r="B294" i="64"/>
  <c r="C294" i="64"/>
  <c r="D294" i="64"/>
  <c r="B295" i="64"/>
  <c r="C295" i="64"/>
  <c r="D295" i="64"/>
  <c r="B296" i="64"/>
  <c r="C296" i="64"/>
  <c r="D296" i="64"/>
  <c r="B297" i="64"/>
  <c r="C297" i="64"/>
  <c r="D297" i="64"/>
  <c r="B298" i="64"/>
  <c r="C298" i="64"/>
  <c r="D298" i="64"/>
  <c r="B299" i="64"/>
  <c r="C299" i="64"/>
  <c r="D299" i="64"/>
  <c r="B300" i="64"/>
  <c r="C300" i="64"/>
  <c r="D300" i="64"/>
  <c r="B301" i="64"/>
  <c r="C301" i="64"/>
  <c r="D301" i="64"/>
  <c r="B302" i="64"/>
  <c r="C302" i="64"/>
  <c r="D302" i="64"/>
  <c r="B303" i="64"/>
  <c r="C303" i="64"/>
  <c r="D303" i="64"/>
  <c r="B304" i="64"/>
  <c r="C304" i="64"/>
  <c r="D304" i="64"/>
  <c r="B305" i="64"/>
  <c r="C305" i="64"/>
  <c r="D305" i="64"/>
  <c r="B306" i="64"/>
  <c r="C306" i="64"/>
  <c r="D306" i="64"/>
  <c r="B307" i="64"/>
  <c r="C307" i="64"/>
  <c r="D307" i="64"/>
  <c r="B308" i="64"/>
  <c r="C308" i="64"/>
  <c r="D308" i="64"/>
  <c r="B309" i="64"/>
  <c r="C309" i="64"/>
  <c r="D309" i="64"/>
  <c r="B310" i="64"/>
  <c r="C310" i="64"/>
  <c r="D310" i="64"/>
  <c r="B311" i="64"/>
  <c r="C311" i="64"/>
  <c r="D311" i="64"/>
  <c r="B312" i="64"/>
  <c r="C312" i="64"/>
  <c r="D312" i="64"/>
  <c r="B313" i="64"/>
  <c r="C313" i="64"/>
  <c r="D313" i="64"/>
  <c r="B314" i="64"/>
  <c r="C314" i="64"/>
  <c r="D314" i="64"/>
  <c r="B315" i="64"/>
  <c r="C315" i="64"/>
  <c r="D315" i="64"/>
  <c r="B316" i="64"/>
  <c r="C316" i="64"/>
  <c r="D316" i="64"/>
  <c r="B317" i="64"/>
  <c r="C317" i="64"/>
  <c r="D317" i="64"/>
  <c r="B318" i="64"/>
  <c r="C318" i="64"/>
  <c r="D318" i="64"/>
  <c r="B319" i="64"/>
  <c r="C319" i="64"/>
  <c r="D319" i="64"/>
  <c r="B320" i="64"/>
  <c r="C320" i="64"/>
  <c r="D320" i="64"/>
  <c r="B321" i="64"/>
  <c r="C321" i="64"/>
  <c r="D321" i="64"/>
  <c r="B322" i="64"/>
  <c r="C322" i="64"/>
  <c r="D322" i="64"/>
  <c r="B323" i="64"/>
  <c r="C323" i="64"/>
  <c r="D323" i="64"/>
  <c r="B324" i="64"/>
  <c r="C324" i="64"/>
  <c r="D324" i="64"/>
  <c r="B325" i="64"/>
  <c r="C325" i="64"/>
  <c r="D325" i="64"/>
  <c r="B326" i="64"/>
  <c r="C326" i="64"/>
  <c r="D326" i="64"/>
  <c r="B327" i="64"/>
  <c r="C327" i="64"/>
  <c r="D327" i="64"/>
  <c r="B328" i="64"/>
  <c r="C328" i="64"/>
  <c r="D328" i="64"/>
  <c r="B329" i="64"/>
  <c r="C329" i="64"/>
  <c r="D329" i="64"/>
  <c r="B330" i="64"/>
  <c r="C330" i="64"/>
  <c r="D330" i="64"/>
  <c r="B331" i="64"/>
  <c r="C331" i="64"/>
  <c r="D331" i="64"/>
  <c r="B332" i="64"/>
  <c r="C332" i="64"/>
  <c r="D332" i="64"/>
  <c r="B333" i="64"/>
  <c r="C333" i="64"/>
  <c r="D333" i="64"/>
  <c r="B334" i="64"/>
  <c r="C334" i="64"/>
  <c r="D334" i="64"/>
  <c r="B335" i="64"/>
  <c r="C335" i="64"/>
  <c r="D335" i="64"/>
  <c r="B336" i="64"/>
  <c r="C336" i="64"/>
  <c r="D336" i="64"/>
  <c r="B337" i="64"/>
  <c r="C337" i="64"/>
  <c r="D337" i="64"/>
  <c r="B338" i="64"/>
  <c r="C338" i="64"/>
  <c r="D338" i="64"/>
  <c r="B339" i="64"/>
  <c r="C339" i="64"/>
  <c r="D339" i="64"/>
  <c r="B340" i="64"/>
  <c r="C340" i="64"/>
  <c r="D340" i="64"/>
  <c r="B341" i="64"/>
  <c r="C341" i="64"/>
  <c r="D341" i="64"/>
  <c r="B342" i="64"/>
  <c r="C342" i="64"/>
  <c r="D342" i="64"/>
  <c r="B343" i="64"/>
  <c r="C343" i="64"/>
  <c r="D343" i="64"/>
  <c r="B344" i="64"/>
  <c r="C344" i="64"/>
  <c r="D344" i="64"/>
  <c r="B345" i="64"/>
  <c r="C345" i="64"/>
  <c r="D345" i="64"/>
  <c r="B346" i="64"/>
  <c r="C346" i="64"/>
  <c r="D346" i="64"/>
  <c r="B347" i="64"/>
  <c r="C347" i="64"/>
  <c r="D347" i="64"/>
  <c r="B348" i="64"/>
  <c r="C348" i="64"/>
  <c r="D348" i="64"/>
  <c r="B349" i="64"/>
  <c r="C349" i="64"/>
  <c r="D349" i="64"/>
  <c r="B350" i="64"/>
  <c r="C350" i="64"/>
  <c r="D350" i="64"/>
  <c r="B351" i="64"/>
  <c r="C351" i="64"/>
  <c r="D351" i="64"/>
  <c r="B352" i="64"/>
  <c r="C352" i="64"/>
  <c r="D352" i="64"/>
  <c r="B353" i="64"/>
  <c r="C353" i="64"/>
  <c r="D353" i="64"/>
  <c r="B354" i="64"/>
  <c r="C354" i="64"/>
  <c r="D354" i="64"/>
  <c r="B355" i="64"/>
  <c r="C355" i="64"/>
  <c r="D355" i="64"/>
  <c r="B356" i="64"/>
  <c r="C356" i="64"/>
  <c r="D356" i="64"/>
  <c r="B357" i="64"/>
  <c r="C357" i="64"/>
  <c r="D357" i="64"/>
  <c r="B358" i="64"/>
  <c r="C358" i="64"/>
  <c r="D358" i="64"/>
  <c r="B359" i="64"/>
  <c r="C359" i="64"/>
  <c r="D359" i="64"/>
  <c r="B360" i="64"/>
  <c r="C360" i="64"/>
  <c r="D360" i="64"/>
  <c r="B361" i="64"/>
  <c r="C361" i="64"/>
  <c r="D361" i="64"/>
  <c r="B362" i="64"/>
  <c r="C362" i="64"/>
  <c r="D362" i="64"/>
  <c r="B363" i="64"/>
  <c r="C363" i="64"/>
  <c r="D363" i="64"/>
  <c r="B364" i="64"/>
  <c r="C364" i="64"/>
  <c r="D364" i="64"/>
  <c r="B365" i="64"/>
  <c r="C365" i="64"/>
  <c r="D365" i="64"/>
  <c r="B366" i="64"/>
  <c r="C366" i="64"/>
  <c r="D366" i="64"/>
  <c r="B367" i="64"/>
  <c r="C367" i="64"/>
  <c r="D367" i="64"/>
  <c r="B368" i="64"/>
  <c r="C368" i="64"/>
  <c r="D368" i="64"/>
  <c r="B369" i="64"/>
  <c r="C369" i="64"/>
  <c r="D369" i="64"/>
  <c r="B370" i="64"/>
  <c r="C370" i="64"/>
  <c r="D370" i="64"/>
  <c r="B371" i="64"/>
  <c r="C371" i="64"/>
  <c r="D371" i="64"/>
  <c r="B372" i="64"/>
  <c r="C372" i="64"/>
  <c r="D372" i="64"/>
  <c r="B373" i="64"/>
  <c r="C373" i="64"/>
  <c r="D373" i="64"/>
  <c r="B374" i="64"/>
  <c r="C374" i="64"/>
  <c r="D374" i="64"/>
  <c r="B375" i="64"/>
  <c r="C375" i="64"/>
  <c r="D375" i="64"/>
  <c r="B376" i="64"/>
  <c r="C376" i="64"/>
  <c r="D376" i="64"/>
  <c r="B377" i="64"/>
  <c r="C377" i="64"/>
  <c r="D377" i="64"/>
  <c r="B378" i="64"/>
  <c r="C378" i="64"/>
  <c r="D378" i="64"/>
  <c r="B379" i="64"/>
  <c r="C379" i="64"/>
  <c r="D379" i="64"/>
  <c r="B380" i="64"/>
  <c r="C380" i="64"/>
  <c r="D380" i="64"/>
  <c r="B381" i="64"/>
  <c r="C381" i="64"/>
  <c r="D381" i="64"/>
  <c r="B382" i="64"/>
  <c r="C382" i="64"/>
  <c r="D382" i="64"/>
  <c r="B383" i="64"/>
  <c r="C383" i="64"/>
  <c r="D383" i="64"/>
  <c r="B384" i="64"/>
  <c r="C384" i="64"/>
  <c r="D384" i="64"/>
  <c r="B385" i="64"/>
  <c r="C385" i="64"/>
  <c r="D385" i="64"/>
  <c r="B386" i="64"/>
  <c r="C386" i="64"/>
  <c r="D386" i="64"/>
  <c r="B387" i="64"/>
  <c r="C387" i="64"/>
  <c r="D387" i="64"/>
  <c r="B388" i="64"/>
  <c r="C388" i="64"/>
  <c r="D388" i="64"/>
  <c r="B389" i="64"/>
  <c r="C389" i="64"/>
  <c r="D389" i="64"/>
  <c r="B390" i="64"/>
  <c r="C390" i="64"/>
  <c r="D390" i="64"/>
  <c r="B391" i="64"/>
  <c r="C391" i="64"/>
  <c r="D391" i="64"/>
  <c r="B392" i="64"/>
  <c r="C392" i="64"/>
  <c r="D392" i="64"/>
  <c r="B393" i="64"/>
  <c r="C393" i="64"/>
  <c r="D393" i="64"/>
  <c r="B394" i="64"/>
  <c r="C394" i="64"/>
  <c r="D394" i="64"/>
  <c r="B395" i="64"/>
  <c r="C395" i="64"/>
  <c r="D395" i="64"/>
  <c r="B396" i="64"/>
  <c r="C396" i="64"/>
  <c r="D396" i="64"/>
  <c r="B397" i="64"/>
  <c r="C397" i="64"/>
  <c r="D397" i="64"/>
  <c r="B398" i="64"/>
  <c r="C398" i="64"/>
  <c r="D398" i="64"/>
  <c r="B399" i="64"/>
  <c r="C399" i="64"/>
  <c r="D399" i="64"/>
  <c r="B400" i="64"/>
  <c r="C400" i="64"/>
  <c r="D400" i="64"/>
  <c r="B401" i="64"/>
  <c r="C401" i="64"/>
  <c r="D401" i="64"/>
  <c r="B402" i="64"/>
  <c r="C402" i="64"/>
  <c r="D402" i="64"/>
  <c r="B403" i="64"/>
  <c r="C403" i="64"/>
  <c r="D403" i="64"/>
  <c r="I111" i="61" l="1"/>
  <c r="I112" i="61"/>
  <c r="I113" i="61"/>
  <c r="I114" i="61"/>
  <c r="I115" i="61"/>
  <c r="I116" i="61"/>
  <c r="F107" i="61"/>
  <c r="F108" i="61"/>
  <c r="F109" i="61"/>
  <c r="F110" i="61"/>
  <c r="F111" i="61"/>
  <c r="F112" i="61"/>
  <c r="F113" i="61"/>
  <c r="G113" i="61"/>
  <c r="F114" i="61"/>
  <c r="G114" i="61"/>
  <c r="F115" i="61"/>
  <c r="G115" i="61"/>
  <c r="F116" i="61"/>
  <c r="G116" i="61"/>
  <c r="C80" i="61"/>
  <c r="C81" i="61"/>
  <c r="C82" i="61"/>
  <c r="C83" i="61"/>
  <c r="C84" i="61"/>
  <c r="C85" i="61"/>
  <c r="C86" i="61"/>
  <c r="C87" i="61"/>
  <c r="C88" i="61"/>
  <c r="C89" i="61"/>
  <c r="C90" i="61"/>
  <c r="C91" i="61"/>
  <c r="C92" i="61"/>
  <c r="C93" i="61"/>
  <c r="C94" i="61"/>
  <c r="C95" i="61"/>
  <c r="C96" i="61"/>
  <c r="C97" i="61"/>
  <c r="C98" i="61"/>
  <c r="C99" i="61"/>
  <c r="C100" i="61"/>
  <c r="C101" i="61"/>
  <c r="C102" i="61"/>
  <c r="C103" i="61"/>
  <c r="C104" i="61"/>
  <c r="C105" i="61"/>
  <c r="C106" i="61"/>
  <c r="C107" i="61"/>
  <c r="C108" i="61"/>
  <c r="C109" i="61"/>
  <c r="D109" i="61"/>
  <c r="C110" i="61"/>
  <c r="D110" i="61"/>
  <c r="B111" i="61"/>
  <c r="C111" i="61"/>
  <c r="D111" i="61"/>
  <c r="B112" i="61"/>
  <c r="C112" i="61"/>
  <c r="D112" i="61"/>
  <c r="B113" i="61"/>
  <c r="C113" i="61"/>
  <c r="D113" i="61"/>
  <c r="B114" i="61"/>
  <c r="C114" i="61"/>
  <c r="D114" i="61"/>
  <c r="B115" i="61"/>
  <c r="C115" i="61"/>
  <c r="D115" i="61"/>
  <c r="B116" i="61"/>
  <c r="C116" i="61"/>
  <c r="D116" i="61"/>
  <c r="I3" i="58"/>
  <c r="I4" i="58"/>
  <c r="I5" i="58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I71" i="58"/>
  <c r="I72" i="58"/>
  <c r="I73" i="58"/>
  <c r="I74" i="58"/>
  <c r="I75" i="58"/>
  <c r="I76" i="58"/>
  <c r="I77" i="58"/>
  <c r="I78" i="58"/>
  <c r="I79" i="58"/>
  <c r="I80" i="58"/>
  <c r="I81" i="58"/>
  <c r="I82" i="58"/>
  <c r="I83" i="58"/>
  <c r="I84" i="58"/>
  <c r="I85" i="58"/>
  <c r="I86" i="58"/>
  <c r="I87" i="58"/>
  <c r="I88" i="58"/>
  <c r="I89" i="58"/>
  <c r="I90" i="58"/>
  <c r="I91" i="58"/>
  <c r="I92" i="58"/>
  <c r="I93" i="58"/>
  <c r="I94" i="58"/>
  <c r="I95" i="58"/>
  <c r="I96" i="58"/>
  <c r="I97" i="58"/>
  <c r="I98" i="58"/>
  <c r="I99" i="58"/>
  <c r="I100" i="58"/>
  <c r="I101" i="58"/>
  <c r="I102" i="58"/>
  <c r="I103" i="58"/>
  <c r="I104" i="58"/>
  <c r="I105" i="58"/>
  <c r="I106" i="58"/>
  <c r="I107" i="58"/>
  <c r="I108" i="58"/>
  <c r="I109" i="58"/>
  <c r="I110" i="58"/>
  <c r="I111" i="58"/>
  <c r="I112" i="58"/>
  <c r="I113" i="58"/>
  <c r="I114" i="58"/>
  <c r="I115" i="58"/>
  <c r="I116" i="58"/>
  <c r="F3" i="58"/>
  <c r="G3" i="58"/>
  <c r="F4" i="58"/>
  <c r="G4" i="58"/>
  <c r="F5" i="58"/>
  <c r="G5" i="58"/>
  <c r="F6" i="58"/>
  <c r="G6" i="58"/>
  <c r="F7" i="58"/>
  <c r="G7" i="58"/>
  <c r="F8" i="58"/>
  <c r="G8" i="58"/>
  <c r="F9" i="58"/>
  <c r="G9" i="58"/>
  <c r="F10" i="58"/>
  <c r="G10" i="58"/>
  <c r="F11" i="58"/>
  <c r="G11" i="58"/>
  <c r="F12" i="58"/>
  <c r="G12" i="58"/>
  <c r="F13" i="58"/>
  <c r="G13" i="58"/>
  <c r="F14" i="58"/>
  <c r="G14" i="58"/>
  <c r="F15" i="58"/>
  <c r="G15" i="58"/>
  <c r="F16" i="58"/>
  <c r="G16" i="58"/>
  <c r="F17" i="58"/>
  <c r="G17" i="58"/>
  <c r="F18" i="58"/>
  <c r="G18" i="58"/>
  <c r="F19" i="58"/>
  <c r="G19" i="58"/>
  <c r="F20" i="58"/>
  <c r="G20" i="58"/>
  <c r="F21" i="58"/>
  <c r="G21" i="58"/>
  <c r="F22" i="58"/>
  <c r="G22" i="58"/>
  <c r="F23" i="58"/>
  <c r="G23" i="58"/>
  <c r="F24" i="58"/>
  <c r="G24" i="58"/>
  <c r="F25" i="58"/>
  <c r="G25" i="58"/>
  <c r="F26" i="58"/>
  <c r="G26" i="58"/>
  <c r="F27" i="58"/>
  <c r="G27" i="58"/>
  <c r="F28" i="58"/>
  <c r="G28" i="58"/>
  <c r="F29" i="58"/>
  <c r="G29" i="58"/>
  <c r="F30" i="58"/>
  <c r="G30" i="58"/>
  <c r="F31" i="58"/>
  <c r="G31" i="58"/>
  <c r="F32" i="58"/>
  <c r="G32" i="58"/>
  <c r="F33" i="58"/>
  <c r="G33" i="58"/>
  <c r="F34" i="58"/>
  <c r="G34" i="58"/>
  <c r="F35" i="58"/>
  <c r="G35" i="58"/>
  <c r="F36" i="58"/>
  <c r="G36" i="58"/>
  <c r="F37" i="58"/>
  <c r="G37" i="58"/>
  <c r="F38" i="58"/>
  <c r="G38" i="58"/>
  <c r="F39" i="58"/>
  <c r="G39" i="58"/>
  <c r="F40" i="58"/>
  <c r="G40" i="58"/>
  <c r="F41" i="58"/>
  <c r="G41" i="58"/>
  <c r="F42" i="58"/>
  <c r="G42" i="58"/>
  <c r="F43" i="58"/>
  <c r="G43" i="58"/>
  <c r="F44" i="58"/>
  <c r="G44" i="58"/>
  <c r="F45" i="58"/>
  <c r="G45" i="58"/>
  <c r="F46" i="58"/>
  <c r="G46" i="58"/>
  <c r="F47" i="58"/>
  <c r="G47" i="58"/>
  <c r="F48" i="58"/>
  <c r="G48" i="58"/>
  <c r="F49" i="58"/>
  <c r="G49" i="58"/>
  <c r="F50" i="58"/>
  <c r="G50" i="58"/>
  <c r="F51" i="58"/>
  <c r="G51" i="58"/>
  <c r="F52" i="58"/>
  <c r="G52" i="58"/>
  <c r="F53" i="58"/>
  <c r="G53" i="58"/>
  <c r="F54" i="58"/>
  <c r="G54" i="58"/>
  <c r="F55" i="58"/>
  <c r="G55" i="58"/>
  <c r="F56" i="58"/>
  <c r="G56" i="58"/>
  <c r="F57" i="58"/>
  <c r="G57" i="58"/>
  <c r="F58" i="58"/>
  <c r="G58" i="58"/>
  <c r="F59" i="58"/>
  <c r="G59" i="58"/>
  <c r="F60" i="58"/>
  <c r="G60" i="58"/>
  <c r="F61" i="58"/>
  <c r="G61" i="58"/>
  <c r="F62" i="58"/>
  <c r="G62" i="58"/>
  <c r="F63" i="58"/>
  <c r="G63" i="58"/>
  <c r="F64" i="58"/>
  <c r="G64" i="58"/>
  <c r="F65" i="58"/>
  <c r="G65" i="58"/>
  <c r="F66" i="58"/>
  <c r="G66" i="58"/>
  <c r="F67" i="58"/>
  <c r="G67" i="58"/>
  <c r="F68" i="58"/>
  <c r="G68" i="58"/>
  <c r="F69" i="58"/>
  <c r="G69" i="58"/>
  <c r="F70" i="58"/>
  <c r="G70" i="58"/>
  <c r="F71" i="58"/>
  <c r="G71" i="58"/>
  <c r="F72" i="58"/>
  <c r="G72" i="58"/>
  <c r="F73" i="58"/>
  <c r="G73" i="58"/>
  <c r="F74" i="58"/>
  <c r="G74" i="58"/>
  <c r="F75" i="58"/>
  <c r="G75" i="58"/>
  <c r="F76" i="58"/>
  <c r="G76" i="58"/>
  <c r="F77" i="58"/>
  <c r="G77" i="58"/>
  <c r="F78" i="58"/>
  <c r="G78" i="58"/>
  <c r="F79" i="58"/>
  <c r="G79" i="58"/>
  <c r="F80" i="58"/>
  <c r="G80" i="58"/>
  <c r="F81" i="58"/>
  <c r="G81" i="58"/>
  <c r="F82" i="58"/>
  <c r="G82" i="58"/>
  <c r="F83" i="58"/>
  <c r="G83" i="58"/>
  <c r="F84" i="58"/>
  <c r="G84" i="58"/>
  <c r="F85" i="58"/>
  <c r="G85" i="58"/>
  <c r="F86" i="58"/>
  <c r="G86" i="58"/>
  <c r="F87" i="58"/>
  <c r="G87" i="58"/>
  <c r="F88" i="58"/>
  <c r="G88" i="58"/>
  <c r="F89" i="58"/>
  <c r="G89" i="58"/>
  <c r="F90" i="58"/>
  <c r="G90" i="58"/>
  <c r="F91" i="58"/>
  <c r="G91" i="58"/>
  <c r="F92" i="58"/>
  <c r="G92" i="58"/>
  <c r="F93" i="58"/>
  <c r="G93" i="58"/>
  <c r="F94" i="58"/>
  <c r="G94" i="58"/>
  <c r="F95" i="58"/>
  <c r="G95" i="58"/>
  <c r="F96" i="58"/>
  <c r="G96" i="58"/>
  <c r="F97" i="58"/>
  <c r="G97" i="58"/>
  <c r="F98" i="58"/>
  <c r="G98" i="58"/>
  <c r="F99" i="58"/>
  <c r="G99" i="58"/>
  <c r="F100" i="58"/>
  <c r="G100" i="58"/>
  <c r="F101" i="58"/>
  <c r="G101" i="58"/>
  <c r="F102" i="58"/>
  <c r="G102" i="58"/>
  <c r="F103" i="58"/>
  <c r="G103" i="58"/>
  <c r="F104" i="58"/>
  <c r="G104" i="58"/>
  <c r="F105" i="58"/>
  <c r="G105" i="58"/>
  <c r="F106" i="58"/>
  <c r="G106" i="58"/>
  <c r="F107" i="58"/>
  <c r="G107" i="58"/>
  <c r="F108" i="58"/>
  <c r="G108" i="58"/>
  <c r="F109" i="58"/>
  <c r="G109" i="58"/>
  <c r="F110" i="58"/>
  <c r="G110" i="58"/>
  <c r="F111" i="58"/>
  <c r="G111" i="58"/>
  <c r="F112" i="58"/>
  <c r="G112" i="58"/>
  <c r="F113" i="58"/>
  <c r="G113" i="58"/>
  <c r="F114" i="58"/>
  <c r="G114" i="58"/>
  <c r="F115" i="58"/>
  <c r="G115" i="58"/>
  <c r="F116" i="58"/>
  <c r="G116" i="58"/>
  <c r="B3" i="58"/>
  <c r="C3" i="58"/>
  <c r="D3" i="58"/>
  <c r="B4" i="58"/>
  <c r="C4" i="58"/>
  <c r="D4" i="58"/>
  <c r="B5" i="58"/>
  <c r="C5" i="58"/>
  <c r="D5" i="58"/>
  <c r="B6" i="58"/>
  <c r="C6" i="58"/>
  <c r="D6" i="58"/>
  <c r="B7" i="58"/>
  <c r="C7" i="58"/>
  <c r="D7" i="58"/>
  <c r="B8" i="58"/>
  <c r="C8" i="58"/>
  <c r="D8" i="58"/>
  <c r="B9" i="58"/>
  <c r="C9" i="58"/>
  <c r="D9" i="58"/>
  <c r="B10" i="58"/>
  <c r="C10" i="58"/>
  <c r="D10" i="58"/>
  <c r="B11" i="58"/>
  <c r="C11" i="58"/>
  <c r="D11" i="58"/>
  <c r="B12" i="58"/>
  <c r="C12" i="58"/>
  <c r="D12" i="58"/>
  <c r="B13" i="58"/>
  <c r="C13" i="58"/>
  <c r="D13" i="58"/>
  <c r="B14" i="58"/>
  <c r="C14" i="58"/>
  <c r="D14" i="58"/>
  <c r="B15" i="58"/>
  <c r="C15" i="58"/>
  <c r="D15" i="58"/>
  <c r="B16" i="58"/>
  <c r="C16" i="58"/>
  <c r="D16" i="58"/>
  <c r="B17" i="58"/>
  <c r="C17" i="58"/>
  <c r="D17" i="58"/>
  <c r="B18" i="58"/>
  <c r="C18" i="58"/>
  <c r="D18" i="58"/>
  <c r="B19" i="58"/>
  <c r="C19" i="58"/>
  <c r="D19" i="58"/>
  <c r="B20" i="58"/>
  <c r="C20" i="58"/>
  <c r="D20" i="58"/>
  <c r="B21" i="58"/>
  <c r="C21" i="58"/>
  <c r="D21" i="58"/>
  <c r="B22" i="58"/>
  <c r="C22" i="58"/>
  <c r="D22" i="58"/>
  <c r="B23" i="58"/>
  <c r="C23" i="58"/>
  <c r="D23" i="58"/>
  <c r="B24" i="58"/>
  <c r="C24" i="58"/>
  <c r="D24" i="58"/>
  <c r="B25" i="58"/>
  <c r="C25" i="58"/>
  <c r="D25" i="58"/>
  <c r="B26" i="58"/>
  <c r="C26" i="58"/>
  <c r="D26" i="58"/>
  <c r="B27" i="58"/>
  <c r="C27" i="58"/>
  <c r="D27" i="58"/>
  <c r="B28" i="58"/>
  <c r="C28" i="58"/>
  <c r="D28" i="58"/>
  <c r="B29" i="58"/>
  <c r="C29" i="58"/>
  <c r="D29" i="58"/>
  <c r="B30" i="58"/>
  <c r="C30" i="58"/>
  <c r="D30" i="58"/>
  <c r="B31" i="58"/>
  <c r="C31" i="58"/>
  <c r="D31" i="58"/>
  <c r="B32" i="58"/>
  <c r="C32" i="58"/>
  <c r="D32" i="58"/>
  <c r="B33" i="58"/>
  <c r="C33" i="58"/>
  <c r="D33" i="58"/>
  <c r="B34" i="58"/>
  <c r="C34" i="58"/>
  <c r="D34" i="58"/>
  <c r="B35" i="58"/>
  <c r="C35" i="58"/>
  <c r="D35" i="58"/>
  <c r="B36" i="58"/>
  <c r="C36" i="58"/>
  <c r="D36" i="58"/>
  <c r="B37" i="58"/>
  <c r="C37" i="58"/>
  <c r="D37" i="58"/>
  <c r="B38" i="58"/>
  <c r="C38" i="58"/>
  <c r="D38" i="58"/>
  <c r="B39" i="58"/>
  <c r="C39" i="58"/>
  <c r="D39" i="58"/>
  <c r="B40" i="58"/>
  <c r="C40" i="58"/>
  <c r="D40" i="58"/>
  <c r="B41" i="58"/>
  <c r="C41" i="58"/>
  <c r="D41" i="58"/>
  <c r="B42" i="58"/>
  <c r="C42" i="58"/>
  <c r="D42" i="58"/>
  <c r="B43" i="58"/>
  <c r="C43" i="58"/>
  <c r="D43" i="58"/>
  <c r="B44" i="58"/>
  <c r="C44" i="58"/>
  <c r="D44" i="58"/>
  <c r="B45" i="58"/>
  <c r="C45" i="58"/>
  <c r="D45" i="58"/>
  <c r="B46" i="58"/>
  <c r="C46" i="58"/>
  <c r="D46" i="58"/>
  <c r="B47" i="58"/>
  <c r="C47" i="58"/>
  <c r="D47" i="58"/>
  <c r="B48" i="58"/>
  <c r="C48" i="58"/>
  <c r="D48" i="58"/>
  <c r="B49" i="58"/>
  <c r="C49" i="58"/>
  <c r="D49" i="58"/>
  <c r="B50" i="58"/>
  <c r="C50" i="58"/>
  <c r="D50" i="58"/>
  <c r="B51" i="58"/>
  <c r="C51" i="58"/>
  <c r="D51" i="58"/>
  <c r="B52" i="58"/>
  <c r="C52" i="58"/>
  <c r="D52" i="58"/>
  <c r="B53" i="58"/>
  <c r="C53" i="58"/>
  <c r="D53" i="58"/>
  <c r="B54" i="58"/>
  <c r="C54" i="58"/>
  <c r="D54" i="58"/>
  <c r="B55" i="58"/>
  <c r="C55" i="58"/>
  <c r="D55" i="58"/>
  <c r="B56" i="58"/>
  <c r="C56" i="58"/>
  <c r="D56" i="58"/>
  <c r="B57" i="58"/>
  <c r="C57" i="58"/>
  <c r="D57" i="58"/>
  <c r="B58" i="58"/>
  <c r="C58" i="58"/>
  <c r="D58" i="58"/>
  <c r="B59" i="58"/>
  <c r="C59" i="58"/>
  <c r="D59" i="58"/>
  <c r="B60" i="58"/>
  <c r="C60" i="58"/>
  <c r="D60" i="58"/>
  <c r="B61" i="58"/>
  <c r="C61" i="58"/>
  <c r="D61" i="58"/>
  <c r="B62" i="58"/>
  <c r="C62" i="58"/>
  <c r="D62" i="58"/>
  <c r="B63" i="58"/>
  <c r="C63" i="58"/>
  <c r="D63" i="58"/>
  <c r="B64" i="58"/>
  <c r="C64" i="58"/>
  <c r="D64" i="58"/>
  <c r="B65" i="58"/>
  <c r="C65" i="58"/>
  <c r="D65" i="58"/>
  <c r="B66" i="58"/>
  <c r="C66" i="58"/>
  <c r="D66" i="58"/>
  <c r="B67" i="58"/>
  <c r="C67" i="58"/>
  <c r="D67" i="58"/>
  <c r="B68" i="58"/>
  <c r="C68" i="58"/>
  <c r="D68" i="58"/>
  <c r="B69" i="58"/>
  <c r="C69" i="58"/>
  <c r="D69" i="58"/>
  <c r="B70" i="58"/>
  <c r="C70" i="58"/>
  <c r="D70" i="58"/>
  <c r="B71" i="58"/>
  <c r="C71" i="58"/>
  <c r="D71" i="58"/>
  <c r="B72" i="58"/>
  <c r="C72" i="58"/>
  <c r="D72" i="58"/>
  <c r="B73" i="58"/>
  <c r="C73" i="58"/>
  <c r="D73" i="58"/>
  <c r="B74" i="58"/>
  <c r="C74" i="58"/>
  <c r="D74" i="58"/>
  <c r="B75" i="58"/>
  <c r="C75" i="58"/>
  <c r="D75" i="58"/>
  <c r="B76" i="58"/>
  <c r="C76" i="58"/>
  <c r="D76" i="58"/>
  <c r="B77" i="58"/>
  <c r="C77" i="58"/>
  <c r="D77" i="58"/>
  <c r="B78" i="58"/>
  <c r="C78" i="58"/>
  <c r="D78" i="58"/>
  <c r="B79" i="58"/>
  <c r="C79" i="58"/>
  <c r="D79" i="58"/>
  <c r="B80" i="58"/>
  <c r="C80" i="58"/>
  <c r="D80" i="58"/>
  <c r="B81" i="58"/>
  <c r="C81" i="58"/>
  <c r="D81" i="58"/>
  <c r="B82" i="58"/>
  <c r="C82" i="58"/>
  <c r="D82" i="58"/>
  <c r="B83" i="58"/>
  <c r="C83" i="58"/>
  <c r="D83" i="58"/>
  <c r="B84" i="58"/>
  <c r="C84" i="58"/>
  <c r="D84" i="58"/>
  <c r="B85" i="58"/>
  <c r="C85" i="58"/>
  <c r="D85" i="58"/>
  <c r="B86" i="58"/>
  <c r="C86" i="58"/>
  <c r="D86" i="58"/>
  <c r="B87" i="58"/>
  <c r="C87" i="58"/>
  <c r="D87" i="58"/>
  <c r="B88" i="58"/>
  <c r="C88" i="58"/>
  <c r="D88" i="58"/>
  <c r="B89" i="58"/>
  <c r="C89" i="58"/>
  <c r="D89" i="58"/>
  <c r="B90" i="58"/>
  <c r="C90" i="58"/>
  <c r="D90" i="58"/>
  <c r="B91" i="58"/>
  <c r="C91" i="58"/>
  <c r="D91" i="58"/>
  <c r="B92" i="58"/>
  <c r="C92" i="58"/>
  <c r="D92" i="58"/>
  <c r="B93" i="58"/>
  <c r="C93" i="58"/>
  <c r="D93" i="58"/>
  <c r="B94" i="58"/>
  <c r="C94" i="58"/>
  <c r="D94" i="58"/>
  <c r="B95" i="58"/>
  <c r="C95" i="58"/>
  <c r="D95" i="58"/>
  <c r="B96" i="58"/>
  <c r="C96" i="58"/>
  <c r="D96" i="58"/>
  <c r="B97" i="58"/>
  <c r="C97" i="58"/>
  <c r="D97" i="58"/>
  <c r="B98" i="58"/>
  <c r="C98" i="58"/>
  <c r="D98" i="58"/>
  <c r="B99" i="58"/>
  <c r="C99" i="58"/>
  <c r="D99" i="58"/>
  <c r="B100" i="58"/>
  <c r="C100" i="58"/>
  <c r="D100" i="58"/>
  <c r="B101" i="58"/>
  <c r="C101" i="58"/>
  <c r="D101" i="58"/>
  <c r="B102" i="58"/>
  <c r="C102" i="58"/>
  <c r="D102" i="58"/>
  <c r="B103" i="58"/>
  <c r="C103" i="58"/>
  <c r="D103" i="58"/>
  <c r="B104" i="58"/>
  <c r="C104" i="58"/>
  <c r="D104" i="58"/>
  <c r="B105" i="58"/>
  <c r="C105" i="58"/>
  <c r="D105" i="58"/>
  <c r="B106" i="58"/>
  <c r="C106" i="58"/>
  <c r="D106" i="58"/>
  <c r="B107" i="58"/>
  <c r="C107" i="58"/>
  <c r="D107" i="58"/>
  <c r="B108" i="58"/>
  <c r="C108" i="58"/>
  <c r="D108" i="58"/>
  <c r="B109" i="58"/>
  <c r="C109" i="58"/>
  <c r="D109" i="58"/>
  <c r="B110" i="58"/>
  <c r="C110" i="58"/>
  <c r="D110" i="58"/>
  <c r="B111" i="58"/>
  <c r="C111" i="58"/>
  <c r="D111" i="58"/>
  <c r="B112" i="58"/>
  <c r="C112" i="58"/>
  <c r="D112" i="58"/>
  <c r="B113" i="58"/>
  <c r="C113" i="58"/>
  <c r="D113" i="58"/>
  <c r="B114" i="58"/>
  <c r="C114" i="58"/>
  <c r="D114" i="58"/>
  <c r="B115" i="58"/>
  <c r="C115" i="58"/>
  <c r="D115" i="58"/>
  <c r="B116" i="58"/>
  <c r="C116" i="58"/>
  <c r="D116" i="58"/>
  <c r="I2" i="58"/>
  <c r="G2" i="58"/>
  <c r="F2" i="58"/>
  <c r="D2" i="58"/>
  <c r="C2" i="58"/>
  <c r="B2" i="58"/>
  <c r="I201" i="55"/>
  <c r="I202" i="55"/>
  <c r="I203" i="55"/>
  <c r="I204" i="55"/>
  <c r="I205" i="55"/>
  <c r="I206" i="55"/>
  <c r="I207" i="55"/>
  <c r="I208" i="55"/>
  <c r="I209" i="55"/>
  <c r="I210" i="55"/>
  <c r="I211" i="55"/>
  <c r="I212" i="55"/>
  <c r="I213" i="55"/>
  <c r="I214" i="55"/>
  <c r="I215" i="55"/>
  <c r="I216" i="55"/>
  <c r="I217" i="55"/>
  <c r="I218" i="55"/>
  <c r="I219" i="55"/>
  <c r="I220" i="55"/>
  <c r="I221" i="55"/>
  <c r="I222" i="55"/>
  <c r="I223" i="55"/>
  <c r="I224" i="55"/>
  <c r="I225" i="55"/>
  <c r="I226" i="55"/>
  <c r="I227" i="55"/>
  <c r="I228" i="55"/>
  <c r="I229" i="55"/>
  <c r="I230" i="55"/>
  <c r="I231" i="55"/>
  <c r="I232" i="55"/>
  <c r="I233" i="55"/>
  <c r="I234" i="55"/>
  <c r="I235" i="55"/>
  <c r="I236" i="55"/>
  <c r="I237" i="55"/>
  <c r="I238" i="55"/>
  <c r="I239" i="55"/>
  <c r="I240" i="55"/>
  <c r="I241" i="55"/>
  <c r="I242" i="55"/>
  <c r="I243" i="55"/>
  <c r="I244" i="55"/>
  <c r="I245" i="55"/>
  <c r="I246" i="55"/>
  <c r="I247" i="55"/>
  <c r="I248" i="55"/>
  <c r="I249" i="55"/>
  <c r="I250" i="55"/>
  <c r="I251" i="55"/>
  <c r="I252" i="55"/>
  <c r="I253" i="55"/>
  <c r="I254" i="55"/>
  <c r="I255" i="55"/>
  <c r="I256" i="55"/>
  <c r="I257" i="55"/>
  <c r="I258" i="55"/>
  <c r="I259" i="55"/>
  <c r="I260" i="55"/>
  <c r="I261" i="55"/>
  <c r="I262" i="55"/>
  <c r="I263" i="55"/>
  <c r="I264" i="55"/>
  <c r="I265" i="55"/>
  <c r="I266" i="55"/>
  <c r="I267" i="55"/>
  <c r="I268" i="55"/>
  <c r="I269" i="55"/>
  <c r="I270" i="55"/>
  <c r="I271" i="55"/>
  <c r="I272" i="55"/>
  <c r="I273" i="55"/>
  <c r="I274" i="55"/>
  <c r="I275" i="55"/>
  <c r="I276" i="55"/>
  <c r="I277" i="55"/>
  <c r="I278" i="55"/>
  <c r="I279" i="55"/>
  <c r="I280" i="55"/>
  <c r="I281" i="55"/>
  <c r="I282" i="55"/>
  <c r="I283" i="55"/>
  <c r="I284" i="55"/>
  <c r="I285" i="55"/>
  <c r="I286" i="55"/>
  <c r="I287" i="55"/>
  <c r="I288" i="55"/>
  <c r="I289" i="55"/>
  <c r="I290" i="55"/>
  <c r="I291" i="55"/>
  <c r="I292" i="55"/>
  <c r="I293" i="55"/>
  <c r="I294" i="55"/>
  <c r="I295" i="55"/>
  <c r="I296" i="55"/>
  <c r="I297" i="55"/>
  <c r="I298" i="55"/>
  <c r="I299" i="55"/>
  <c r="I300" i="55"/>
  <c r="I301" i="55"/>
  <c r="I302" i="55"/>
  <c r="I303" i="55"/>
  <c r="I304" i="55"/>
  <c r="I305" i="55"/>
  <c r="I306" i="55"/>
  <c r="I307" i="55"/>
  <c r="I308" i="55"/>
  <c r="I309" i="55"/>
  <c r="I310" i="55"/>
  <c r="I311" i="55"/>
  <c r="I312" i="55"/>
  <c r="I313" i="55"/>
  <c r="I314" i="55"/>
  <c r="I315" i="55"/>
  <c r="I316" i="55"/>
  <c r="I317" i="55"/>
  <c r="I318" i="55"/>
  <c r="I319" i="55"/>
  <c r="I320" i="55"/>
  <c r="I321" i="55"/>
  <c r="I322" i="55"/>
  <c r="I323" i="55"/>
  <c r="I324" i="55"/>
  <c r="I325" i="55"/>
  <c r="I326" i="55"/>
  <c r="I327" i="55"/>
  <c r="I328" i="55"/>
  <c r="F201" i="55"/>
  <c r="G201" i="55"/>
  <c r="F202" i="55"/>
  <c r="G202" i="55"/>
  <c r="F203" i="55"/>
  <c r="G203" i="55"/>
  <c r="F204" i="55"/>
  <c r="G204" i="55"/>
  <c r="F205" i="55"/>
  <c r="G205" i="55"/>
  <c r="F206" i="55"/>
  <c r="G206" i="55"/>
  <c r="F207" i="55"/>
  <c r="G207" i="55"/>
  <c r="F208" i="55"/>
  <c r="G208" i="55"/>
  <c r="F209" i="55"/>
  <c r="G209" i="55"/>
  <c r="F210" i="55"/>
  <c r="G210" i="55"/>
  <c r="F211" i="55"/>
  <c r="G211" i="55"/>
  <c r="F212" i="55"/>
  <c r="G212" i="55"/>
  <c r="F213" i="55"/>
  <c r="G213" i="55"/>
  <c r="F214" i="55"/>
  <c r="G214" i="55"/>
  <c r="F215" i="55"/>
  <c r="G215" i="55"/>
  <c r="F216" i="55"/>
  <c r="G216" i="55"/>
  <c r="F217" i="55"/>
  <c r="G217" i="55"/>
  <c r="F218" i="55"/>
  <c r="G218" i="55"/>
  <c r="F219" i="55"/>
  <c r="G219" i="55"/>
  <c r="F220" i="55"/>
  <c r="G220" i="55"/>
  <c r="F221" i="55"/>
  <c r="G221" i="55"/>
  <c r="F222" i="55"/>
  <c r="G222" i="55"/>
  <c r="F223" i="55"/>
  <c r="G223" i="55"/>
  <c r="F224" i="55"/>
  <c r="G224" i="55"/>
  <c r="F225" i="55"/>
  <c r="G225" i="55"/>
  <c r="F226" i="55"/>
  <c r="G226" i="55"/>
  <c r="F227" i="55"/>
  <c r="G227" i="55"/>
  <c r="F228" i="55"/>
  <c r="G228" i="55"/>
  <c r="F229" i="55"/>
  <c r="G229" i="55"/>
  <c r="F230" i="55"/>
  <c r="G230" i="55"/>
  <c r="F231" i="55"/>
  <c r="G231" i="55"/>
  <c r="F232" i="55"/>
  <c r="G232" i="55"/>
  <c r="F233" i="55"/>
  <c r="G233" i="55"/>
  <c r="F234" i="55"/>
  <c r="G234" i="55"/>
  <c r="F235" i="55"/>
  <c r="G235" i="55"/>
  <c r="F236" i="55"/>
  <c r="G236" i="55"/>
  <c r="F237" i="55"/>
  <c r="G237" i="55"/>
  <c r="F238" i="55"/>
  <c r="G238" i="55"/>
  <c r="F239" i="55"/>
  <c r="G239" i="55"/>
  <c r="F240" i="55"/>
  <c r="G240" i="55"/>
  <c r="F241" i="55"/>
  <c r="G241" i="55"/>
  <c r="F242" i="55"/>
  <c r="G242" i="55"/>
  <c r="F243" i="55"/>
  <c r="G243" i="55"/>
  <c r="F244" i="55"/>
  <c r="G244" i="55"/>
  <c r="F245" i="55"/>
  <c r="G245" i="55"/>
  <c r="F246" i="55"/>
  <c r="G246" i="55"/>
  <c r="F247" i="55"/>
  <c r="G247" i="55"/>
  <c r="F248" i="55"/>
  <c r="G248" i="55"/>
  <c r="F249" i="55"/>
  <c r="G249" i="55"/>
  <c r="F250" i="55"/>
  <c r="G250" i="55"/>
  <c r="F251" i="55"/>
  <c r="G251" i="55"/>
  <c r="F252" i="55"/>
  <c r="G252" i="55"/>
  <c r="F253" i="55"/>
  <c r="G253" i="55"/>
  <c r="F254" i="55"/>
  <c r="G254" i="55"/>
  <c r="F255" i="55"/>
  <c r="G255" i="55"/>
  <c r="F256" i="55"/>
  <c r="G256" i="55"/>
  <c r="F257" i="55"/>
  <c r="G257" i="55"/>
  <c r="F258" i="55"/>
  <c r="G258" i="55"/>
  <c r="F259" i="55"/>
  <c r="G259" i="55"/>
  <c r="F260" i="55"/>
  <c r="G260" i="55"/>
  <c r="F261" i="55"/>
  <c r="G261" i="55"/>
  <c r="F262" i="55"/>
  <c r="G262" i="55"/>
  <c r="F263" i="55"/>
  <c r="G263" i="55"/>
  <c r="F264" i="55"/>
  <c r="G264" i="55"/>
  <c r="F265" i="55"/>
  <c r="G265" i="55"/>
  <c r="F266" i="55"/>
  <c r="G266" i="55"/>
  <c r="F267" i="55"/>
  <c r="G267" i="55"/>
  <c r="F268" i="55"/>
  <c r="G268" i="55"/>
  <c r="F269" i="55"/>
  <c r="G269" i="55"/>
  <c r="F270" i="55"/>
  <c r="G270" i="55"/>
  <c r="F271" i="55"/>
  <c r="G271" i="55"/>
  <c r="F272" i="55"/>
  <c r="G272" i="55"/>
  <c r="F273" i="55"/>
  <c r="G273" i="55"/>
  <c r="F274" i="55"/>
  <c r="G274" i="55"/>
  <c r="F275" i="55"/>
  <c r="G275" i="55"/>
  <c r="F276" i="55"/>
  <c r="G276" i="55"/>
  <c r="F277" i="55"/>
  <c r="G277" i="55"/>
  <c r="F278" i="55"/>
  <c r="G278" i="55"/>
  <c r="F279" i="55"/>
  <c r="G279" i="55"/>
  <c r="F280" i="55"/>
  <c r="G280" i="55"/>
  <c r="F281" i="55"/>
  <c r="G281" i="55"/>
  <c r="F282" i="55"/>
  <c r="G282" i="55"/>
  <c r="F283" i="55"/>
  <c r="G283" i="55"/>
  <c r="F284" i="55"/>
  <c r="G284" i="55"/>
  <c r="F285" i="55"/>
  <c r="G285" i="55"/>
  <c r="F286" i="55"/>
  <c r="G286" i="55"/>
  <c r="F287" i="55"/>
  <c r="G287" i="55"/>
  <c r="F288" i="55"/>
  <c r="G288" i="55"/>
  <c r="F289" i="55"/>
  <c r="G289" i="55"/>
  <c r="F290" i="55"/>
  <c r="G290" i="55"/>
  <c r="F291" i="55"/>
  <c r="G291" i="55"/>
  <c r="F292" i="55"/>
  <c r="G292" i="55"/>
  <c r="F293" i="55"/>
  <c r="G293" i="55"/>
  <c r="F294" i="55"/>
  <c r="G294" i="55"/>
  <c r="F295" i="55"/>
  <c r="G295" i="55"/>
  <c r="F296" i="55"/>
  <c r="G296" i="55"/>
  <c r="F297" i="55"/>
  <c r="G297" i="55"/>
  <c r="F298" i="55"/>
  <c r="G298" i="55"/>
  <c r="F299" i="55"/>
  <c r="G299" i="55"/>
  <c r="F300" i="55"/>
  <c r="G300" i="55"/>
  <c r="F301" i="55"/>
  <c r="G301" i="55"/>
  <c r="F302" i="55"/>
  <c r="G302" i="55"/>
  <c r="F303" i="55"/>
  <c r="G303" i="55"/>
  <c r="F304" i="55"/>
  <c r="G304" i="55"/>
  <c r="F305" i="55"/>
  <c r="G305" i="55"/>
  <c r="F306" i="55"/>
  <c r="G306" i="55"/>
  <c r="F307" i="55"/>
  <c r="G307" i="55"/>
  <c r="F308" i="55"/>
  <c r="G308" i="55"/>
  <c r="F309" i="55"/>
  <c r="G309" i="55"/>
  <c r="F310" i="55"/>
  <c r="G310" i="55"/>
  <c r="F311" i="55"/>
  <c r="G311" i="55"/>
  <c r="F312" i="55"/>
  <c r="G312" i="55"/>
  <c r="F313" i="55"/>
  <c r="G313" i="55"/>
  <c r="F314" i="55"/>
  <c r="G314" i="55"/>
  <c r="F315" i="55"/>
  <c r="G315" i="55"/>
  <c r="F316" i="55"/>
  <c r="G316" i="55"/>
  <c r="F317" i="55"/>
  <c r="G317" i="55"/>
  <c r="F318" i="55"/>
  <c r="G318" i="55"/>
  <c r="F319" i="55"/>
  <c r="G319" i="55"/>
  <c r="F320" i="55"/>
  <c r="G320" i="55"/>
  <c r="F321" i="55"/>
  <c r="G321" i="55"/>
  <c r="F322" i="55"/>
  <c r="G322" i="55"/>
  <c r="F323" i="55"/>
  <c r="G323" i="55"/>
  <c r="F324" i="55"/>
  <c r="G324" i="55"/>
  <c r="F325" i="55"/>
  <c r="G325" i="55"/>
  <c r="F326" i="55"/>
  <c r="G326" i="55"/>
  <c r="F327" i="55"/>
  <c r="G327" i="55"/>
  <c r="F328" i="55"/>
  <c r="G328" i="55"/>
  <c r="C201" i="55"/>
  <c r="C202" i="55"/>
  <c r="C203" i="55"/>
  <c r="C204" i="55"/>
  <c r="C205" i="55"/>
  <c r="C206" i="55"/>
  <c r="C207" i="55"/>
  <c r="C208" i="55"/>
  <c r="C209" i="55"/>
  <c r="C210" i="55"/>
  <c r="C211" i="55"/>
  <c r="C212" i="55"/>
  <c r="C213" i="55"/>
  <c r="C214" i="55"/>
  <c r="C215" i="55"/>
  <c r="C216" i="55"/>
  <c r="C217" i="55"/>
  <c r="C218" i="55"/>
  <c r="C219" i="55"/>
  <c r="C220" i="55"/>
  <c r="C221" i="55"/>
  <c r="B222" i="55"/>
  <c r="C222" i="55"/>
  <c r="B223" i="55"/>
  <c r="C223" i="55"/>
  <c r="B224" i="55"/>
  <c r="C224" i="55"/>
  <c r="B225" i="55"/>
  <c r="C225" i="55"/>
  <c r="B226" i="55"/>
  <c r="C226" i="55"/>
  <c r="B227" i="55"/>
  <c r="C227" i="55"/>
  <c r="B228" i="55"/>
  <c r="C228" i="55"/>
  <c r="B229" i="55"/>
  <c r="C229" i="55"/>
  <c r="B230" i="55"/>
  <c r="C230" i="55"/>
  <c r="B231" i="55"/>
  <c r="C231" i="55"/>
  <c r="B232" i="55"/>
  <c r="C232" i="55"/>
  <c r="B233" i="55"/>
  <c r="C233" i="55"/>
  <c r="B234" i="55"/>
  <c r="C234" i="55"/>
  <c r="B235" i="55"/>
  <c r="C235" i="55"/>
  <c r="B236" i="55"/>
  <c r="C236" i="55"/>
  <c r="B237" i="55"/>
  <c r="C237" i="55"/>
  <c r="B238" i="55"/>
  <c r="C238" i="55"/>
  <c r="D238" i="55"/>
  <c r="B239" i="55"/>
  <c r="C239" i="55"/>
  <c r="D239" i="55"/>
  <c r="B240" i="55"/>
  <c r="C240" i="55"/>
  <c r="D240" i="55"/>
  <c r="B241" i="55"/>
  <c r="C241" i="55"/>
  <c r="D241" i="55"/>
  <c r="B242" i="55"/>
  <c r="C242" i="55"/>
  <c r="D242" i="55"/>
  <c r="B243" i="55"/>
  <c r="C243" i="55"/>
  <c r="D243" i="55"/>
  <c r="B244" i="55"/>
  <c r="C244" i="55"/>
  <c r="D244" i="55"/>
  <c r="B245" i="55"/>
  <c r="C245" i="55"/>
  <c r="D245" i="55"/>
  <c r="B246" i="55"/>
  <c r="C246" i="55"/>
  <c r="D246" i="55"/>
  <c r="B247" i="55"/>
  <c r="C247" i="55"/>
  <c r="D247" i="55"/>
  <c r="B248" i="55"/>
  <c r="C248" i="55"/>
  <c r="D248" i="55"/>
  <c r="B249" i="55"/>
  <c r="C249" i="55"/>
  <c r="D249" i="55"/>
  <c r="B250" i="55"/>
  <c r="C250" i="55"/>
  <c r="D250" i="55"/>
  <c r="B251" i="55"/>
  <c r="C251" i="55"/>
  <c r="D251" i="55"/>
  <c r="B252" i="55"/>
  <c r="C252" i="55"/>
  <c r="D252" i="55"/>
  <c r="B253" i="55"/>
  <c r="C253" i="55"/>
  <c r="D253" i="55"/>
  <c r="B254" i="55"/>
  <c r="C254" i="55"/>
  <c r="D254" i="55"/>
  <c r="B255" i="55"/>
  <c r="C255" i="55"/>
  <c r="D255" i="55"/>
  <c r="B256" i="55"/>
  <c r="C256" i="55"/>
  <c r="D256" i="55"/>
  <c r="B257" i="55"/>
  <c r="C257" i="55"/>
  <c r="D257" i="55"/>
  <c r="B258" i="55"/>
  <c r="C258" i="55"/>
  <c r="D258" i="55"/>
  <c r="B259" i="55"/>
  <c r="C259" i="55"/>
  <c r="D259" i="55"/>
  <c r="B260" i="55"/>
  <c r="C260" i="55"/>
  <c r="D260" i="55"/>
  <c r="B261" i="55"/>
  <c r="C261" i="55"/>
  <c r="D261" i="55"/>
  <c r="B262" i="55"/>
  <c r="C262" i="55"/>
  <c r="D262" i="55"/>
  <c r="B263" i="55"/>
  <c r="C263" i="55"/>
  <c r="D263" i="55"/>
  <c r="B264" i="55"/>
  <c r="C264" i="55"/>
  <c r="D264" i="55"/>
  <c r="B265" i="55"/>
  <c r="C265" i="55"/>
  <c r="D265" i="55"/>
  <c r="B266" i="55"/>
  <c r="C266" i="55"/>
  <c r="D266" i="55"/>
  <c r="B267" i="55"/>
  <c r="C267" i="55"/>
  <c r="D267" i="55"/>
  <c r="B268" i="55"/>
  <c r="C268" i="55"/>
  <c r="D268" i="55"/>
  <c r="B269" i="55"/>
  <c r="C269" i="55"/>
  <c r="D269" i="55"/>
  <c r="B270" i="55"/>
  <c r="C270" i="55"/>
  <c r="D270" i="55"/>
  <c r="B271" i="55"/>
  <c r="C271" i="55"/>
  <c r="D271" i="55"/>
  <c r="B272" i="55"/>
  <c r="C272" i="55"/>
  <c r="D272" i="55"/>
  <c r="B273" i="55"/>
  <c r="C273" i="55"/>
  <c r="D273" i="55"/>
  <c r="B274" i="55"/>
  <c r="C274" i="55"/>
  <c r="D274" i="55"/>
  <c r="B275" i="55"/>
  <c r="C275" i="55"/>
  <c r="D275" i="55"/>
  <c r="B276" i="55"/>
  <c r="C276" i="55"/>
  <c r="D276" i="55"/>
  <c r="B277" i="55"/>
  <c r="C277" i="55"/>
  <c r="D277" i="55"/>
  <c r="B278" i="55"/>
  <c r="C278" i="55"/>
  <c r="D278" i="55"/>
  <c r="B279" i="55"/>
  <c r="C279" i="55"/>
  <c r="D279" i="55"/>
  <c r="B280" i="55"/>
  <c r="C280" i="55"/>
  <c r="D280" i="55"/>
  <c r="B281" i="55"/>
  <c r="C281" i="55"/>
  <c r="D281" i="55"/>
  <c r="B282" i="55"/>
  <c r="C282" i="55"/>
  <c r="D282" i="55"/>
  <c r="B283" i="55"/>
  <c r="C283" i="55"/>
  <c r="D283" i="55"/>
  <c r="B284" i="55"/>
  <c r="C284" i="55"/>
  <c r="D284" i="55"/>
  <c r="B285" i="55"/>
  <c r="C285" i="55"/>
  <c r="D285" i="55"/>
  <c r="B286" i="55"/>
  <c r="C286" i="55"/>
  <c r="D286" i="55"/>
  <c r="B287" i="55"/>
  <c r="C287" i="55"/>
  <c r="D287" i="55"/>
  <c r="B288" i="55"/>
  <c r="C288" i="55"/>
  <c r="D288" i="55"/>
  <c r="B289" i="55"/>
  <c r="C289" i="55"/>
  <c r="D289" i="55"/>
  <c r="B290" i="55"/>
  <c r="C290" i="55"/>
  <c r="D290" i="55"/>
  <c r="B291" i="55"/>
  <c r="C291" i="55"/>
  <c r="D291" i="55"/>
  <c r="B292" i="55"/>
  <c r="C292" i="55"/>
  <c r="D292" i="55"/>
  <c r="B293" i="55"/>
  <c r="C293" i="55"/>
  <c r="D293" i="55"/>
  <c r="B294" i="55"/>
  <c r="C294" i="55"/>
  <c r="D294" i="55"/>
  <c r="B295" i="55"/>
  <c r="C295" i="55"/>
  <c r="D295" i="55"/>
  <c r="B296" i="55"/>
  <c r="C296" i="55"/>
  <c r="D296" i="55"/>
  <c r="B297" i="55"/>
  <c r="C297" i="55"/>
  <c r="D297" i="55"/>
  <c r="B298" i="55"/>
  <c r="C298" i="55"/>
  <c r="D298" i="55"/>
  <c r="B299" i="55"/>
  <c r="C299" i="55"/>
  <c r="D299" i="55"/>
  <c r="B300" i="55"/>
  <c r="C300" i="55"/>
  <c r="D300" i="55"/>
  <c r="B301" i="55"/>
  <c r="C301" i="55"/>
  <c r="D301" i="55"/>
  <c r="B302" i="55"/>
  <c r="C302" i="55"/>
  <c r="D302" i="55"/>
  <c r="B303" i="55"/>
  <c r="C303" i="55"/>
  <c r="D303" i="55"/>
  <c r="B304" i="55"/>
  <c r="C304" i="55"/>
  <c r="D304" i="55"/>
  <c r="B305" i="55"/>
  <c r="C305" i="55"/>
  <c r="D305" i="55"/>
  <c r="B306" i="55"/>
  <c r="C306" i="55"/>
  <c r="D306" i="55"/>
  <c r="B307" i="55"/>
  <c r="C307" i="55"/>
  <c r="D307" i="55"/>
  <c r="B308" i="55"/>
  <c r="C308" i="55"/>
  <c r="D308" i="55"/>
  <c r="B309" i="55"/>
  <c r="C309" i="55"/>
  <c r="D309" i="55"/>
  <c r="B310" i="55"/>
  <c r="C310" i="55"/>
  <c r="D310" i="55"/>
  <c r="B311" i="55"/>
  <c r="C311" i="55"/>
  <c r="D311" i="55"/>
  <c r="B312" i="55"/>
  <c r="C312" i="55"/>
  <c r="D312" i="55"/>
  <c r="B313" i="55"/>
  <c r="C313" i="55"/>
  <c r="D313" i="55"/>
  <c r="B314" i="55"/>
  <c r="C314" i="55"/>
  <c r="D314" i="55"/>
  <c r="B315" i="55"/>
  <c r="C315" i="55"/>
  <c r="D315" i="55"/>
  <c r="B316" i="55"/>
  <c r="C316" i="55"/>
  <c r="D316" i="55"/>
  <c r="B317" i="55"/>
  <c r="C317" i="55"/>
  <c r="D317" i="55"/>
  <c r="B318" i="55"/>
  <c r="C318" i="55"/>
  <c r="D318" i="55"/>
  <c r="B319" i="55"/>
  <c r="C319" i="55"/>
  <c r="D319" i="55"/>
  <c r="B320" i="55"/>
  <c r="C320" i="55"/>
  <c r="D320" i="55"/>
  <c r="B321" i="55"/>
  <c r="C321" i="55"/>
  <c r="D321" i="55"/>
  <c r="B322" i="55"/>
  <c r="C322" i="55"/>
  <c r="D322" i="55"/>
  <c r="B323" i="55"/>
  <c r="C323" i="55"/>
  <c r="D323" i="55"/>
  <c r="B324" i="55"/>
  <c r="C324" i="55"/>
  <c r="D324" i="55"/>
  <c r="B325" i="55"/>
  <c r="C325" i="55"/>
  <c r="D325" i="55"/>
  <c r="B326" i="55"/>
  <c r="C326" i="55"/>
  <c r="D326" i="55"/>
  <c r="B327" i="55"/>
  <c r="C327" i="55"/>
  <c r="D327" i="55"/>
  <c r="B328" i="55"/>
  <c r="C328" i="55"/>
  <c r="D328" i="55"/>
  <c r="I402" i="52"/>
  <c r="I403" i="52"/>
  <c r="I404" i="52"/>
  <c r="I405" i="52"/>
  <c r="I406" i="52"/>
  <c r="I407" i="52"/>
  <c r="I408" i="52"/>
  <c r="I409" i="52"/>
  <c r="I410" i="52"/>
  <c r="I411" i="52"/>
  <c r="I412" i="52"/>
  <c r="I413" i="52"/>
  <c r="I414" i="52"/>
  <c r="I415" i="52"/>
  <c r="I416" i="52"/>
  <c r="I417" i="52"/>
  <c r="I418" i="52"/>
  <c r="I419" i="52"/>
  <c r="I420" i="52"/>
  <c r="I421" i="52"/>
  <c r="I422" i="52"/>
  <c r="I423" i="52"/>
  <c r="I424" i="52"/>
  <c r="I425" i="52"/>
  <c r="I426" i="52"/>
  <c r="I427" i="52"/>
  <c r="I428" i="52"/>
  <c r="I429" i="52"/>
  <c r="I430" i="52"/>
  <c r="I431" i="52"/>
  <c r="I432" i="52"/>
  <c r="I433" i="52"/>
  <c r="I434" i="52"/>
  <c r="I435" i="52"/>
  <c r="I436" i="52"/>
  <c r="I437" i="52"/>
  <c r="I438" i="52"/>
  <c r="I439" i="52"/>
  <c r="I440" i="52"/>
  <c r="I441" i="52"/>
  <c r="I442" i="52"/>
  <c r="I443" i="52"/>
  <c r="I444" i="52"/>
  <c r="I445" i="52"/>
  <c r="I446" i="52"/>
  <c r="I447" i="52"/>
  <c r="I448" i="52"/>
  <c r="I449" i="52"/>
  <c r="I450" i="52"/>
  <c r="I451" i="52"/>
  <c r="I452" i="52"/>
  <c r="I453" i="52"/>
  <c r="I454" i="52"/>
  <c r="I455" i="52"/>
  <c r="I456" i="52"/>
  <c r="I457" i="52"/>
  <c r="I458" i="52"/>
  <c r="I459" i="52"/>
  <c r="I460" i="52"/>
  <c r="I461" i="52"/>
  <c r="I462" i="52"/>
  <c r="I463" i="52"/>
  <c r="I464" i="52"/>
  <c r="I465" i="52"/>
  <c r="I466" i="52"/>
  <c r="I467" i="52"/>
  <c r="I468" i="52"/>
  <c r="I469" i="52"/>
  <c r="I470" i="52"/>
  <c r="I471" i="52"/>
  <c r="I472" i="52"/>
  <c r="I473" i="52"/>
  <c r="I474" i="52"/>
  <c r="I475" i="52"/>
  <c r="I476" i="52"/>
  <c r="I477" i="52"/>
  <c r="I478" i="52"/>
  <c r="I479" i="52"/>
  <c r="I480" i="52"/>
  <c r="I481" i="52"/>
  <c r="I482" i="52"/>
  <c r="I483" i="52"/>
  <c r="I484" i="52"/>
  <c r="I485" i="52"/>
  <c r="I486" i="52"/>
  <c r="I487" i="52"/>
  <c r="I488" i="52"/>
  <c r="I489" i="52"/>
  <c r="I490" i="52"/>
  <c r="I491" i="52"/>
  <c r="I492" i="52"/>
  <c r="I493" i="52"/>
  <c r="I494" i="52"/>
  <c r="I495" i="52"/>
  <c r="I496" i="52"/>
  <c r="I497" i="52"/>
  <c r="I498" i="52"/>
  <c r="I499" i="52"/>
  <c r="I500" i="52"/>
  <c r="I501" i="52"/>
  <c r="I502" i="52"/>
  <c r="I503" i="52"/>
  <c r="I504" i="52"/>
  <c r="I505" i="52"/>
  <c r="I506" i="52"/>
  <c r="I507" i="52"/>
  <c r="I508" i="52"/>
  <c r="I509" i="52"/>
  <c r="I510" i="52"/>
  <c r="I511" i="52"/>
  <c r="I512" i="52"/>
  <c r="I513" i="52"/>
  <c r="I514" i="52"/>
  <c r="I515" i="52"/>
  <c r="I516" i="52"/>
  <c r="I517" i="52"/>
  <c r="I518" i="52"/>
  <c r="I519" i="52"/>
  <c r="I520" i="52"/>
  <c r="I521" i="52"/>
  <c r="I522" i="52"/>
  <c r="I523" i="52"/>
  <c r="I524" i="52"/>
  <c r="I525" i="52"/>
  <c r="I526" i="52"/>
  <c r="I527" i="52"/>
  <c r="I528" i="52"/>
  <c r="I529" i="52"/>
  <c r="I530" i="52"/>
  <c r="I531" i="52"/>
  <c r="I532" i="52"/>
  <c r="I533" i="52"/>
  <c r="I534" i="52"/>
  <c r="I535" i="52"/>
  <c r="I536" i="52"/>
  <c r="I537" i="52"/>
  <c r="I538" i="52"/>
  <c r="I539" i="52"/>
  <c r="I540" i="52"/>
  <c r="I541" i="52"/>
  <c r="I542" i="52"/>
  <c r="I543" i="52"/>
  <c r="I544" i="52"/>
  <c r="I545" i="52"/>
  <c r="I546" i="52"/>
  <c r="I547" i="52"/>
  <c r="I548" i="52"/>
  <c r="I549" i="52"/>
  <c r="I550" i="52"/>
  <c r="I551" i="52"/>
  <c r="I552" i="52"/>
  <c r="I553" i="52"/>
  <c r="I554" i="52"/>
  <c r="I555" i="52"/>
  <c r="I556" i="52"/>
  <c r="I557" i="52"/>
  <c r="I558" i="52"/>
  <c r="I559" i="52"/>
  <c r="I560" i="52"/>
  <c r="I561" i="52"/>
  <c r="I562" i="52"/>
  <c r="I563" i="52"/>
  <c r="I564" i="52"/>
  <c r="I565" i="52"/>
  <c r="I566" i="52"/>
  <c r="I567" i="52"/>
  <c r="I568" i="52"/>
  <c r="I569" i="52"/>
  <c r="I570" i="52"/>
  <c r="I571" i="52"/>
  <c r="I572" i="52"/>
  <c r="I573" i="52"/>
  <c r="I574" i="52"/>
  <c r="I575" i="52"/>
  <c r="I576" i="52"/>
  <c r="I577" i="52"/>
  <c r="I578" i="52"/>
  <c r="I579" i="52"/>
  <c r="I580" i="52"/>
  <c r="I581" i="52"/>
  <c r="I582" i="52"/>
  <c r="I583" i="52"/>
  <c r="I584" i="52"/>
  <c r="I585" i="52"/>
  <c r="I586" i="52"/>
  <c r="I587" i="52"/>
  <c r="I588" i="52"/>
  <c r="I589" i="52"/>
  <c r="I590" i="52"/>
  <c r="I591" i="52"/>
  <c r="I592" i="52"/>
  <c r="I593" i="52"/>
  <c r="I594" i="52"/>
  <c r="I595" i="52"/>
  <c r="I596" i="52"/>
  <c r="I597" i="52"/>
  <c r="I598" i="52"/>
  <c r="I599" i="52"/>
  <c r="I600" i="52"/>
  <c r="I601" i="52"/>
  <c r="I602" i="52"/>
  <c r="I603" i="52"/>
  <c r="I604" i="52"/>
  <c r="I605" i="52"/>
  <c r="I606" i="52"/>
  <c r="I607" i="52"/>
  <c r="I608" i="52"/>
  <c r="I609" i="52"/>
  <c r="I610" i="52"/>
  <c r="I611" i="52"/>
  <c r="I612" i="52"/>
  <c r="I613" i="52"/>
  <c r="I614" i="52"/>
  <c r="I615" i="52"/>
  <c r="I616" i="52"/>
  <c r="I617" i="52"/>
  <c r="I618" i="52"/>
  <c r="I619" i="52"/>
  <c r="I620" i="52"/>
  <c r="I621" i="52"/>
  <c r="I622" i="52"/>
  <c r="I623" i="52"/>
  <c r="G3" i="52"/>
  <c r="G4" i="52"/>
  <c r="G5" i="52"/>
  <c r="G6" i="52"/>
  <c r="G7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24" i="52"/>
  <c r="G25" i="52"/>
  <c r="G26" i="52"/>
  <c r="G27" i="52"/>
  <c r="G28" i="52"/>
  <c r="G29" i="52"/>
  <c r="G30" i="52"/>
  <c r="G31" i="52"/>
  <c r="G32" i="52"/>
  <c r="G33" i="52"/>
  <c r="G34" i="52"/>
  <c r="G35" i="52"/>
  <c r="G36" i="52"/>
  <c r="G37" i="52"/>
  <c r="G38" i="52"/>
  <c r="G39" i="52"/>
  <c r="G40" i="52"/>
  <c r="G41" i="52"/>
  <c r="G42" i="52"/>
  <c r="G43" i="52"/>
  <c r="G44" i="52"/>
  <c r="G45" i="52"/>
  <c r="G46" i="52"/>
  <c r="G47" i="52"/>
  <c r="G48" i="52"/>
  <c r="G49" i="52"/>
  <c r="G50" i="52"/>
  <c r="G51" i="52"/>
  <c r="G52" i="52"/>
  <c r="G53" i="52"/>
  <c r="G54" i="52"/>
  <c r="G55" i="52"/>
  <c r="G56" i="52"/>
  <c r="G57" i="52"/>
  <c r="G58" i="52"/>
  <c r="G59" i="52"/>
  <c r="G60" i="52"/>
  <c r="G61" i="52"/>
  <c r="G62" i="52"/>
  <c r="G63" i="52"/>
  <c r="G64" i="52"/>
  <c r="G65" i="52"/>
  <c r="G66" i="52"/>
  <c r="G67" i="52"/>
  <c r="G68" i="52"/>
  <c r="G69" i="52"/>
  <c r="G70" i="52"/>
  <c r="G71" i="52"/>
  <c r="G72" i="52"/>
  <c r="G73" i="52"/>
  <c r="G74" i="52"/>
  <c r="G75" i="52"/>
  <c r="G76" i="52"/>
  <c r="G77" i="52"/>
  <c r="G78" i="52"/>
  <c r="G79" i="52"/>
  <c r="G80" i="52"/>
  <c r="G81" i="52"/>
  <c r="G82" i="52"/>
  <c r="G83" i="52"/>
  <c r="G84" i="52"/>
  <c r="G85" i="52"/>
  <c r="G86" i="52"/>
  <c r="G87" i="52"/>
  <c r="G88" i="52"/>
  <c r="G89" i="52"/>
  <c r="G90" i="52"/>
  <c r="G91" i="52"/>
  <c r="G92" i="52"/>
  <c r="G93" i="52"/>
  <c r="G94" i="52"/>
  <c r="G95" i="52"/>
  <c r="G96" i="52"/>
  <c r="G97" i="52"/>
  <c r="G98" i="52"/>
  <c r="G99" i="52"/>
  <c r="G100" i="52"/>
  <c r="G101" i="52"/>
  <c r="G102" i="52"/>
  <c r="G103" i="52"/>
  <c r="G104" i="52"/>
  <c r="G105" i="52"/>
  <c r="G106" i="52"/>
  <c r="G107" i="52"/>
  <c r="G108" i="52"/>
  <c r="G109" i="52"/>
  <c r="G110" i="52"/>
  <c r="G111" i="52"/>
  <c r="G112" i="52"/>
  <c r="G113" i="52"/>
  <c r="G114" i="52"/>
  <c r="G115" i="52"/>
  <c r="G116" i="52"/>
  <c r="G117" i="52"/>
  <c r="G118" i="52"/>
  <c r="G119" i="52"/>
  <c r="G120" i="52"/>
  <c r="G121" i="52"/>
  <c r="G122" i="52"/>
  <c r="G123" i="52"/>
  <c r="G124" i="52"/>
  <c r="G125" i="52"/>
  <c r="G126" i="52"/>
  <c r="G127" i="52"/>
  <c r="G128" i="52"/>
  <c r="G129" i="52"/>
  <c r="G130" i="52"/>
  <c r="G131" i="52"/>
  <c r="G132" i="52"/>
  <c r="G133" i="52"/>
  <c r="G134" i="52"/>
  <c r="G135" i="52"/>
  <c r="G136" i="52"/>
  <c r="G137" i="52"/>
  <c r="G138" i="52"/>
  <c r="G139" i="52"/>
  <c r="G140" i="52"/>
  <c r="G141" i="52"/>
  <c r="G142" i="52"/>
  <c r="G143" i="52"/>
  <c r="G144" i="52"/>
  <c r="G145" i="52"/>
  <c r="G146" i="52"/>
  <c r="G147" i="52"/>
  <c r="G148" i="52"/>
  <c r="G149" i="52"/>
  <c r="G150" i="52"/>
  <c r="G151" i="52"/>
  <c r="G152" i="52"/>
  <c r="G153" i="52"/>
  <c r="G154" i="52"/>
  <c r="G155" i="52"/>
  <c r="G156" i="52"/>
  <c r="G157" i="52"/>
  <c r="G158" i="52"/>
  <c r="G159" i="52"/>
  <c r="G160" i="52"/>
  <c r="G161" i="52"/>
  <c r="G162" i="52"/>
  <c r="G163" i="52"/>
  <c r="G164" i="52"/>
  <c r="G165" i="52"/>
  <c r="G166" i="52"/>
  <c r="G167" i="52"/>
  <c r="G168" i="52"/>
  <c r="G169" i="52"/>
  <c r="G170" i="52"/>
  <c r="G171" i="52"/>
  <c r="G172" i="52"/>
  <c r="G173" i="52"/>
  <c r="G174" i="52"/>
  <c r="G175" i="52"/>
  <c r="G176" i="52"/>
  <c r="G177" i="52"/>
  <c r="G178" i="52"/>
  <c r="G179" i="52"/>
  <c r="G180" i="52"/>
  <c r="G181" i="52"/>
  <c r="G182" i="52"/>
  <c r="G183" i="52"/>
  <c r="G184" i="52"/>
  <c r="G185" i="52"/>
  <c r="G186" i="52"/>
  <c r="G187" i="52"/>
  <c r="G188" i="52"/>
  <c r="G189" i="52"/>
  <c r="G190" i="52"/>
  <c r="G191" i="52"/>
  <c r="G192" i="52"/>
  <c r="G193" i="52"/>
  <c r="G194" i="52"/>
  <c r="G195" i="52"/>
  <c r="G196" i="52"/>
  <c r="G197" i="52"/>
  <c r="G198" i="52"/>
  <c r="G199" i="52"/>
  <c r="G200" i="52"/>
  <c r="G201" i="52"/>
  <c r="G202" i="52"/>
  <c r="G203" i="52"/>
  <c r="G204" i="52"/>
  <c r="G205" i="52"/>
  <c r="G206" i="52"/>
  <c r="G207" i="52"/>
  <c r="G208" i="52"/>
  <c r="G209" i="52"/>
  <c r="G210" i="52"/>
  <c r="G211" i="52"/>
  <c r="G212" i="52"/>
  <c r="G213" i="52"/>
  <c r="G214" i="52"/>
  <c r="G215" i="52"/>
  <c r="G216" i="52"/>
  <c r="G217" i="52"/>
  <c r="G218" i="52"/>
  <c r="G219" i="52"/>
  <c r="G220" i="52"/>
  <c r="G221" i="52"/>
  <c r="G222" i="52"/>
  <c r="G223" i="52"/>
  <c r="G224" i="52"/>
  <c r="G225" i="52"/>
  <c r="G226" i="52"/>
  <c r="G227" i="52"/>
  <c r="G228" i="52"/>
  <c r="G229" i="52"/>
  <c r="G230" i="52"/>
  <c r="G231" i="52"/>
  <c r="G232" i="52"/>
  <c r="G233" i="52"/>
  <c r="G234" i="52"/>
  <c r="G235" i="52"/>
  <c r="G236" i="52"/>
  <c r="G237" i="52"/>
  <c r="G238" i="52"/>
  <c r="G239" i="52"/>
  <c r="G240" i="52"/>
  <c r="G241" i="52"/>
  <c r="G242" i="52"/>
  <c r="G243" i="52"/>
  <c r="G244" i="52"/>
  <c r="G245" i="52"/>
  <c r="G246" i="52"/>
  <c r="G247" i="52"/>
  <c r="G248" i="52"/>
  <c r="G249" i="52"/>
  <c r="G250" i="52"/>
  <c r="G251" i="52"/>
  <c r="G252" i="52"/>
  <c r="G253" i="52"/>
  <c r="G254" i="52"/>
  <c r="G255" i="52"/>
  <c r="G256" i="52"/>
  <c r="G257" i="52"/>
  <c r="G258" i="52"/>
  <c r="G259" i="52"/>
  <c r="G260" i="52"/>
  <c r="G261" i="52"/>
  <c r="G262" i="52"/>
  <c r="G263" i="52"/>
  <c r="G264" i="52"/>
  <c r="G265" i="52"/>
  <c r="G266" i="52"/>
  <c r="G267" i="52"/>
  <c r="G268" i="52"/>
  <c r="G269" i="52"/>
  <c r="G270" i="52"/>
  <c r="G271" i="52"/>
  <c r="G272" i="52"/>
  <c r="G273" i="52"/>
  <c r="G274" i="52"/>
  <c r="G275" i="52"/>
  <c r="G276" i="52"/>
  <c r="G277" i="52"/>
  <c r="G278" i="52"/>
  <c r="G279" i="52"/>
  <c r="G280" i="52"/>
  <c r="G281" i="52"/>
  <c r="G282" i="52"/>
  <c r="G283" i="52"/>
  <c r="G284" i="52"/>
  <c r="G285" i="52"/>
  <c r="G286" i="52"/>
  <c r="G287" i="52"/>
  <c r="G288" i="52"/>
  <c r="G289" i="52"/>
  <c r="G290" i="52"/>
  <c r="G291" i="52"/>
  <c r="G292" i="52"/>
  <c r="G293" i="52"/>
  <c r="G294" i="52"/>
  <c r="G295" i="52"/>
  <c r="G296" i="52"/>
  <c r="G297" i="52"/>
  <c r="G298" i="52"/>
  <c r="G299" i="52"/>
  <c r="G300" i="52"/>
  <c r="G301" i="52"/>
  <c r="G302" i="52"/>
  <c r="G303" i="52"/>
  <c r="G304" i="52"/>
  <c r="G305" i="52"/>
  <c r="G306" i="52"/>
  <c r="G307" i="52"/>
  <c r="G308" i="52"/>
  <c r="G309" i="52"/>
  <c r="G310" i="52"/>
  <c r="G311" i="52"/>
  <c r="G312" i="52"/>
  <c r="G313" i="52"/>
  <c r="G314" i="52"/>
  <c r="G315" i="52"/>
  <c r="G316" i="52"/>
  <c r="G317" i="52"/>
  <c r="G318" i="52"/>
  <c r="G319" i="52"/>
  <c r="G320" i="52"/>
  <c r="G321" i="52"/>
  <c r="G322" i="52"/>
  <c r="G323" i="52"/>
  <c r="G324" i="52"/>
  <c r="G325" i="52"/>
  <c r="G326" i="52"/>
  <c r="G327" i="52"/>
  <c r="G328" i="52"/>
  <c r="G329" i="52"/>
  <c r="G330" i="52"/>
  <c r="G331" i="52"/>
  <c r="G332" i="52"/>
  <c r="G333" i="52"/>
  <c r="G334" i="52"/>
  <c r="G335" i="52"/>
  <c r="G336" i="52"/>
  <c r="G337" i="52"/>
  <c r="G338" i="52"/>
  <c r="G339" i="52"/>
  <c r="G340" i="52"/>
  <c r="G341" i="52"/>
  <c r="G342" i="52"/>
  <c r="G343" i="52"/>
  <c r="G344" i="52"/>
  <c r="G345" i="52"/>
  <c r="G346" i="52"/>
  <c r="G347" i="52"/>
  <c r="G348" i="52"/>
  <c r="G349" i="52"/>
  <c r="G350" i="52"/>
  <c r="G351" i="52"/>
  <c r="G352" i="52"/>
  <c r="G353" i="52"/>
  <c r="G354" i="52"/>
  <c r="G355" i="52"/>
  <c r="G356" i="52"/>
  <c r="G357" i="52"/>
  <c r="G358" i="52"/>
  <c r="G359" i="52"/>
  <c r="G360" i="52"/>
  <c r="G361" i="52"/>
  <c r="G362" i="52"/>
  <c r="G363" i="52"/>
  <c r="G364" i="52"/>
  <c r="G365" i="52"/>
  <c r="G366" i="52"/>
  <c r="G367" i="52"/>
  <c r="G368" i="52"/>
  <c r="G369" i="52"/>
  <c r="G370" i="52"/>
  <c r="G371" i="52"/>
  <c r="G372" i="52"/>
  <c r="G373" i="52"/>
  <c r="G374" i="52"/>
  <c r="G375" i="52"/>
  <c r="G376" i="52"/>
  <c r="G377" i="52"/>
  <c r="G378" i="52"/>
  <c r="G379" i="52"/>
  <c r="G380" i="52"/>
  <c r="G381" i="52"/>
  <c r="G382" i="52"/>
  <c r="G383" i="52"/>
  <c r="G384" i="52"/>
  <c r="G385" i="52"/>
  <c r="G386" i="52"/>
  <c r="G387" i="52"/>
  <c r="G388" i="52"/>
  <c r="G389" i="52"/>
  <c r="G390" i="52"/>
  <c r="G391" i="52"/>
  <c r="G392" i="52"/>
  <c r="G393" i="52"/>
  <c r="G394" i="52"/>
  <c r="G395" i="52"/>
  <c r="G396" i="52"/>
  <c r="G397" i="52"/>
  <c r="G398" i="52"/>
  <c r="G399" i="52"/>
  <c r="G400" i="52"/>
  <c r="G401" i="52"/>
  <c r="G402" i="52"/>
  <c r="G403" i="52"/>
  <c r="G404" i="52"/>
  <c r="G405" i="52"/>
  <c r="G406" i="52"/>
  <c r="G407" i="52"/>
  <c r="G408" i="52"/>
  <c r="G409" i="52"/>
  <c r="G410" i="52"/>
  <c r="G411" i="52"/>
  <c r="G412" i="52"/>
  <c r="G413" i="52"/>
  <c r="G414" i="52"/>
  <c r="G415" i="52"/>
  <c r="G416" i="52"/>
  <c r="G417" i="52"/>
  <c r="G418" i="52"/>
  <c r="G419" i="52"/>
  <c r="G420" i="52"/>
  <c r="G421" i="52"/>
  <c r="G422" i="52"/>
  <c r="G423" i="52"/>
  <c r="G424" i="52"/>
  <c r="G425" i="52"/>
  <c r="G426" i="52"/>
  <c r="G427" i="52"/>
  <c r="G428" i="52"/>
  <c r="G429" i="52"/>
  <c r="G430" i="52"/>
  <c r="G431" i="52"/>
  <c r="G432" i="52"/>
  <c r="G433" i="52"/>
  <c r="G434" i="52"/>
  <c r="G435" i="52"/>
  <c r="G436" i="52"/>
  <c r="G437" i="52"/>
  <c r="G438" i="52"/>
  <c r="G439" i="52"/>
  <c r="G440" i="52"/>
  <c r="G441" i="52"/>
  <c r="G442" i="52"/>
  <c r="G443" i="52"/>
  <c r="G444" i="52"/>
  <c r="G445" i="52"/>
  <c r="G446" i="52"/>
  <c r="G447" i="52"/>
  <c r="G448" i="52"/>
  <c r="G449" i="52"/>
  <c r="G450" i="52"/>
  <c r="G451" i="52"/>
  <c r="G452" i="52"/>
  <c r="G453" i="52"/>
  <c r="G454" i="52"/>
  <c r="G455" i="52"/>
  <c r="G456" i="52"/>
  <c r="G457" i="52"/>
  <c r="G458" i="52"/>
  <c r="G459" i="52"/>
  <c r="G460" i="52"/>
  <c r="G461" i="52"/>
  <c r="G462" i="52"/>
  <c r="G463" i="52"/>
  <c r="G464" i="52"/>
  <c r="G465" i="52"/>
  <c r="G466" i="52"/>
  <c r="G467" i="52"/>
  <c r="G468" i="52"/>
  <c r="G469" i="52"/>
  <c r="G470" i="52"/>
  <c r="G471" i="52"/>
  <c r="G472" i="52"/>
  <c r="G473" i="52"/>
  <c r="G474" i="52"/>
  <c r="G475" i="52"/>
  <c r="G476" i="52"/>
  <c r="G477" i="52"/>
  <c r="G478" i="52"/>
  <c r="G479" i="52"/>
  <c r="G480" i="52"/>
  <c r="G481" i="52"/>
  <c r="G482" i="52"/>
  <c r="G483" i="52"/>
  <c r="G484" i="52"/>
  <c r="G485" i="52"/>
  <c r="G486" i="52"/>
  <c r="G487" i="52"/>
  <c r="G488" i="52"/>
  <c r="G489" i="52"/>
  <c r="G490" i="52"/>
  <c r="G491" i="52"/>
  <c r="G492" i="52"/>
  <c r="G493" i="52"/>
  <c r="G494" i="52"/>
  <c r="G495" i="52"/>
  <c r="G496" i="52"/>
  <c r="G497" i="52"/>
  <c r="G498" i="52"/>
  <c r="G499" i="52"/>
  <c r="G500" i="52"/>
  <c r="G501" i="52"/>
  <c r="G502" i="52"/>
  <c r="G503" i="52"/>
  <c r="G504" i="52"/>
  <c r="G505" i="52"/>
  <c r="G506" i="52"/>
  <c r="G507" i="52"/>
  <c r="G508" i="52"/>
  <c r="G509" i="52"/>
  <c r="G510" i="52"/>
  <c r="G511" i="52"/>
  <c r="G512" i="52"/>
  <c r="G513" i="52"/>
  <c r="G514" i="52"/>
  <c r="G515" i="52"/>
  <c r="G516" i="52"/>
  <c r="G517" i="52"/>
  <c r="G518" i="52"/>
  <c r="G519" i="52"/>
  <c r="G520" i="52"/>
  <c r="G521" i="52"/>
  <c r="G522" i="52"/>
  <c r="G523" i="52"/>
  <c r="G524" i="52"/>
  <c r="G525" i="52"/>
  <c r="G526" i="52"/>
  <c r="G527" i="52"/>
  <c r="G528" i="52"/>
  <c r="G529" i="52"/>
  <c r="G530" i="52"/>
  <c r="G531" i="52"/>
  <c r="G532" i="52"/>
  <c r="G533" i="52"/>
  <c r="G534" i="52"/>
  <c r="G535" i="52"/>
  <c r="G536" i="52"/>
  <c r="G537" i="52"/>
  <c r="G538" i="52"/>
  <c r="G539" i="52"/>
  <c r="G540" i="52"/>
  <c r="G541" i="52"/>
  <c r="G542" i="52"/>
  <c r="G543" i="52"/>
  <c r="G544" i="52"/>
  <c r="G545" i="52"/>
  <c r="G546" i="52"/>
  <c r="G547" i="52"/>
  <c r="G548" i="52"/>
  <c r="G549" i="52"/>
  <c r="G550" i="52"/>
  <c r="G551" i="52"/>
  <c r="G552" i="52"/>
  <c r="G553" i="52"/>
  <c r="G554" i="52"/>
  <c r="G555" i="52"/>
  <c r="G556" i="52"/>
  <c r="G557" i="52"/>
  <c r="G558" i="52"/>
  <c r="G559" i="52"/>
  <c r="G560" i="52"/>
  <c r="G561" i="52"/>
  <c r="G562" i="52"/>
  <c r="G563" i="52"/>
  <c r="G564" i="52"/>
  <c r="G565" i="52"/>
  <c r="G566" i="52"/>
  <c r="G567" i="52"/>
  <c r="G568" i="52"/>
  <c r="G569" i="52"/>
  <c r="G570" i="52"/>
  <c r="G571" i="52"/>
  <c r="G572" i="52"/>
  <c r="G573" i="52"/>
  <c r="G574" i="52"/>
  <c r="G575" i="52"/>
  <c r="G576" i="52"/>
  <c r="G577" i="52"/>
  <c r="G578" i="52"/>
  <c r="G579" i="52"/>
  <c r="G580" i="52"/>
  <c r="G581" i="52"/>
  <c r="G582" i="52"/>
  <c r="G583" i="52"/>
  <c r="G584" i="52"/>
  <c r="G585" i="52"/>
  <c r="G586" i="52"/>
  <c r="G587" i="52"/>
  <c r="G588" i="52"/>
  <c r="G589" i="52"/>
  <c r="G590" i="52"/>
  <c r="G591" i="52"/>
  <c r="G592" i="52"/>
  <c r="G593" i="52"/>
  <c r="G594" i="52"/>
  <c r="G595" i="52"/>
  <c r="G596" i="52"/>
  <c r="G597" i="52"/>
  <c r="G598" i="52"/>
  <c r="G599" i="52"/>
  <c r="G600" i="52"/>
  <c r="G601" i="52"/>
  <c r="G602" i="52"/>
  <c r="G603" i="52"/>
  <c r="G604" i="52"/>
  <c r="G605" i="52"/>
  <c r="G606" i="52"/>
  <c r="G607" i="52"/>
  <c r="G608" i="52"/>
  <c r="G609" i="52"/>
  <c r="G610" i="52"/>
  <c r="G611" i="52"/>
  <c r="G612" i="52"/>
  <c r="G613" i="52"/>
  <c r="G614" i="52"/>
  <c r="G615" i="52"/>
  <c r="G616" i="52"/>
  <c r="G617" i="52"/>
  <c r="G618" i="52"/>
  <c r="G619" i="52"/>
  <c r="G620" i="52"/>
  <c r="G621" i="52"/>
  <c r="G622" i="52"/>
  <c r="G623" i="52"/>
  <c r="G2" i="52"/>
  <c r="F312" i="52"/>
  <c r="F313" i="52"/>
  <c r="F314" i="52"/>
  <c r="F315" i="52"/>
  <c r="F317" i="52"/>
  <c r="F318" i="52"/>
  <c r="F319" i="52"/>
  <c r="F320" i="52"/>
  <c r="F321" i="52"/>
  <c r="F322" i="52"/>
  <c r="F323" i="52"/>
  <c r="F324" i="52"/>
  <c r="F325" i="52"/>
  <c r="F326" i="52"/>
  <c r="F327" i="52"/>
  <c r="F328" i="52"/>
  <c r="F329" i="52"/>
  <c r="F330" i="52"/>
  <c r="F331" i="52"/>
  <c r="F332" i="52"/>
  <c r="F333" i="52"/>
  <c r="F334" i="52"/>
  <c r="F335" i="52"/>
  <c r="F336" i="52"/>
  <c r="F337" i="52"/>
  <c r="F338" i="52"/>
  <c r="F339" i="52"/>
  <c r="F340" i="52"/>
  <c r="F341" i="52"/>
  <c r="F342" i="52"/>
  <c r="F343" i="52"/>
  <c r="F344" i="52"/>
  <c r="F345" i="52"/>
  <c r="F346" i="52"/>
  <c r="F347" i="52"/>
  <c r="F348" i="52"/>
  <c r="F349" i="52"/>
  <c r="F350" i="52"/>
  <c r="F351" i="52"/>
  <c r="F352" i="52"/>
  <c r="F353" i="52"/>
  <c r="F354" i="52"/>
  <c r="F355" i="52"/>
  <c r="F356" i="52"/>
  <c r="F357" i="52"/>
  <c r="F358" i="52"/>
  <c r="F359" i="52"/>
  <c r="F360" i="52"/>
  <c r="F361" i="52"/>
  <c r="F362" i="52"/>
  <c r="F363" i="52"/>
  <c r="F364" i="52"/>
  <c r="F365" i="52"/>
  <c r="F366" i="52"/>
  <c r="F367" i="52"/>
  <c r="F368" i="52"/>
  <c r="F369" i="52"/>
  <c r="F370" i="52"/>
  <c r="F371" i="52"/>
  <c r="F372" i="52"/>
  <c r="F373" i="52"/>
  <c r="F374" i="52"/>
  <c r="F375" i="52"/>
  <c r="F376" i="52"/>
  <c r="F377" i="52"/>
  <c r="F378" i="52"/>
  <c r="F379" i="52"/>
  <c r="F380" i="52"/>
  <c r="F381" i="52"/>
  <c r="F382" i="52"/>
  <c r="F383" i="52"/>
  <c r="F384" i="52"/>
  <c r="F385" i="52"/>
  <c r="F386" i="52"/>
  <c r="F387" i="52"/>
  <c r="F388" i="52"/>
  <c r="F389" i="52"/>
  <c r="F390" i="52"/>
  <c r="F391" i="52"/>
  <c r="F392" i="52"/>
  <c r="F393" i="52"/>
  <c r="F394" i="52"/>
  <c r="F395" i="52"/>
  <c r="F396" i="52"/>
  <c r="F397" i="52"/>
  <c r="F398" i="52"/>
  <c r="F399" i="52"/>
  <c r="F400" i="52"/>
  <c r="F401" i="52"/>
  <c r="F402" i="52"/>
  <c r="F403" i="52"/>
  <c r="F404" i="52"/>
  <c r="F405" i="52"/>
  <c r="F406" i="52"/>
  <c r="F407" i="52"/>
  <c r="F408" i="52"/>
  <c r="F409" i="52"/>
  <c r="F410" i="52"/>
  <c r="F411" i="52"/>
  <c r="F412" i="52"/>
  <c r="F413" i="52"/>
  <c r="F414" i="52"/>
  <c r="F415" i="52"/>
  <c r="F416" i="52"/>
  <c r="F417" i="52"/>
  <c r="F418" i="52"/>
  <c r="F419" i="52"/>
  <c r="F420" i="52"/>
  <c r="F421" i="52"/>
  <c r="F422" i="52"/>
  <c r="F423" i="52"/>
  <c r="F424" i="52"/>
  <c r="F425" i="52"/>
  <c r="F426" i="52"/>
  <c r="F427" i="52"/>
  <c r="F428" i="52"/>
  <c r="F429" i="52"/>
  <c r="F430" i="52"/>
  <c r="F431" i="52"/>
  <c r="F432" i="52"/>
  <c r="F433" i="52"/>
  <c r="F434" i="52"/>
  <c r="F435" i="52"/>
  <c r="F436" i="52"/>
  <c r="F437" i="52"/>
  <c r="F438" i="52"/>
  <c r="F439" i="52"/>
  <c r="F440" i="52"/>
  <c r="F441" i="52"/>
  <c r="F442" i="52"/>
  <c r="F443" i="52"/>
  <c r="F444" i="52"/>
  <c r="F445" i="52"/>
  <c r="F446" i="52"/>
  <c r="F447" i="52"/>
  <c r="F448" i="52"/>
  <c r="F449" i="52"/>
  <c r="F450" i="52"/>
  <c r="F451" i="52"/>
  <c r="F452" i="52"/>
  <c r="F453" i="52"/>
  <c r="F454" i="52"/>
  <c r="F455" i="52"/>
  <c r="F456" i="52"/>
  <c r="F457" i="52"/>
  <c r="F458" i="52"/>
  <c r="F459" i="52"/>
  <c r="F460" i="52"/>
  <c r="F461" i="52"/>
  <c r="F462" i="52"/>
  <c r="F463" i="52"/>
  <c r="F464" i="52"/>
  <c r="F465" i="52"/>
  <c r="F466" i="52"/>
  <c r="F467" i="52"/>
  <c r="F468" i="52"/>
  <c r="F469" i="52"/>
  <c r="F470" i="52"/>
  <c r="F471" i="52"/>
  <c r="F472" i="52"/>
  <c r="F473" i="52"/>
  <c r="F474" i="52"/>
  <c r="F475" i="52"/>
  <c r="F476" i="52"/>
  <c r="F477" i="52"/>
  <c r="F478" i="52"/>
  <c r="F479" i="52"/>
  <c r="F480" i="52"/>
  <c r="F481" i="52"/>
  <c r="F482" i="52"/>
  <c r="F483" i="52"/>
  <c r="F484" i="52"/>
  <c r="F485" i="52"/>
  <c r="F486" i="52"/>
  <c r="F487" i="52"/>
  <c r="F488" i="52"/>
  <c r="F489" i="52"/>
  <c r="F490" i="52"/>
  <c r="F491" i="52"/>
  <c r="F492" i="52"/>
  <c r="F493" i="52"/>
  <c r="F494" i="52"/>
  <c r="F495" i="52"/>
  <c r="F496" i="52"/>
  <c r="F497" i="52"/>
  <c r="F498" i="52"/>
  <c r="F499" i="52"/>
  <c r="F500" i="52"/>
  <c r="F501" i="52"/>
  <c r="F502" i="52"/>
  <c r="F503" i="52"/>
  <c r="F504" i="52"/>
  <c r="F505" i="52"/>
  <c r="F506" i="52"/>
  <c r="F507" i="52"/>
  <c r="F508" i="52"/>
  <c r="F509" i="52"/>
  <c r="F510" i="52"/>
  <c r="F511" i="52"/>
  <c r="F512" i="52"/>
  <c r="F513" i="52"/>
  <c r="F514" i="52"/>
  <c r="F515" i="52"/>
  <c r="F516" i="52"/>
  <c r="F517" i="52"/>
  <c r="F518" i="52"/>
  <c r="F519" i="52"/>
  <c r="F520" i="52"/>
  <c r="F521" i="52"/>
  <c r="F522" i="52"/>
  <c r="F523" i="52"/>
  <c r="F524" i="52"/>
  <c r="F525" i="52"/>
  <c r="F526" i="52"/>
  <c r="F527" i="52"/>
  <c r="F528" i="52"/>
  <c r="F529" i="52"/>
  <c r="F530" i="52"/>
  <c r="F531" i="52"/>
  <c r="F532" i="52"/>
  <c r="F533" i="52"/>
  <c r="F534" i="52"/>
  <c r="F535" i="52"/>
  <c r="F536" i="52"/>
  <c r="F537" i="52"/>
  <c r="F538" i="52"/>
  <c r="F539" i="52"/>
  <c r="F540" i="52"/>
  <c r="F541" i="52"/>
  <c r="F542" i="52"/>
  <c r="F543" i="52"/>
  <c r="F544" i="52"/>
  <c r="F545" i="52"/>
  <c r="F546" i="52"/>
  <c r="F547" i="52"/>
  <c r="F548" i="52"/>
  <c r="F549" i="52"/>
  <c r="F550" i="52"/>
  <c r="F551" i="52"/>
  <c r="F552" i="52"/>
  <c r="F553" i="52"/>
  <c r="F554" i="52"/>
  <c r="F555" i="52"/>
  <c r="F556" i="52"/>
  <c r="F557" i="52"/>
  <c r="F558" i="52"/>
  <c r="F559" i="52"/>
  <c r="F560" i="52"/>
  <c r="F561" i="52"/>
  <c r="F562" i="52"/>
  <c r="F563" i="52"/>
  <c r="F564" i="52"/>
  <c r="F565" i="52"/>
  <c r="F566" i="52"/>
  <c r="F567" i="52"/>
  <c r="F568" i="52"/>
  <c r="F569" i="52"/>
  <c r="F570" i="52"/>
  <c r="F571" i="52"/>
  <c r="F572" i="52"/>
  <c r="F573" i="52"/>
  <c r="F574" i="52"/>
  <c r="F575" i="52"/>
  <c r="F576" i="52"/>
  <c r="F577" i="52"/>
  <c r="F578" i="52"/>
  <c r="F579" i="52"/>
  <c r="F580" i="52"/>
  <c r="F581" i="52"/>
  <c r="F582" i="52"/>
  <c r="F583" i="52"/>
  <c r="F584" i="52"/>
  <c r="F585" i="52"/>
  <c r="F586" i="52"/>
  <c r="F587" i="52"/>
  <c r="F588" i="52"/>
  <c r="F589" i="52"/>
  <c r="F590" i="52"/>
  <c r="F591" i="52"/>
  <c r="F592" i="52"/>
  <c r="F593" i="52"/>
  <c r="F594" i="52"/>
  <c r="F595" i="52"/>
  <c r="F596" i="52"/>
  <c r="F597" i="52"/>
  <c r="F598" i="52"/>
  <c r="F599" i="52"/>
  <c r="F600" i="52"/>
  <c r="F601" i="52"/>
  <c r="F602" i="52"/>
  <c r="F603" i="52"/>
  <c r="F604" i="52"/>
  <c r="F605" i="52"/>
  <c r="F606" i="52"/>
  <c r="F607" i="52"/>
  <c r="F608" i="52"/>
  <c r="F609" i="52"/>
  <c r="F610" i="52"/>
  <c r="F611" i="52"/>
  <c r="F612" i="52"/>
  <c r="F613" i="52"/>
  <c r="F614" i="52"/>
  <c r="F615" i="52"/>
  <c r="F616" i="52"/>
  <c r="F617" i="52"/>
  <c r="F618" i="52"/>
  <c r="F619" i="52"/>
  <c r="F620" i="52"/>
  <c r="F621" i="52"/>
  <c r="F622" i="52"/>
  <c r="F623" i="52"/>
  <c r="D286" i="52"/>
  <c r="D287" i="52"/>
  <c r="D288" i="52"/>
  <c r="D289" i="52"/>
  <c r="D290" i="52"/>
  <c r="D291" i="52"/>
  <c r="D292" i="52"/>
  <c r="D293" i="52"/>
  <c r="D294" i="52"/>
  <c r="D295" i="52"/>
  <c r="D296" i="52"/>
  <c r="D297" i="52"/>
  <c r="D298" i="52"/>
  <c r="D299" i="52"/>
  <c r="D300" i="52"/>
  <c r="D301" i="52"/>
  <c r="B302" i="52"/>
  <c r="D302" i="52"/>
  <c r="B303" i="52"/>
  <c r="D303" i="52"/>
  <c r="B304" i="52"/>
  <c r="D304" i="52"/>
  <c r="B305" i="52"/>
  <c r="D305" i="52"/>
  <c r="B306" i="52"/>
  <c r="D306" i="52"/>
  <c r="B307" i="52"/>
  <c r="D307" i="52"/>
  <c r="B308" i="52"/>
  <c r="D308" i="52"/>
  <c r="B309" i="52"/>
  <c r="D309" i="52"/>
  <c r="B310" i="52"/>
  <c r="D310" i="52"/>
  <c r="B311" i="52"/>
  <c r="D311" i="52"/>
  <c r="B312" i="52"/>
  <c r="D312" i="52"/>
  <c r="B313" i="52"/>
  <c r="D313" i="52"/>
  <c r="B314" i="52"/>
  <c r="D314" i="52"/>
  <c r="B315" i="52"/>
  <c r="D315" i="52"/>
  <c r="B316" i="52"/>
  <c r="D316" i="52"/>
  <c r="B317" i="52"/>
  <c r="D317" i="52"/>
  <c r="B318" i="52"/>
  <c r="D318" i="52"/>
  <c r="B319" i="52"/>
  <c r="D319" i="52"/>
  <c r="B320" i="52"/>
  <c r="D320" i="52"/>
  <c r="B321" i="52"/>
  <c r="D321" i="52"/>
  <c r="B322" i="52"/>
  <c r="D322" i="52"/>
  <c r="B323" i="52"/>
  <c r="D323" i="52"/>
  <c r="B324" i="52"/>
  <c r="D324" i="52"/>
  <c r="B325" i="52"/>
  <c r="D325" i="52"/>
  <c r="B326" i="52"/>
  <c r="D326" i="52"/>
  <c r="B327" i="52"/>
  <c r="D327" i="52"/>
  <c r="B328" i="52"/>
  <c r="D328" i="52"/>
  <c r="B329" i="52"/>
  <c r="D329" i="52"/>
  <c r="B330" i="52"/>
  <c r="D330" i="52"/>
  <c r="B331" i="52"/>
  <c r="D331" i="52"/>
  <c r="B332" i="52"/>
  <c r="D332" i="52"/>
  <c r="B333" i="52"/>
  <c r="D333" i="52"/>
  <c r="B334" i="52"/>
  <c r="D334" i="52"/>
  <c r="B335" i="52"/>
  <c r="D335" i="52"/>
  <c r="B336" i="52"/>
  <c r="D336" i="52"/>
  <c r="B337" i="52"/>
  <c r="D337" i="52"/>
  <c r="B338" i="52"/>
  <c r="D338" i="52"/>
  <c r="B339" i="52"/>
  <c r="D339" i="52"/>
  <c r="B340" i="52"/>
  <c r="D340" i="52"/>
  <c r="B341" i="52"/>
  <c r="D341" i="52"/>
  <c r="B342" i="52"/>
  <c r="D342" i="52"/>
  <c r="B343" i="52"/>
  <c r="D343" i="52"/>
  <c r="B344" i="52"/>
  <c r="D344" i="52"/>
  <c r="B345" i="52"/>
  <c r="D345" i="52"/>
  <c r="B346" i="52"/>
  <c r="D346" i="52"/>
  <c r="B347" i="52"/>
  <c r="D347" i="52"/>
  <c r="B348" i="52"/>
  <c r="D348" i="52"/>
  <c r="B349" i="52"/>
  <c r="D349" i="52"/>
  <c r="B350" i="52"/>
  <c r="D350" i="52"/>
  <c r="B351" i="52"/>
  <c r="D351" i="52"/>
  <c r="B352" i="52"/>
  <c r="D352" i="52"/>
  <c r="B353" i="52"/>
  <c r="D353" i="52"/>
  <c r="B354" i="52"/>
  <c r="D354" i="52"/>
  <c r="B355" i="52"/>
  <c r="D355" i="52"/>
  <c r="B356" i="52"/>
  <c r="D356" i="52"/>
  <c r="B357" i="52"/>
  <c r="D357" i="52"/>
  <c r="B358" i="52"/>
  <c r="D358" i="52"/>
  <c r="B359" i="52"/>
  <c r="D359" i="52"/>
  <c r="B360" i="52"/>
  <c r="D360" i="52"/>
  <c r="B361" i="52"/>
  <c r="D361" i="52"/>
  <c r="B362" i="52"/>
  <c r="D362" i="52"/>
  <c r="B363" i="52"/>
  <c r="D363" i="52"/>
  <c r="B364" i="52"/>
  <c r="D364" i="52"/>
  <c r="B365" i="52"/>
  <c r="D365" i="52"/>
  <c r="B366" i="52"/>
  <c r="D366" i="52"/>
  <c r="B367" i="52"/>
  <c r="D367" i="52"/>
  <c r="B368" i="52"/>
  <c r="D368" i="52"/>
  <c r="B369" i="52"/>
  <c r="D369" i="52"/>
  <c r="B370" i="52"/>
  <c r="D370" i="52"/>
  <c r="B371" i="52"/>
  <c r="D371" i="52"/>
  <c r="B372" i="52"/>
  <c r="D372" i="52"/>
  <c r="B373" i="52"/>
  <c r="D373" i="52"/>
  <c r="B374" i="52"/>
  <c r="D374" i="52"/>
  <c r="B375" i="52"/>
  <c r="D375" i="52"/>
  <c r="B376" i="52"/>
  <c r="D376" i="52"/>
  <c r="B377" i="52"/>
  <c r="D377" i="52"/>
  <c r="B378" i="52"/>
  <c r="D378" i="52"/>
  <c r="B379" i="52"/>
  <c r="D379" i="52"/>
  <c r="B380" i="52"/>
  <c r="D380" i="52"/>
  <c r="B381" i="52"/>
  <c r="D381" i="52"/>
  <c r="B382" i="52"/>
  <c r="D382" i="52"/>
  <c r="B383" i="52"/>
  <c r="D383" i="52"/>
  <c r="B384" i="52"/>
  <c r="D384" i="52"/>
  <c r="B385" i="52"/>
  <c r="D385" i="52"/>
  <c r="B386" i="52"/>
  <c r="D386" i="52"/>
  <c r="B387" i="52"/>
  <c r="D387" i="52"/>
  <c r="B388" i="52"/>
  <c r="D388" i="52"/>
  <c r="B389" i="52"/>
  <c r="D389" i="52"/>
  <c r="B390" i="52"/>
  <c r="D390" i="52"/>
  <c r="B391" i="52"/>
  <c r="D391" i="52"/>
  <c r="B392" i="52"/>
  <c r="D392" i="52"/>
  <c r="B393" i="52"/>
  <c r="D393" i="52"/>
  <c r="B394" i="52"/>
  <c r="D394" i="52"/>
  <c r="B395" i="52"/>
  <c r="D395" i="52"/>
  <c r="B396" i="52"/>
  <c r="D396" i="52"/>
  <c r="B397" i="52"/>
  <c r="D397" i="52"/>
  <c r="B398" i="52"/>
  <c r="D398" i="52"/>
  <c r="B399" i="52"/>
  <c r="D399" i="52"/>
  <c r="B400" i="52"/>
  <c r="D400" i="52"/>
  <c r="B401" i="52"/>
  <c r="C401" i="52"/>
  <c r="D401" i="52"/>
  <c r="B402" i="52"/>
  <c r="C402" i="52"/>
  <c r="D402" i="52"/>
  <c r="B403" i="52"/>
  <c r="C403" i="52"/>
  <c r="D403" i="52"/>
  <c r="B404" i="52"/>
  <c r="C404" i="52"/>
  <c r="D404" i="52"/>
  <c r="B405" i="52"/>
  <c r="C405" i="52"/>
  <c r="D405" i="52"/>
  <c r="B406" i="52"/>
  <c r="C406" i="52"/>
  <c r="D406" i="52"/>
  <c r="B407" i="52"/>
  <c r="C407" i="52"/>
  <c r="D407" i="52"/>
  <c r="B408" i="52"/>
  <c r="C408" i="52"/>
  <c r="D408" i="52"/>
  <c r="B409" i="52"/>
  <c r="C409" i="52"/>
  <c r="D409" i="52"/>
  <c r="B410" i="52"/>
  <c r="C410" i="52"/>
  <c r="D410" i="52"/>
  <c r="B411" i="52"/>
  <c r="C411" i="52"/>
  <c r="D411" i="52"/>
  <c r="B412" i="52"/>
  <c r="C412" i="52"/>
  <c r="D412" i="52"/>
  <c r="B413" i="52"/>
  <c r="C413" i="52"/>
  <c r="D413" i="52"/>
  <c r="B414" i="52"/>
  <c r="C414" i="52"/>
  <c r="D414" i="52"/>
  <c r="B415" i="52"/>
  <c r="C415" i="52"/>
  <c r="D415" i="52"/>
  <c r="B416" i="52"/>
  <c r="C416" i="52"/>
  <c r="D416" i="52"/>
  <c r="B417" i="52"/>
  <c r="C417" i="52"/>
  <c r="D417" i="52"/>
  <c r="B418" i="52"/>
  <c r="C418" i="52"/>
  <c r="D418" i="52"/>
  <c r="B419" i="52"/>
  <c r="C419" i="52"/>
  <c r="D419" i="52"/>
  <c r="B420" i="52"/>
  <c r="C420" i="52"/>
  <c r="D420" i="52"/>
  <c r="B421" i="52"/>
  <c r="C421" i="52"/>
  <c r="D421" i="52"/>
  <c r="B422" i="52"/>
  <c r="C422" i="52"/>
  <c r="D422" i="52"/>
  <c r="B423" i="52"/>
  <c r="C423" i="52"/>
  <c r="D423" i="52"/>
  <c r="B424" i="52"/>
  <c r="C424" i="52"/>
  <c r="D424" i="52"/>
  <c r="B425" i="52"/>
  <c r="C425" i="52"/>
  <c r="D425" i="52"/>
  <c r="B426" i="52"/>
  <c r="C426" i="52"/>
  <c r="D426" i="52"/>
  <c r="B427" i="52"/>
  <c r="C427" i="52"/>
  <c r="D427" i="52"/>
  <c r="B428" i="52"/>
  <c r="C428" i="52"/>
  <c r="D428" i="52"/>
  <c r="B429" i="52"/>
  <c r="C429" i="52"/>
  <c r="D429" i="52"/>
  <c r="B430" i="52"/>
  <c r="C430" i="52"/>
  <c r="D430" i="52"/>
  <c r="B431" i="52"/>
  <c r="C431" i="52"/>
  <c r="D431" i="52"/>
  <c r="B432" i="52"/>
  <c r="C432" i="52"/>
  <c r="D432" i="52"/>
  <c r="B433" i="52"/>
  <c r="C433" i="52"/>
  <c r="D433" i="52"/>
  <c r="B434" i="52"/>
  <c r="C434" i="52"/>
  <c r="D434" i="52"/>
  <c r="B435" i="52"/>
  <c r="C435" i="52"/>
  <c r="D435" i="52"/>
  <c r="B436" i="52"/>
  <c r="C436" i="52"/>
  <c r="D436" i="52"/>
  <c r="B437" i="52"/>
  <c r="C437" i="52"/>
  <c r="D437" i="52"/>
  <c r="B438" i="52"/>
  <c r="C438" i="52"/>
  <c r="D438" i="52"/>
  <c r="B439" i="52"/>
  <c r="C439" i="52"/>
  <c r="D439" i="52"/>
  <c r="B440" i="52"/>
  <c r="C440" i="52"/>
  <c r="D440" i="52"/>
  <c r="B441" i="52"/>
  <c r="C441" i="52"/>
  <c r="D441" i="52"/>
  <c r="B442" i="52"/>
  <c r="C442" i="52"/>
  <c r="D442" i="52"/>
  <c r="B443" i="52"/>
  <c r="C443" i="52"/>
  <c r="D443" i="52"/>
  <c r="B444" i="52"/>
  <c r="C444" i="52"/>
  <c r="D444" i="52"/>
  <c r="B445" i="52"/>
  <c r="C445" i="52"/>
  <c r="D445" i="52"/>
  <c r="B446" i="52"/>
  <c r="C446" i="52"/>
  <c r="D446" i="52"/>
  <c r="B447" i="52"/>
  <c r="C447" i="52"/>
  <c r="D447" i="52"/>
  <c r="B448" i="52"/>
  <c r="C448" i="52"/>
  <c r="D448" i="52"/>
  <c r="B449" i="52"/>
  <c r="C449" i="52"/>
  <c r="D449" i="52"/>
  <c r="B450" i="52"/>
  <c r="C450" i="52"/>
  <c r="D450" i="52"/>
  <c r="B451" i="52"/>
  <c r="C451" i="52"/>
  <c r="D451" i="52"/>
  <c r="B452" i="52"/>
  <c r="C452" i="52"/>
  <c r="D452" i="52"/>
  <c r="B453" i="52"/>
  <c r="C453" i="52"/>
  <c r="D453" i="52"/>
  <c r="B454" i="52"/>
  <c r="C454" i="52"/>
  <c r="D454" i="52"/>
  <c r="B455" i="52"/>
  <c r="C455" i="52"/>
  <c r="D455" i="52"/>
  <c r="B456" i="52"/>
  <c r="C456" i="52"/>
  <c r="D456" i="52"/>
  <c r="B457" i="52"/>
  <c r="C457" i="52"/>
  <c r="D457" i="52"/>
  <c r="B458" i="52"/>
  <c r="C458" i="52"/>
  <c r="D458" i="52"/>
  <c r="B459" i="52"/>
  <c r="C459" i="52"/>
  <c r="D459" i="52"/>
  <c r="B460" i="52"/>
  <c r="C460" i="52"/>
  <c r="D460" i="52"/>
  <c r="B461" i="52"/>
  <c r="C461" i="52"/>
  <c r="D461" i="52"/>
  <c r="B462" i="52"/>
  <c r="C462" i="52"/>
  <c r="D462" i="52"/>
  <c r="B463" i="52"/>
  <c r="C463" i="52"/>
  <c r="D463" i="52"/>
  <c r="B464" i="52"/>
  <c r="C464" i="52"/>
  <c r="D464" i="52"/>
  <c r="B465" i="52"/>
  <c r="C465" i="52"/>
  <c r="D465" i="52"/>
  <c r="B466" i="52"/>
  <c r="C466" i="52"/>
  <c r="D466" i="52"/>
  <c r="B467" i="52"/>
  <c r="C467" i="52"/>
  <c r="D467" i="52"/>
  <c r="B468" i="52"/>
  <c r="C468" i="52"/>
  <c r="D468" i="52"/>
  <c r="B469" i="52"/>
  <c r="C469" i="52"/>
  <c r="D469" i="52"/>
  <c r="B470" i="52"/>
  <c r="C470" i="52"/>
  <c r="D470" i="52"/>
  <c r="B471" i="52"/>
  <c r="C471" i="52"/>
  <c r="D471" i="52"/>
  <c r="B472" i="52"/>
  <c r="C472" i="52"/>
  <c r="D472" i="52"/>
  <c r="B473" i="52"/>
  <c r="C473" i="52"/>
  <c r="D473" i="52"/>
  <c r="B474" i="52"/>
  <c r="C474" i="52"/>
  <c r="D474" i="52"/>
  <c r="B475" i="52"/>
  <c r="C475" i="52"/>
  <c r="D475" i="52"/>
  <c r="B476" i="52"/>
  <c r="C476" i="52"/>
  <c r="D476" i="52"/>
  <c r="B477" i="52"/>
  <c r="C477" i="52"/>
  <c r="D477" i="52"/>
  <c r="B478" i="52"/>
  <c r="C478" i="52"/>
  <c r="D478" i="52"/>
  <c r="B479" i="52"/>
  <c r="C479" i="52"/>
  <c r="D479" i="52"/>
  <c r="B480" i="52"/>
  <c r="C480" i="52"/>
  <c r="D480" i="52"/>
  <c r="B481" i="52"/>
  <c r="C481" i="52"/>
  <c r="D481" i="52"/>
  <c r="B482" i="52"/>
  <c r="C482" i="52"/>
  <c r="D482" i="52"/>
  <c r="B483" i="52"/>
  <c r="C483" i="52"/>
  <c r="D483" i="52"/>
  <c r="B484" i="52"/>
  <c r="C484" i="52"/>
  <c r="D484" i="52"/>
  <c r="B485" i="52"/>
  <c r="C485" i="52"/>
  <c r="D485" i="52"/>
  <c r="B486" i="52"/>
  <c r="C486" i="52"/>
  <c r="D486" i="52"/>
  <c r="B487" i="52"/>
  <c r="C487" i="52"/>
  <c r="D487" i="52"/>
  <c r="B488" i="52"/>
  <c r="C488" i="52"/>
  <c r="D488" i="52"/>
  <c r="B489" i="52"/>
  <c r="C489" i="52"/>
  <c r="D489" i="52"/>
  <c r="B490" i="52"/>
  <c r="C490" i="52"/>
  <c r="D490" i="52"/>
  <c r="B491" i="52"/>
  <c r="C491" i="52"/>
  <c r="D491" i="52"/>
  <c r="B492" i="52"/>
  <c r="C492" i="52"/>
  <c r="D492" i="52"/>
  <c r="B493" i="52"/>
  <c r="C493" i="52"/>
  <c r="D493" i="52"/>
  <c r="B494" i="52"/>
  <c r="C494" i="52"/>
  <c r="D494" i="52"/>
  <c r="B495" i="52"/>
  <c r="C495" i="52"/>
  <c r="D495" i="52"/>
  <c r="B496" i="52"/>
  <c r="C496" i="52"/>
  <c r="D496" i="52"/>
  <c r="B497" i="52"/>
  <c r="C497" i="52"/>
  <c r="D497" i="52"/>
  <c r="B498" i="52"/>
  <c r="C498" i="52"/>
  <c r="D498" i="52"/>
  <c r="B499" i="52"/>
  <c r="C499" i="52"/>
  <c r="D499" i="52"/>
  <c r="B500" i="52"/>
  <c r="C500" i="52"/>
  <c r="D500" i="52"/>
  <c r="B501" i="52"/>
  <c r="C501" i="52"/>
  <c r="D501" i="52"/>
  <c r="B502" i="52"/>
  <c r="C502" i="52"/>
  <c r="D502" i="52"/>
  <c r="B503" i="52"/>
  <c r="C503" i="52"/>
  <c r="D503" i="52"/>
  <c r="B504" i="52"/>
  <c r="C504" i="52"/>
  <c r="D504" i="52"/>
  <c r="B505" i="52"/>
  <c r="C505" i="52"/>
  <c r="D505" i="52"/>
  <c r="B506" i="52"/>
  <c r="C506" i="52"/>
  <c r="D506" i="52"/>
  <c r="B507" i="52"/>
  <c r="C507" i="52"/>
  <c r="D507" i="52"/>
  <c r="B508" i="52"/>
  <c r="C508" i="52"/>
  <c r="D508" i="52"/>
  <c r="B509" i="52"/>
  <c r="C509" i="52"/>
  <c r="D509" i="52"/>
  <c r="B510" i="52"/>
  <c r="C510" i="52"/>
  <c r="D510" i="52"/>
  <c r="B511" i="52"/>
  <c r="C511" i="52"/>
  <c r="D511" i="52"/>
  <c r="B512" i="52"/>
  <c r="C512" i="52"/>
  <c r="D512" i="52"/>
  <c r="B513" i="52"/>
  <c r="C513" i="52"/>
  <c r="D513" i="52"/>
  <c r="B514" i="52"/>
  <c r="C514" i="52"/>
  <c r="D514" i="52"/>
  <c r="B515" i="52"/>
  <c r="C515" i="52"/>
  <c r="D515" i="52"/>
  <c r="B516" i="52"/>
  <c r="C516" i="52"/>
  <c r="D516" i="52"/>
  <c r="B517" i="52"/>
  <c r="C517" i="52"/>
  <c r="D517" i="52"/>
  <c r="B518" i="52"/>
  <c r="C518" i="52"/>
  <c r="D518" i="52"/>
  <c r="B519" i="52"/>
  <c r="C519" i="52"/>
  <c r="D519" i="52"/>
  <c r="B520" i="52"/>
  <c r="C520" i="52"/>
  <c r="D520" i="52"/>
  <c r="B521" i="52"/>
  <c r="C521" i="52"/>
  <c r="D521" i="52"/>
  <c r="B522" i="52"/>
  <c r="C522" i="52"/>
  <c r="D522" i="52"/>
  <c r="B523" i="52"/>
  <c r="C523" i="52"/>
  <c r="D523" i="52"/>
  <c r="B524" i="52"/>
  <c r="C524" i="52"/>
  <c r="D524" i="52"/>
  <c r="B525" i="52"/>
  <c r="C525" i="52"/>
  <c r="D525" i="52"/>
  <c r="B526" i="52"/>
  <c r="C526" i="52"/>
  <c r="D526" i="52"/>
  <c r="B527" i="52"/>
  <c r="C527" i="52"/>
  <c r="D527" i="52"/>
  <c r="B528" i="52"/>
  <c r="C528" i="52"/>
  <c r="D528" i="52"/>
  <c r="B529" i="52"/>
  <c r="C529" i="52"/>
  <c r="D529" i="52"/>
  <c r="B530" i="52"/>
  <c r="C530" i="52"/>
  <c r="D530" i="52"/>
  <c r="B531" i="52"/>
  <c r="C531" i="52"/>
  <c r="D531" i="52"/>
  <c r="B532" i="52"/>
  <c r="C532" i="52"/>
  <c r="D532" i="52"/>
  <c r="B533" i="52"/>
  <c r="C533" i="52"/>
  <c r="D533" i="52"/>
  <c r="B534" i="52"/>
  <c r="C534" i="52"/>
  <c r="D534" i="52"/>
  <c r="B535" i="52"/>
  <c r="C535" i="52"/>
  <c r="D535" i="52"/>
  <c r="B536" i="52"/>
  <c r="C536" i="52"/>
  <c r="D536" i="52"/>
  <c r="B537" i="52"/>
  <c r="C537" i="52"/>
  <c r="D537" i="52"/>
  <c r="B538" i="52"/>
  <c r="C538" i="52"/>
  <c r="D538" i="52"/>
  <c r="B539" i="52"/>
  <c r="C539" i="52"/>
  <c r="D539" i="52"/>
  <c r="B540" i="52"/>
  <c r="C540" i="52"/>
  <c r="D540" i="52"/>
  <c r="B541" i="52"/>
  <c r="C541" i="52"/>
  <c r="D541" i="52"/>
  <c r="B542" i="52"/>
  <c r="C542" i="52"/>
  <c r="D542" i="52"/>
  <c r="B543" i="52"/>
  <c r="C543" i="52"/>
  <c r="D543" i="52"/>
  <c r="B544" i="52"/>
  <c r="C544" i="52"/>
  <c r="D544" i="52"/>
  <c r="B545" i="52"/>
  <c r="C545" i="52"/>
  <c r="D545" i="52"/>
  <c r="B546" i="52"/>
  <c r="C546" i="52"/>
  <c r="D546" i="52"/>
  <c r="B547" i="52"/>
  <c r="C547" i="52"/>
  <c r="D547" i="52"/>
  <c r="B548" i="52"/>
  <c r="C548" i="52"/>
  <c r="D548" i="52"/>
  <c r="B549" i="52"/>
  <c r="C549" i="52"/>
  <c r="D549" i="52"/>
  <c r="B550" i="52"/>
  <c r="C550" i="52"/>
  <c r="D550" i="52"/>
  <c r="B551" i="52"/>
  <c r="C551" i="52"/>
  <c r="D551" i="52"/>
  <c r="B552" i="52"/>
  <c r="C552" i="52"/>
  <c r="D552" i="52"/>
  <c r="B553" i="52"/>
  <c r="C553" i="52"/>
  <c r="D553" i="52"/>
  <c r="B554" i="52"/>
  <c r="C554" i="52"/>
  <c r="D554" i="52"/>
  <c r="B555" i="52"/>
  <c r="C555" i="52"/>
  <c r="D555" i="52"/>
  <c r="B556" i="52"/>
  <c r="C556" i="52"/>
  <c r="D556" i="52"/>
  <c r="B557" i="52"/>
  <c r="C557" i="52"/>
  <c r="D557" i="52"/>
  <c r="B558" i="52"/>
  <c r="C558" i="52"/>
  <c r="D558" i="52"/>
  <c r="B559" i="52"/>
  <c r="C559" i="52"/>
  <c r="D559" i="52"/>
  <c r="B560" i="52"/>
  <c r="C560" i="52"/>
  <c r="D560" i="52"/>
  <c r="B561" i="52"/>
  <c r="C561" i="52"/>
  <c r="D561" i="52"/>
  <c r="B562" i="52"/>
  <c r="C562" i="52"/>
  <c r="D562" i="52"/>
  <c r="B563" i="52"/>
  <c r="C563" i="52"/>
  <c r="D563" i="52"/>
  <c r="B564" i="52"/>
  <c r="C564" i="52"/>
  <c r="D564" i="52"/>
  <c r="B565" i="52"/>
  <c r="C565" i="52"/>
  <c r="D565" i="52"/>
  <c r="B566" i="52"/>
  <c r="C566" i="52"/>
  <c r="D566" i="52"/>
  <c r="B567" i="52"/>
  <c r="C567" i="52"/>
  <c r="D567" i="52"/>
  <c r="B568" i="52"/>
  <c r="C568" i="52"/>
  <c r="D568" i="52"/>
  <c r="B569" i="52"/>
  <c r="C569" i="52"/>
  <c r="D569" i="52"/>
  <c r="B570" i="52"/>
  <c r="C570" i="52"/>
  <c r="D570" i="52"/>
  <c r="B571" i="52"/>
  <c r="C571" i="52"/>
  <c r="D571" i="52"/>
  <c r="B572" i="52"/>
  <c r="C572" i="52"/>
  <c r="D572" i="52"/>
  <c r="B573" i="52"/>
  <c r="C573" i="52"/>
  <c r="D573" i="52"/>
  <c r="B574" i="52"/>
  <c r="C574" i="52"/>
  <c r="D574" i="52"/>
  <c r="B575" i="52"/>
  <c r="C575" i="52"/>
  <c r="D575" i="52"/>
  <c r="B576" i="52"/>
  <c r="C576" i="52"/>
  <c r="D576" i="52"/>
  <c r="B577" i="52"/>
  <c r="C577" i="52"/>
  <c r="D577" i="52"/>
  <c r="B578" i="52"/>
  <c r="C578" i="52"/>
  <c r="D578" i="52"/>
  <c r="B579" i="52"/>
  <c r="C579" i="52"/>
  <c r="D579" i="52"/>
  <c r="B580" i="52"/>
  <c r="C580" i="52"/>
  <c r="D580" i="52"/>
  <c r="B581" i="52"/>
  <c r="C581" i="52"/>
  <c r="D581" i="52"/>
  <c r="B582" i="52"/>
  <c r="C582" i="52"/>
  <c r="D582" i="52"/>
  <c r="B583" i="52"/>
  <c r="C583" i="52"/>
  <c r="D583" i="52"/>
  <c r="B584" i="52"/>
  <c r="C584" i="52"/>
  <c r="D584" i="52"/>
  <c r="B585" i="52"/>
  <c r="C585" i="52"/>
  <c r="D585" i="52"/>
  <c r="B586" i="52"/>
  <c r="C586" i="52"/>
  <c r="D586" i="52"/>
  <c r="B587" i="52"/>
  <c r="C587" i="52"/>
  <c r="D587" i="52"/>
  <c r="B588" i="52"/>
  <c r="C588" i="52"/>
  <c r="D588" i="52"/>
  <c r="B589" i="52"/>
  <c r="C589" i="52"/>
  <c r="D589" i="52"/>
  <c r="B590" i="52"/>
  <c r="C590" i="52"/>
  <c r="D590" i="52"/>
  <c r="B591" i="52"/>
  <c r="C591" i="52"/>
  <c r="D591" i="52"/>
  <c r="B592" i="52"/>
  <c r="C592" i="52"/>
  <c r="D592" i="52"/>
  <c r="B593" i="52"/>
  <c r="C593" i="52"/>
  <c r="D593" i="52"/>
  <c r="B594" i="52"/>
  <c r="C594" i="52"/>
  <c r="D594" i="52"/>
  <c r="B595" i="52"/>
  <c r="C595" i="52"/>
  <c r="D595" i="52"/>
  <c r="B596" i="52"/>
  <c r="C596" i="52"/>
  <c r="D596" i="52"/>
  <c r="B597" i="52"/>
  <c r="C597" i="52"/>
  <c r="D597" i="52"/>
  <c r="B598" i="52"/>
  <c r="C598" i="52"/>
  <c r="D598" i="52"/>
  <c r="B599" i="52"/>
  <c r="C599" i="52"/>
  <c r="D599" i="52"/>
  <c r="B600" i="52"/>
  <c r="C600" i="52"/>
  <c r="D600" i="52"/>
  <c r="B601" i="52"/>
  <c r="C601" i="52"/>
  <c r="D601" i="52"/>
  <c r="B602" i="52"/>
  <c r="C602" i="52"/>
  <c r="D602" i="52"/>
  <c r="B603" i="52"/>
  <c r="C603" i="52"/>
  <c r="D603" i="52"/>
  <c r="B604" i="52"/>
  <c r="C604" i="52"/>
  <c r="D604" i="52"/>
  <c r="B605" i="52"/>
  <c r="C605" i="52"/>
  <c r="D605" i="52"/>
  <c r="B606" i="52"/>
  <c r="C606" i="52"/>
  <c r="D606" i="52"/>
  <c r="B607" i="52"/>
  <c r="C607" i="52"/>
  <c r="D607" i="52"/>
  <c r="B608" i="52"/>
  <c r="C608" i="52"/>
  <c r="D608" i="52"/>
  <c r="B609" i="52"/>
  <c r="C609" i="52"/>
  <c r="D609" i="52"/>
  <c r="B610" i="52"/>
  <c r="C610" i="52"/>
  <c r="D610" i="52"/>
  <c r="B611" i="52"/>
  <c r="C611" i="52"/>
  <c r="D611" i="52"/>
  <c r="B612" i="52"/>
  <c r="C612" i="52"/>
  <c r="D612" i="52"/>
  <c r="B613" i="52"/>
  <c r="C613" i="52"/>
  <c r="D613" i="52"/>
  <c r="B614" i="52"/>
  <c r="C614" i="52"/>
  <c r="D614" i="52"/>
  <c r="B615" i="52"/>
  <c r="C615" i="52"/>
  <c r="D615" i="52"/>
  <c r="B616" i="52"/>
  <c r="C616" i="52"/>
  <c r="D616" i="52"/>
  <c r="B617" i="52"/>
  <c r="C617" i="52"/>
  <c r="D617" i="52"/>
  <c r="B618" i="52"/>
  <c r="C618" i="52"/>
  <c r="D618" i="52"/>
  <c r="B619" i="52"/>
  <c r="C619" i="52"/>
  <c r="D619" i="52"/>
  <c r="B620" i="52"/>
  <c r="C620" i="52"/>
  <c r="D620" i="52"/>
  <c r="B621" i="52"/>
  <c r="C621" i="52"/>
  <c r="D621" i="52"/>
  <c r="B622" i="52"/>
  <c r="C622" i="52"/>
  <c r="D622" i="52"/>
  <c r="B623" i="52"/>
  <c r="C623" i="52"/>
  <c r="D623" i="52"/>
</calcChain>
</file>

<file path=xl/sharedStrings.xml><?xml version="1.0" encoding="utf-8"?>
<sst xmlns="http://schemas.openxmlformats.org/spreadsheetml/2006/main" count="12820" uniqueCount="1599">
  <si>
    <t>生産月</t>
  </si>
  <si>
    <t>Ｎｏ．</t>
  </si>
  <si>
    <t>機種名</t>
  </si>
  <si>
    <t>Ｓｅｒ．</t>
  </si>
  <si>
    <t>顧客</t>
  </si>
  <si>
    <t>仕様機種名</t>
  </si>
  <si>
    <t>仕様分類</t>
  </si>
  <si>
    <t>機種品番</t>
  </si>
  <si>
    <t>確定仕様書NO</t>
  </si>
  <si>
    <t>着手日</t>
  </si>
  <si>
    <t>完成予定日</t>
  </si>
  <si>
    <t>001 </t>
  </si>
  <si>
    <t> ＡＭＡＤＡ　ＡＭＥＲＩＣＡ　ＩＮＣ． </t>
  </si>
  <si>
    <t>STD </t>
  </si>
  <si>
    <t>002 </t>
  </si>
  <si>
    <t>003 </t>
  </si>
  <si>
    <t>004 </t>
  </si>
  <si>
    <t>005 </t>
  </si>
  <si>
    <t>006 </t>
  </si>
  <si>
    <t>007 </t>
  </si>
  <si>
    <t>008 </t>
  </si>
  <si>
    <t>009 </t>
  </si>
  <si>
    <t>010 </t>
  </si>
  <si>
    <t>011 </t>
  </si>
  <si>
    <t>012 </t>
  </si>
  <si>
    <t>013 </t>
  </si>
  <si>
    <t>014 </t>
  </si>
  <si>
    <t>015 </t>
  </si>
  <si>
    <t>016 </t>
  </si>
  <si>
    <t>017 </t>
  </si>
  <si>
    <t>STD+LZS </t>
  </si>
  <si>
    <t>018 </t>
  </si>
  <si>
    <t>019 </t>
  </si>
  <si>
    <t> （株）アマダベンディングＳ部 </t>
  </si>
  <si>
    <t>020 </t>
  </si>
  <si>
    <t>021 </t>
  </si>
  <si>
    <t>022 </t>
  </si>
  <si>
    <t>LZS+BIS </t>
  </si>
  <si>
    <t>023 </t>
  </si>
  <si>
    <t>024 </t>
  </si>
  <si>
    <t>025 </t>
  </si>
  <si>
    <t>026 </t>
  </si>
  <si>
    <t>HG2204.EXP </t>
  </si>
  <si>
    <t> HG2204-E </t>
  </si>
  <si>
    <t>HG2204ATC </t>
  </si>
  <si>
    <t> HG2204ATC-J </t>
  </si>
  <si>
    <t>HG1704 </t>
  </si>
  <si>
    <t> HG1704-J </t>
  </si>
  <si>
    <t>HG2204ATC.EXP </t>
  </si>
  <si>
    <t> HG2204ATC-E </t>
  </si>
  <si>
    <t>HG1703 </t>
  </si>
  <si>
    <t> HG1703-J </t>
  </si>
  <si>
    <t>HG2203 </t>
  </si>
  <si>
    <t> HG2203-J </t>
  </si>
  <si>
    <t>HG2204 </t>
  </si>
  <si>
    <t> HG2204-J </t>
  </si>
  <si>
    <t>生産月</t>
    <rPh sb="0" eb="2">
      <t>セイサン</t>
    </rPh>
    <rPh sb="2" eb="3">
      <t>ヅキ</t>
    </rPh>
    <phoneticPr fontId="5"/>
  </si>
  <si>
    <t>機種名</t>
    <rPh sb="0" eb="2">
      <t>キシュ</t>
    </rPh>
    <rPh sb="2" eb="3">
      <t>メイ</t>
    </rPh>
    <phoneticPr fontId="5"/>
  </si>
  <si>
    <t>客先名</t>
    <rPh sb="0" eb="2">
      <t>キャクサキ</t>
    </rPh>
    <rPh sb="2" eb="3">
      <t>メイ</t>
    </rPh>
    <phoneticPr fontId="3"/>
  </si>
  <si>
    <t>機種品番</t>
    <rPh sb="0" eb="2">
      <t>キシュ</t>
    </rPh>
    <rPh sb="2" eb="4">
      <t>ヒンバン</t>
    </rPh>
    <phoneticPr fontId="5"/>
  </si>
  <si>
    <t>⇒</t>
  </si>
  <si>
    <t>NO</t>
  </si>
  <si>
    <t>シリアルNo</t>
  </si>
  <si>
    <t>着手日(変更前)</t>
    <rPh sb="0" eb="2">
      <t>チャクシュ</t>
    </rPh>
    <rPh sb="2" eb="3">
      <t>ビ</t>
    </rPh>
    <rPh sb="4" eb="6">
      <t>ヘンコウ</t>
    </rPh>
    <rPh sb="6" eb="7">
      <t>マエ</t>
    </rPh>
    <phoneticPr fontId="3"/>
  </si>
  <si>
    <t>着手日(変更後)</t>
    <rPh sb="0" eb="2">
      <t>チャクシュ</t>
    </rPh>
    <rPh sb="2" eb="3">
      <t>ビ</t>
    </rPh>
    <rPh sb="4" eb="6">
      <t>ヘンコウ</t>
    </rPh>
    <rPh sb="6" eb="7">
      <t>アト</t>
    </rPh>
    <phoneticPr fontId="3"/>
  </si>
  <si>
    <t>027 </t>
  </si>
  <si>
    <t>028 </t>
  </si>
  <si>
    <t>029 </t>
  </si>
  <si>
    <t>030 </t>
  </si>
  <si>
    <t>031 </t>
  </si>
  <si>
    <t>032 </t>
  </si>
  <si>
    <t>033 </t>
  </si>
  <si>
    <t>034 </t>
  </si>
  <si>
    <t>LZS+BIS+AF </t>
  </si>
  <si>
    <t>035 </t>
  </si>
  <si>
    <t>036 </t>
  </si>
  <si>
    <t>037 </t>
  </si>
  <si>
    <t>038 </t>
  </si>
  <si>
    <t> ＡＭＡＤＡ　ＴＡＩＷＡＮ　ＩＮＣ． </t>
  </si>
  <si>
    <t>EGB1303ARE </t>
  </si>
  <si>
    <t> EGB1303ARE-J </t>
  </si>
  <si>
    <t>EGB1303AE </t>
  </si>
  <si>
    <t> EGB1303AE-J </t>
  </si>
  <si>
    <t>EGBRBT010E </t>
  </si>
  <si>
    <t> EGBRBT010E-J </t>
  </si>
  <si>
    <t> EGBRBT010E-E </t>
  </si>
  <si>
    <t>EGBRBT020E </t>
  </si>
  <si>
    <t> EGBRBT020E-J </t>
  </si>
  <si>
    <t>EGB6013RE </t>
  </si>
  <si>
    <t> EGB6013RE-J </t>
  </si>
  <si>
    <t>EGB6020AE </t>
  </si>
  <si>
    <t> EGB6020AE-J </t>
  </si>
  <si>
    <t>0D7904 </t>
  </si>
  <si>
    <t> EGB6013RE-E </t>
  </si>
  <si>
    <t> EGB6020AE-E </t>
  </si>
  <si>
    <t>EGB6020E </t>
  </si>
  <si>
    <t> EGB6020E-J </t>
  </si>
  <si>
    <t>0D7255 </t>
  </si>
  <si>
    <t>EGB6020AE_EXP </t>
  </si>
  <si>
    <t>0D8050 </t>
  </si>
  <si>
    <t>0D9621 </t>
  </si>
  <si>
    <t>EGB8025E </t>
  </si>
  <si>
    <t> EGB8025E-J </t>
  </si>
  <si>
    <t>EGB1303E </t>
  </si>
  <si>
    <t> EGB1303E-J </t>
  </si>
  <si>
    <t> EGB1303AE-E </t>
  </si>
  <si>
    <t> EGB8025E-E </t>
  </si>
  <si>
    <t> EGB1303E-E </t>
  </si>
  <si>
    <t>HRB3504 </t>
  </si>
  <si>
    <t> HRB3504-J </t>
  </si>
  <si>
    <t>0D3733 </t>
  </si>
  <si>
    <t>HRB3503 </t>
  </si>
  <si>
    <t>EGB6020E_EXP </t>
  </si>
  <si>
    <t> EGB6020E-E </t>
  </si>
  <si>
    <t>0D7905 </t>
  </si>
  <si>
    <t>EGB6013E </t>
  </si>
  <si>
    <t> EGB6013E-J </t>
  </si>
  <si>
    <t> EGB6013E-E </t>
  </si>
  <si>
    <t>0E1240 </t>
  </si>
  <si>
    <t>0D9824 </t>
  </si>
  <si>
    <t>EGB1303E_EXP </t>
  </si>
  <si>
    <t>0D9825 </t>
  </si>
  <si>
    <t>EGB1303AE_EXP </t>
  </si>
  <si>
    <t>0E1243 </t>
  </si>
  <si>
    <t>0E1242 </t>
  </si>
  <si>
    <t>0E1241 </t>
  </si>
  <si>
    <t>0D9357 </t>
  </si>
  <si>
    <t>EGBRBT010E_EXP </t>
  </si>
  <si>
    <t>0E0421 </t>
  </si>
  <si>
    <t>0E0422 </t>
  </si>
  <si>
    <t>EGB6013RE_EXP </t>
  </si>
  <si>
    <t>0E1244 </t>
  </si>
  <si>
    <t>EGB8025E_EXP </t>
  </si>
  <si>
    <t>0E1858 </t>
  </si>
  <si>
    <t>EGB4010E </t>
  </si>
  <si>
    <t> EGB4010E-J </t>
  </si>
  <si>
    <t>0E3361 </t>
  </si>
  <si>
    <t>EGB4010E_EX </t>
  </si>
  <si>
    <t> EGB4010E-E </t>
  </si>
  <si>
    <t>0E3362 </t>
  </si>
  <si>
    <t> ＡＭＡＤＡ　ＣＡＮＡＤＡ　ＬＴＤ． </t>
  </si>
  <si>
    <t> HRB3503-J </t>
  </si>
  <si>
    <t>EGB6013E_EXP </t>
  </si>
  <si>
    <t>0E5525 </t>
  </si>
  <si>
    <t>0E5494 </t>
  </si>
  <si>
    <t>  </t>
  </si>
  <si>
    <t> （株）アマダベンディング自動化ＰＪ </t>
  </si>
  <si>
    <t>111533 </t>
  </si>
  <si>
    <t>HG2204ARM </t>
  </si>
  <si>
    <t> HG2204ARM-J </t>
  </si>
  <si>
    <t>HGROBOT080 </t>
  </si>
  <si>
    <t> HGROBOT080-J </t>
  </si>
  <si>
    <t> Ａｍａｄａ　ｄｏ　Ｂｒａｓｉｌ　Ｌｔｄａ </t>
  </si>
  <si>
    <t>0D1410 </t>
  </si>
  <si>
    <t> GC82508021 </t>
  </si>
  <si>
    <t>HG8025C </t>
  </si>
  <si>
    <t> （株）関根製作所 </t>
  </si>
  <si>
    <t> HG8025C-J </t>
  </si>
  <si>
    <t>0A6483 </t>
  </si>
  <si>
    <t>HG1703.EXP </t>
  </si>
  <si>
    <t> HG1703-E </t>
  </si>
  <si>
    <t> TS13329993 </t>
  </si>
  <si>
    <t>0F5059 </t>
  </si>
  <si>
    <t>0F9262 </t>
  </si>
  <si>
    <t>0F9373 </t>
  </si>
  <si>
    <t>0F9374 </t>
  </si>
  <si>
    <t>0F9379 </t>
  </si>
  <si>
    <t>0F9376 </t>
  </si>
  <si>
    <t>0F9380 </t>
  </si>
  <si>
    <t>0F9263 </t>
  </si>
  <si>
    <t>HRB6007 </t>
  </si>
  <si>
    <t> HRB6007-J </t>
  </si>
  <si>
    <t> 10209993 </t>
  </si>
  <si>
    <t>0F4948 </t>
  </si>
  <si>
    <t>0F9375 </t>
  </si>
  <si>
    <t> 【CHINA】Foxconn天津 </t>
  </si>
  <si>
    <t> 台湾 </t>
  </si>
  <si>
    <t>2026/03/05 </t>
  </si>
  <si>
    <t>2026/03/27 </t>
  </si>
  <si>
    <t>2026/05/08 </t>
  </si>
  <si>
    <t>2026/04/14 </t>
  </si>
  <si>
    <t> アマダアメリカ </t>
  </si>
  <si>
    <t> アマダカナダ </t>
  </si>
  <si>
    <t> オーバーシーズ </t>
  </si>
  <si>
    <t> 中国 </t>
  </si>
  <si>
    <t>039 </t>
  </si>
  <si>
    <t>040 </t>
  </si>
  <si>
    <t>EGB1303ARE_EXP </t>
  </si>
  <si>
    <t> EGB1303ARE-E </t>
  </si>
  <si>
    <t>0E1859 </t>
  </si>
  <si>
    <t>EGBRBT020E.EXP </t>
  </si>
  <si>
    <t> EGBRBT020E-E </t>
  </si>
  <si>
    <t>0E2861 </t>
  </si>
  <si>
    <t> Ａｍａｄａ　Ｏｃｅａｎｉａ　Ｐｔｙ　Ｌｔ </t>
  </si>
  <si>
    <t> CHINA </t>
  </si>
  <si>
    <t> ＡＭＡＤＡ　ＫＯＲＥＡ　ＣＯ．，ＬＴＤ． </t>
  </si>
  <si>
    <t> TS40109002 </t>
  </si>
  <si>
    <t> （有）七福電子 </t>
  </si>
  <si>
    <t>182699 </t>
  </si>
  <si>
    <t>041 </t>
  </si>
  <si>
    <t>2026/07/31 </t>
  </si>
  <si>
    <t>2026/07/30 </t>
  </si>
  <si>
    <t>0A0837 </t>
  </si>
  <si>
    <t>HG2203.EXP </t>
  </si>
  <si>
    <t> HG2203-E </t>
  </si>
  <si>
    <t>0F9378 </t>
  </si>
  <si>
    <t>2026/08/01 </t>
  </si>
  <si>
    <t>2026/08/04 </t>
  </si>
  <si>
    <t>2026/08/05 </t>
  </si>
  <si>
    <t> TS13399252 </t>
  </si>
  <si>
    <t>2026/08/06 </t>
  </si>
  <si>
    <t>2026/08/07 </t>
  </si>
  <si>
    <t>2026/08/08 </t>
  </si>
  <si>
    <t>2026/08/18 </t>
  </si>
  <si>
    <t>2026/08/19 </t>
  </si>
  <si>
    <t>2026/08/20 </t>
  </si>
  <si>
    <t>2026/08/21 </t>
  </si>
  <si>
    <t>2026/08/22 </t>
  </si>
  <si>
    <t>2026/08/25 </t>
  </si>
  <si>
    <t>2026/08/26 </t>
  </si>
  <si>
    <t>2026/08/27 </t>
  </si>
  <si>
    <t>2026/08/28 </t>
  </si>
  <si>
    <t>2026/08/29 </t>
  </si>
  <si>
    <t> 文化シヤッター（株） </t>
  </si>
  <si>
    <t> TS10100102 </t>
  </si>
  <si>
    <t> （株）シンコー </t>
  </si>
  <si>
    <t> TS60109102 </t>
  </si>
  <si>
    <t> TS61377136 </t>
  </si>
  <si>
    <t> TS61377137 </t>
  </si>
  <si>
    <t>EGB1303AE_CE AESA </t>
  </si>
  <si>
    <t> AESA </t>
  </si>
  <si>
    <t> EGB1303AE-C </t>
  </si>
  <si>
    <t>0E7252 </t>
  </si>
  <si>
    <t>EGBROBOT010E_CE AESA </t>
  </si>
  <si>
    <t> EGBRBT010E-C </t>
  </si>
  <si>
    <t>0F1348 </t>
  </si>
  <si>
    <t>EGB6013RE_CE AESA </t>
  </si>
  <si>
    <t> EGB6013RE-C </t>
  </si>
  <si>
    <t>0E8488 </t>
  </si>
  <si>
    <t>EGB1303ARE_CE_AESA </t>
  </si>
  <si>
    <t> EGB1303ARE-C </t>
  </si>
  <si>
    <t>0F1949 </t>
  </si>
  <si>
    <t>EGBROBOT020E CE AESA </t>
  </si>
  <si>
    <t> EGBRBT020E-C </t>
  </si>
  <si>
    <t>0F2140 </t>
  </si>
  <si>
    <t>EGB8025_CE_AESA </t>
  </si>
  <si>
    <t> EGB8025E-C </t>
  </si>
  <si>
    <t>0F1290 </t>
  </si>
  <si>
    <t>EGB4010E_CE AESA </t>
  </si>
  <si>
    <t> EGB4010E-C </t>
  </si>
  <si>
    <t>0E8167 </t>
  </si>
  <si>
    <t>042 </t>
  </si>
  <si>
    <t>043 </t>
  </si>
  <si>
    <t>044 </t>
  </si>
  <si>
    <t> TS62077151 </t>
  </si>
  <si>
    <t> TS13329056 </t>
  </si>
  <si>
    <t>09月 </t>
  </si>
  <si>
    <t>2026/09/08 </t>
  </si>
  <si>
    <t>2026/09/02 </t>
  </si>
  <si>
    <t> TS13399247 </t>
  </si>
  <si>
    <t>2026/09/03 </t>
  </si>
  <si>
    <t> TS13399248 </t>
  </si>
  <si>
    <t>2026/09/05 </t>
  </si>
  <si>
    <t> TS13377319 </t>
  </si>
  <si>
    <t> TS13377320 </t>
  </si>
  <si>
    <t> TS13377310 </t>
  </si>
  <si>
    <t> TS62077145 </t>
  </si>
  <si>
    <t> TS62077144 </t>
  </si>
  <si>
    <t>182674 </t>
  </si>
  <si>
    <t> TS60299196 </t>
  </si>
  <si>
    <t>2026/09/09 </t>
  </si>
  <si>
    <t> TS62077153 </t>
  </si>
  <si>
    <t>2026/09/04 </t>
  </si>
  <si>
    <t> TS60299192 </t>
  </si>
  <si>
    <t>2026/09/11 </t>
  </si>
  <si>
    <t> TS82577277 </t>
  </si>
  <si>
    <t> TS82577279 </t>
  </si>
  <si>
    <t> TS13399246 </t>
  </si>
  <si>
    <t>2026/09/15 </t>
  </si>
  <si>
    <t> TS82577278 </t>
  </si>
  <si>
    <t> TS13399245 </t>
  </si>
  <si>
    <t>2026/09/17 </t>
  </si>
  <si>
    <t> TS13377312 </t>
  </si>
  <si>
    <t> TS13377321 </t>
  </si>
  <si>
    <t>2026/09/12 </t>
  </si>
  <si>
    <t> TS82577276 </t>
  </si>
  <si>
    <t> TS13377322 </t>
  </si>
  <si>
    <t> TS82577268 </t>
  </si>
  <si>
    <t>2026/09/16 </t>
  </si>
  <si>
    <t>2026/09/24 </t>
  </si>
  <si>
    <t> TS82577267 </t>
  </si>
  <si>
    <t>2026/09/01 </t>
  </si>
  <si>
    <t> TS82577270 </t>
  </si>
  <si>
    <t> TS13399255 </t>
  </si>
  <si>
    <t>2026/09/25 </t>
  </si>
  <si>
    <t> TS13377311 </t>
  </si>
  <si>
    <t>2026/09/19 </t>
  </si>
  <si>
    <t> TS13377315 </t>
  </si>
  <si>
    <t>2026/09/29 </t>
  </si>
  <si>
    <t> TS62077154 </t>
  </si>
  <si>
    <t>2026/09/26 </t>
  </si>
  <si>
    <t> TS13377323 </t>
  </si>
  <si>
    <t> TS82577271 </t>
  </si>
  <si>
    <t> エアコンスター（株） </t>
  </si>
  <si>
    <t>182685 </t>
  </si>
  <si>
    <t> TS62077155 </t>
  </si>
  <si>
    <t> TS82577266 </t>
  </si>
  <si>
    <t> TS82577269 </t>
  </si>
  <si>
    <t> （株）ツカタ </t>
  </si>
  <si>
    <t>183633 </t>
  </si>
  <si>
    <t> HG22448035 </t>
  </si>
  <si>
    <t> （株）徹工業 </t>
  </si>
  <si>
    <t>ARm071 </t>
  </si>
  <si>
    <t> HG22302244 </t>
  </si>
  <si>
    <t> HG22404200 </t>
  </si>
  <si>
    <t> 安田技研（株） </t>
  </si>
  <si>
    <t>182681 </t>
  </si>
  <si>
    <t> HG22402946 </t>
  </si>
  <si>
    <t> HG22402956 </t>
  </si>
  <si>
    <t> HG22404195 </t>
  </si>
  <si>
    <t> （株）廣澤精機製作所 </t>
  </si>
  <si>
    <t>182636 </t>
  </si>
  <si>
    <t> HG17302379 </t>
  </si>
  <si>
    <t>2026/09/18 </t>
  </si>
  <si>
    <t> HG22402954 </t>
  </si>
  <si>
    <t> HG22402947 </t>
  </si>
  <si>
    <t>182672 </t>
  </si>
  <si>
    <t> HG22402952 </t>
  </si>
  <si>
    <t> HG22402955 </t>
  </si>
  <si>
    <t> HG17302381 </t>
  </si>
  <si>
    <t>2026/09/30 </t>
  </si>
  <si>
    <t> TY60075008 </t>
  </si>
  <si>
    <t>182673 </t>
  </si>
  <si>
    <t> TY35065012 </t>
  </si>
  <si>
    <t>HRB3506EXP </t>
  </si>
  <si>
    <t> 【TAIWAN】原榮 </t>
  </si>
  <si>
    <t> HRB3506-E </t>
  </si>
  <si>
    <t>TW0463 </t>
  </si>
  <si>
    <t> TY35045031 </t>
  </si>
  <si>
    <t> TY35035019 </t>
  </si>
  <si>
    <t> （株）ｅｘｃｅｌｌｅｎｔ </t>
  </si>
  <si>
    <t>0G3591 </t>
  </si>
  <si>
    <t>188299 </t>
  </si>
  <si>
    <t> 10200056 </t>
  </si>
  <si>
    <t> TS10100099 </t>
  </si>
  <si>
    <t>EGBR099 </t>
  </si>
  <si>
    <t> 00800071 </t>
  </si>
  <si>
    <t> TS10100100 </t>
  </si>
  <si>
    <t>EGBR100 </t>
  </si>
  <si>
    <t> TS61377149 </t>
  </si>
  <si>
    <t> TS41077203 </t>
  </si>
  <si>
    <t> TS41077204 </t>
  </si>
  <si>
    <t> TS61377144 </t>
  </si>
  <si>
    <t> TS41077191 </t>
  </si>
  <si>
    <t> TS41077205 </t>
  </si>
  <si>
    <t> TS41077192 </t>
  </si>
  <si>
    <t> TS41077193 </t>
  </si>
  <si>
    <t> TS61377153 </t>
  </si>
  <si>
    <t> TS61377138 </t>
  </si>
  <si>
    <t> TS61377145 </t>
  </si>
  <si>
    <t> TS60109099 </t>
  </si>
  <si>
    <t> TS61377139 </t>
  </si>
  <si>
    <t> TS41077207 </t>
  </si>
  <si>
    <t> TS60109100 </t>
  </si>
  <si>
    <t> TS41077208 </t>
  </si>
  <si>
    <t> TS41077194 </t>
  </si>
  <si>
    <t> TS41077206 </t>
  </si>
  <si>
    <t> TS61377154 </t>
  </si>
  <si>
    <t> TS41077209 </t>
  </si>
  <si>
    <t> TS61377146 </t>
  </si>
  <si>
    <t> TS61377147 </t>
  </si>
  <si>
    <t> TS61377148 </t>
  </si>
  <si>
    <t> 【インド】Jyoti CNC Automation Ltd </t>
  </si>
  <si>
    <t> TS60299201 </t>
  </si>
  <si>
    <t> TS60299202 </t>
  </si>
  <si>
    <t> ナブコアール（株） </t>
  </si>
  <si>
    <t>182967 </t>
  </si>
  <si>
    <t> （株）ＴＩＳＭ </t>
  </si>
  <si>
    <t>182695 </t>
  </si>
  <si>
    <t> HG22302245 </t>
  </si>
  <si>
    <t> （株）ユタカウェルテック </t>
  </si>
  <si>
    <t>193709 </t>
  </si>
  <si>
    <t>0G3557 </t>
  </si>
  <si>
    <t> 【OCEANIA】Fuji Harwal </t>
  </si>
  <si>
    <t>OCE0061 </t>
  </si>
  <si>
    <t>193748 </t>
  </si>
  <si>
    <t>193750 </t>
  </si>
  <si>
    <t>193749 </t>
  </si>
  <si>
    <t> HG22302236 </t>
  </si>
  <si>
    <t> （株）ミワレーザー </t>
  </si>
  <si>
    <t>193742 </t>
  </si>
  <si>
    <t>0G3780 </t>
  </si>
  <si>
    <t>0G3919 </t>
  </si>
  <si>
    <t>BDA1293 </t>
  </si>
  <si>
    <t>BDA1294 </t>
  </si>
  <si>
    <t> TS60109106 </t>
  </si>
  <si>
    <t>10月 </t>
  </si>
  <si>
    <t> （株）山陽工作所 </t>
  </si>
  <si>
    <t>EGBR106 </t>
  </si>
  <si>
    <t>2026/10/02 </t>
  </si>
  <si>
    <t>2026/10/01 </t>
  </si>
  <si>
    <t> TS60109107 </t>
  </si>
  <si>
    <t>2026/10/08 </t>
  </si>
  <si>
    <t> TS60109111 </t>
  </si>
  <si>
    <t> 大和テック（株） </t>
  </si>
  <si>
    <t>EGBR102 </t>
  </si>
  <si>
    <t>2026/10/09 </t>
  </si>
  <si>
    <t> TS61377155 </t>
  </si>
  <si>
    <t>2026/10/03 </t>
  </si>
  <si>
    <t> TS61377156 </t>
  </si>
  <si>
    <t>2026/10/06 </t>
  </si>
  <si>
    <t>2026/10/07 </t>
  </si>
  <si>
    <t>2026/10/13 </t>
  </si>
  <si>
    <t> TS41077210 </t>
  </si>
  <si>
    <t> ＡＭＡＤＡ　（ＵＫ）　ＪＯＨＡＮＮＥＳＢ </t>
  </si>
  <si>
    <t>BDH0553 </t>
  </si>
  <si>
    <t> TS41077211 </t>
  </si>
  <si>
    <t>BDH0554 </t>
  </si>
  <si>
    <t>2026/10/15 </t>
  </si>
  <si>
    <t>2026/10/10 </t>
  </si>
  <si>
    <t>BDA1314 </t>
  </si>
  <si>
    <t>TW0502 </t>
  </si>
  <si>
    <t>ASB0893 </t>
  </si>
  <si>
    <t>BDA1313 </t>
  </si>
  <si>
    <t> TS13377327 </t>
  </si>
  <si>
    <t> 【ベトナム】Thu？n Nhat </t>
  </si>
  <si>
    <t>ASB0890 </t>
  </si>
  <si>
    <t> TS13399254 </t>
  </si>
  <si>
    <t>2026/10/14 </t>
  </si>
  <si>
    <t>2026/10/16 </t>
  </si>
  <si>
    <t> TS13377326 </t>
  </si>
  <si>
    <t>193755 </t>
  </si>
  <si>
    <t>BDA1317 </t>
  </si>
  <si>
    <t> HG22448034 </t>
  </si>
  <si>
    <t>HG2204ARM.EXP </t>
  </si>
  <si>
    <t> 【ブラジル】PERTO </t>
  </si>
  <si>
    <t> HG2204ARM-E </t>
  </si>
  <si>
    <t>0A9529 </t>
  </si>
  <si>
    <t>BDH0537 </t>
  </si>
  <si>
    <t> HG17402207 </t>
  </si>
  <si>
    <t> （株）平島 </t>
  </si>
  <si>
    <t>182694 </t>
  </si>
  <si>
    <t> HG22402957 </t>
  </si>
  <si>
    <t> TY35035020 </t>
  </si>
  <si>
    <t> TY60075006 </t>
  </si>
  <si>
    <t> 大丸鐵興（株） </t>
  </si>
  <si>
    <t>0F8902 </t>
  </si>
  <si>
    <t>116088 </t>
  </si>
  <si>
    <t> AP23251002 </t>
  </si>
  <si>
    <t>TBR2500 </t>
  </si>
  <si>
    <t>0G3511 </t>
  </si>
  <si>
    <t>2026/10/27 </t>
  </si>
  <si>
    <t> TS10100106 </t>
  </si>
  <si>
    <t> 00800070 </t>
  </si>
  <si>
    <t>HGROBOT080.EXP </t>
  </si>
  <si>
    <t> HGROBOT080-E </t>
  </si>
  <si>
    <t>0G4022 </t>
  </si>
  <si>
    <t> TS10100107 </t>
  </si>
  <si>
    <t>0F3049 </t>
  </si>
  <si>
    <t> TS10100111 </t>
  </si>
  <si>
    <t>0G3870 </t>
  </si>
  <si>
    <t>BDH0579 </t>
  </si>
  <si>
    <t> 【ベトナム】Ho chi ming TC </t>
  </si>
  <si>
    <t>ASB0891 </t>
  </si>
  <si>
    <t> EGB13074 </t>
  </si>
  <si>
    <t> 1/17:投入 </t>
  </si>
  <si>
    <t> EGB13075 </t>
  </si>
  <si>
    <t> EGB40054 </t>
  </si>
  <si>
    <t> EGB40055 </t>
  </si>
  <si>
    <t> （株）朝陽 </t>
  </si>
  <si>
    <t>BDA1290 </t>
  </si>
  <si>
    <t>OCE0062 </t>
  </si>
  <si>
    <t>193791 </t>
  </si>
  <si>
    <t>BDA1309 </t>
  </si>
  <si>
    <t>BDA1298 </t>
  </si>
  <si>
    <t>BDA1299 </t>
  </si>
  <si>
    <t> エース機工（株） </t>
  </si>
  <si>
    <t>193793 </t>
  </si>
  <si>
    <t>EGB6020AE_CE </t>
  </si>
  <si>
    <t> 【AESA】AMADA ITALIA (IT 299154) </t>
  </si>
  <si>
    <t> EGB6020AE-C </t>
  </si>
  <si>
    <t>0G3964 </t>
  </si>
  <si>
    <t>BDE0162 </t>
  </si>
  <si>
    <t> 【AESA】TAVECCHIO( EX AITALIA) </t>
  </si>
  <si>
    <t>BDE0163 </t>
  </si>
  <si>
    <t>BDA1304 </t>
  </si>
  <si>
    <t>BDA1300 </t>
  </si>
  <si>
    <t>BDA1303 </t>
  </si>
  <si>
    <t>BDA1305 </t>
  </si>
  <si>
    <t>BDA1308 </t>
  </si>
  <si>
    <t> TS13399256 </t>
  </si>
  <si>
    <t> TS13377328 </t>
  </si>
  <si>
    <t> TS13377329 </t>
  </si>
  <si>
    <t> （有）石井製作所 </t>
  </si>
  <si>
    <t>194812 </t>
  </si>
  <si>
    <t> 【ACL】Metal Contracting </t>
  </si>
  <si>
    <t>BDA1318 </t>
  </si>
  <si>
    <t>BDA1312 </t>
  </si>
  <si>
    <t> 【ACL】Bercomac </t>
  </si>
  <si>
    <t>BDA1316 </t>
  </si>
  <si>
    <t>BDA1311 </t>
  </si>
  <si>
    <t> ベトナム </t>
  </si>
  <si>
    <t> HG22302246 </t>
  </si>
  <si>
    <t> ＩＭＣ（株） </t>
  </si>
  <si>
    <t>194816 </t>
  </si>
  <si>
    <t>2026/10/24 </t>
  </si>
  <si>
    <t> HG22302247 </t>
  </si>
  <si>
    <t>194817 </t>
  </si>
  <si>
    <t>2026/10/28 </t>
  </si>
  <si>
    <t> HG22404202 </t>
  </si>
  <si>
    <t>2026/10/30 </t>
  </si>
  <si>
    <t> HG22404201 </t>
  </si>
  <si>
    <t>2026/10/20 </t>
  </si>
  <si>
    <t>2026/10/31 </t>
  </si>
  <si>
    <t>193788 </t>
  </si>
  <si>
    <t>193789 </t>
  </si>
  <si>
    <t>BDA1306 </t>
  </si>
  <si>
    <t>BDH0583 </t>
  </si>
  <si>
    <t>BDA1307 </t>
  </si>
  <si>
    <t>BDH0582 </t>
  </si>
  <si>
    <t>BDA1315 </t>
  </si>
  <si>
    <t>TW0508 </t>
  </si>
  <si>
    <t> TS62077156 </t>
  </si>
  <si>
    <t> TS13377331 </t>
  </si>
  <si>
    <t> TS82577283 </t>
  </si>
  <si>
    <t> TS82577282 </t>
  </si>
  <si>
    <t> TS60299191 </t>
  </si>
  <si>
    <t> 6/5:増産 </t>
  </si>
  <si>
    <t> TS13377330 </t>
  </si>
  <si>
    <t> アマダタイランド </t>
  </si>
  <si>
    <t> TS13377332 </t>
  </si>
  <si>
    <t> TS60299193 </t>
  </si>
  <si>
    <t> TS13399258 </t>
  </si>
  <si>
    <t> TS82577288 </t>
  </si>
  <si>
    <t> TS62077157 </t>
  </si>
  <si>
    <t> TS82577284 </t>
  </si>
  <si>
    <t> TS62077160 </t>
  </si>
  <si>
    <t> TS13399257 </t>
  </si>
  <si>
    <t> TS82577290 </t>
  </si>
  <si>
    <t> TS82577289 </t>
  </si>
  <si>
    <t> TS13329057 </t>
  </si>
  <si>
    <t> （株）スミヨシ </t>
  </si>
  <si>
    <t>194826 </t>
  </si>
  <si>
    <t>2026/10/21 </t>
  </si>
  <si>
    <t> TS60299197 </t>
  </si>
  <si>
    <t> TS13399261 </t>
  </si>
  <si>
    <t>2026/10/22 </t>
  </si>
  <si>
    <t> TS13399259 </t>
  </si>
  <si>
    <t>2026/10/23 </t>
  </si>
  <si>
    <t> TS82577292 </t>
  </si>
  <si>
    <t> TS60299199 </t>
  </si>
  <si>
    <t> TS13377333 </t>
  </si>
  <si>
    <t> TS13377334 </t>
  </si>
  <si>
    <t> TS13399262 </t>
  </si>
  <si>
    <t> TS60299200 </t>
  </si>
  <si>
    <t> TS82577291 </t>
  </si>
  <si>
    <t> TS60299203 </t>
  </si>
  <si>
    <t> TS62077158 </t>
  </si>
  <si>
    <t> TS82577285 </t>
  </si>
  <si>
    <t> TS13399260 </t>
  </si>
  <si>
    <t> TS13377338 </t>
  </si>
  <si>
    <t> TS62077159 </t>
  </si>
  <si>
    <t> TS13377336 </t>
  </si>
  <si>
    <t> TS13399263 </t>
  </si>
  <si>
    <t> TS82577286 </t>
  </si>
  <si>
    <t> TS13377337 </t>
  </si>
  <si>
    <t>2026/10/29 </t>
  </si>
  <si>
    <t> TS13377335 </t>
  </si>
  <si>
    <t> TS82577287 </t>
  </si>
  <si>
    <t>045 </t>
  </si>
  <si>
    <t> TS82577293 </t>
  </si>
  <si>
    <t>046 </t>
  </si>
  <si>
    <t> TS82577294 </t>
  </si>
  <si>
    <t>047 </t>
  </si>
  <si>
    <t>11月 </t>
  </si>
  <si>
    <t>2026/11/07 </t>
  </si>
  <si>
    <t>2026/11/04 </t>
  </si>
  <si>
    <t>2026/11/05 </t>
  </si>
  <si>
    <t>2026/11/06 </t>
  </si>
  <si>
    <t> TS62077166 </t>
  </si>
  <si>
    <t> TS62077165 </t>
  </si>
  <si>
    <t>2026/11/10 </t>
  </si>
  <si>
    <t> TS62077168 </t>
  </si>
  <si>
    <t>2026/11/11 </t>
  </si>
  <si>
    <t> TS62077162 </t>
  </si>
  <si>
    <t>2026/11/12 </t>
  </si>
  <si>
    <t> TS62077161 </t>
  </si>
  <si>
    <t>2026/11/13 </t>
  </si>
  <si>
    <t>2026/11/14 </t>
  </si>
  <si>
    <t> TS62077167 </t>
  </si>
  <si>
    <t> TS13377296 </t>
  </si>
  <si>
    <t> 【AAI】Sullair </t>
  </si>
  <si>
    <t>0G3556 </t>
  </si>
  <si>
    <t>BDA1250 </t>
  </si>
  <si>
    <t> TS62077163 </t>
  </si>
  <si>
    <t> TS62077164 </t>
  </si>
  <si>
    <t>2026/11/17 </t>
  </si>
  <si>
    <t>2026/11/18 </t>
  </si>
  <si>
    <t>2026/11/19 </t>
  </si>
  <si>
    <t>ASB0897 </t>
  </si>
  <si>
    <t>BDA1310 </t>
  </si>
  <si>
    <t> Bao Tien Industrial Company </t>
  </si>
  <si>
    <t>APH0355 </t>
  </si>
  <si>
    <t> 【CHINA】Delta </t>
  </si>
  <si>
    <t>CN0463 </t>
  </si>
  <si>
    <t>CN0462 </t>
  </si>
  <si>
    <t> HG17302383 </t>
  </si>
  <si>
    <t> HG22448036 </t>
  </si>
  <si>
    <t>ARm072 </t>
  </si>
  <si>
    <t> HG22402958 </t>
  </si>
  <si>
    <t> 【OCEANIA】TEMPERZONE </t>
  </si>
  <si>
    <t>OCE0067 </t>
  </si>
  <si>
    <t> HG22404203 </t>
  </si>
  <si>
    <t>CN0464 </t>
  </si>
  <si>
    <t>CN0465 </t>
  </si>
  <si>
    <t> HG22404205 </t>
  </si>
  <si>
    <t> 【AAI】Delta </t>
  </si>
  <si>
    <t>BDA1323 </t>
  </si>
  <si>
    <t>BDA1324 </t>
  </si>
  <si>
    <t>BDA1325 </t>
  </si>
  <si>
    <t>2026/11/21 </t>
  </si>
  <si>
    <t>2026/11/24 </t>
  </si>
  <si>
    <t> TY35065014 </t>
  </si>
  <si>
    <t>HRB3506 </t>
  </si>
  <si>
    <t> 墨東建材工業（株） </t>
  </si>
  <si>
    <t> HRB3506-J </t>
  </si>
  <si>
    <t>0D3185 </t>
  </si>
  <si>
    <t>182679 </t>
  </si>
  <si>
    <t> TY35045032 </t>
  </si>
  <si>
    <t> （株）林シャーリング </t>
  </si>
  <si>
    <t>182687 </t>
  </si>
  <si>
    <t>2026/11/26 </t>
  </si>
  <si>
    <t> TS10100112 </t>
  </si>
  <si>
    <t> TS10100113 </t>
  </si>
  <si>
    <t> 10200057 </t>
  </si>
  <si>
    <t> TS10100108 </t>
  </si>
  <si>
    <t> （株）山本製作所 </t>
  </si>
  <si>
    <t>EGBR108 </t>
  </si>
  <si>
    <t> 00800072 </t>
  </si>
  <si>
    <t>EGBRBT080E </t>
  </si>
  <si>
    <t>0G3682 </t>
  </si>
  <si>
    <t>2026/11/01 </t>
  </si>
  <si>
    <t> （株）イトミック環境システム </t>
  </si>
  <si>
    <t>194825 </t>
  </si>
  <si>
    <t>TW0507 </t>
  </si>
  <si>
    <t> TS41077212 </t>
  </si>
  <si>
    <t> TS61377157 </t>
  </si>
  <si>
    <t> TS60109112 </t>
  </si>
  <si>
    <t> TS41077213 </t>
  </si>
  <si>
    <t> TS60109113 </t>
  </si>
  <si>
    <t> TS61377160 </t>
  </si>
  <si>
    <t> TS61377161 </t>
  </si>
  <si>
    <t> TS61377158 </t>
  </si>
  <si>
    <t> TS61377159 </t>
  </si>
  <si>
    <t> TS41077214 </t>
  </si>
  <si>
    <t> TS61377162 </t>
  </si>
  <si>
    <t> TS41077215 </t>
  </si>
  <si>
    <t> TS41077216 </t>
  </si>
  <si>
    <t> TS60109108 </t>
  </si>
  <si>
    <t> EGB13076 </t>
  </si>
  <si>
    <t> EGB13077 </t>
  </si>
  <si>
    <t> EGB40056 </t>
  </si>
  <si>
    <t> EGB40057 </t>
  </si>
  <si>
    <t> EGRE6039 </t>
  </si>
  <si>
    <t> EGRE6040 </t>
  </si>
  <si>
    <t>2026/11/27 </t>
  </si>
  <si>
    <t> EGRB1039 </t>
  </si>
  <si>
    <t> EGRB1040 </t>
  </si>
  <si>
    <t>2026/11/28 </t>
  </si>
  <si>
    <t>BDA1343 </t>
  </si>
  <si>
    <t>BDA1334 </t>
  </si>
  <si>
    <t>BDA1332 </t>
  </si>
  <si>
    <t>BDA1328 </t>
  </si>
  <si>
    <t> フクシマガリレイ（株） </t>
  </si>
  <si>
    <t>194881 </t>
  </si>
  <si>
    <t> 【ベトナム】Department of Metrology &amp; St </t>
  </si>
  <si>
    <t>ASB0901 </t>
  </si>
  <si>
    <t>BDA1326 </t>
  </si>
  <si>
    <t>194883 </t>
  </si>
  <si>
    <t>194882 </t>
  </si>
  <si>
    <t> 【TAIWAN】展示機 </t>
  </si>
  <si>
    <t>TW0511 </t>
  </si>
  <si>
    <t>BDA1329 </t>
  </si>
  <si>
    <t>BDA1327 </t>
  </si>
  <si>
    <t> （株）共和電機製作所 </t>
  </si>
  <si>
    <t>194875 </t>
  </si>
  <si>
    <t>BDA1337 </t>
  </si>
  <si>
    <t>BDA1338 </t>
  </si>
  <si>
    <t>TW0510 </t>
  </si>
  <si>
    <t>194884 </t>
  </si>
  <si>
    <t>BDA1344 </t>
  </si>
  <si>
    <t>BDA1345 </t>
  </si>
  <si>
    <t> （株）新興産業 </t>
  </si>
  <si>
    <t>194878 </t>
  </si>
  <si>
    <t>ASP0300 </t>
  </si>
  <si>
    <t> アートテックス（株） </t>
  </si>
  <si>
    <t>194877 </t>
  </si>
  <si>
    <t> 大和冷機工業（株） </t>
  </si>
  <si>
    <t>194885 </t>
  </si>
  <si>
    <t> TS60299204 </t>
  </si>
  <si>
    <t> TS13329058 </t>
  </si>
  <si>
    <t> TS60299205 </t>
  </si>
  <si>
    <t> TS13399264 </t>
  </si>
  <si>
    <t> TS13399269 </t>
  </si>
  <si>
    <t> TS13377339 </t>
  </si>
  <si>
    <t> TS13377340 </t>
  </si>
  <si>
    <t> TS13399270 </t>
  </si>
  <si>
    <t> TS82577295 </t>
  </si>
  <si>
    <t> TS82577296 </t>
  </si>
  <si>
    <t> TS13399265 </t>
  </si>
  <si>
    <t> TS13377341 </t>
  </si>
  <si>
    <t> TS60299206 </t>
  </si>
  <si>
    <t> TS13377343 </t>
  </si>
  <si>
    <t> 遠藤工業（株） </t>
  </si>
  <si>
    <t>194876 </t>
  </si>
  <si>
    <t> TS60299207 </t>
  </si>
  <si>
    <t> TS13399271 </t>
  </si>
  <si>
    <t> TS13377344 </t>
  </si>
  <si>
    <t> TS82577300 </t>
  </si>
  <si>
    <t> （株）新電機製作所 </t>
  </si>
  <si>
    <t>194874 </t>
  </si>
  <si>
    <t> TS13399266 </t>
  </si>
  <si>
    <t> TS13377342 </t>
  </si>
  <si>
    <t> TS13377345 </t>
  </si>
  <si>
    <t> TS82577301 </t>
  </si>
  <si>
    <t> （有）山口製作所 </t>
  </si>
  <si>
    <t>194873 </t>
  </si>
  <si>
    <t> TS13399272 </t>
  </si>
  <si>
    <t>2026/11/20 </t>
  </si>
  <si>
    <t> TS13377347 </t>
  </si>
  <si>
    <t> TS13377346 </t>
  </si>
  <si>
    <t> TS60299208 </t>
  </si>
  <si>
    <t> TS82577302 </t>
  </si>
  <si>
    <t> TS82577304 </t>
  </si>
  <si>
    <t> TS82577303 </t>
  </si>
  <si>
    <t> TS13399267 </t>
  </si>
  <si>
    <t> TS82577297 </t>
  </si>
  <si>
    <t> TS60299209 </t>
  </si>
  <si>
    <t>2026/11/25 </t>
  </si>
  <si>
    <t>194871 </t>
  </si>
  <si>
    <t> TS82577298 </t>
  </si>
  <si>
    <t>194872 </t>
  </si>
  <si>
    <t> TS82577299 </t>
  </si>
  <si>
    <t> TS13399268 </t>
  </si>
  <si>
    <t>CN0493 </t>
  </si>
  <si>
    <t> TS13329060 </t>
  </si>
  <si>
    <t>12月 </t>
  </si>
  <si>
    <t>2026/12/02 </t>
  </si>
  <si>
    <t> TS13329059 </t>
  </si>
  <si>
    <t>2026/12/08 </t>
  </si>
  <si>
    <t> TS60299210 </t>
  </si>
  <si>
    <t>2026/12/01 </t>
  </si>
  <si>
    <t> TS60299211 </t>
  </si>
  <si>
    <t> TS13399279 </t>
  </si>
  <si>
    <t>2026/12/03 </t>
  </si>
  <si>
    <t> TS13399280 </t>
  </si>
  <si>
    <t>2026/12/04 </t>
  </si>
  <si>
    <t> TS62077170 </t>
  </si>
  <si>
    <t> TS62077171 </t>
  </si>
  <si>
    <t> TS13399281 </t>
  </si>
  <si>
    <t>2026/12/05 </t>
  </si>
  <si>
    <t> TS13377349 </t>
  </si>
  <si>
    <t> TS13377348 </t>
  </si>
  <si>
    <t> TS13399273 </t>
  </si>
  <si>
    <t> TS62077175 </t>
  </si>
  <si>
    <t> TS62077176 </t>
  </si>
  <si>
    <t> TS13399282 </t>
  </si>
  <si>
    <t> TS13377350 </t>
  </si>
  <si>
    <t> TS13399274 </t>
  </si>
  <si>
    <t> TS60299212 </t>
  </si>
  <si>
    <t> TS62077172 </t>
  </si>
  <si>
    <t> TS60299213 </t>
  </si>
  <si>
    <t>2026/12/09 </t>
  </si>
  <si>
    <t> TS82577306 </t>
  </si>
  <si>
    <t> TS82577305 </t>
  </si>
  <si>
    <t> TS60299214 </t>
  </si>
  <si>
    <t>2026/12/10 </t>
  </si>
  <si>
    <t> TS62077169 </t>
  </si>
  <si>
    <t> エナジーウィズ（株） </t>
  </si>
  <si>
    <t>194831 </t>
  </si>
  <si>
    <t> TS82577309 </t>
  </si>
  <si>
    <t> TS62077173 </t>
  </si>
  <si>
    <t> TS62077174 </t>
  </si>
  <si>
    <t> TS82577307 </t>
  </si>
  <si>
    <t> TS82577308 </t>
  </si>
  <si>
    <t> TS62077177 </t>
  </si>
  <si>
    <t> TS13399275 </t>
  </si>
  <si>
    <t>2026/12/12 </t>
  </si>
  <si>
    <t> TS13377354 </t>
  </si>
  <si>
    <t> TS13399276 </t>
  </si>
  <si>
    <t>2026/12/15 </t>
  </si>
  <si>
    <t> TS13377352 </t>
  </si>
  <si>
    <t> TS13377353 </t>
  </si>
  <si>
    <t> TS13377351 </t>
  </si>
  <si>
    <t> TS13377355 </t>
  </si>
  <si>
    <t> TS82577311 </t>
  </si>
  <si>
    <t> （株）イコマ・メカニカル </t>
  </si>
  <si>
    <t>194868 </t>
  </si>
  <si>
    <t> TS13399277 </t>
  </si>
  <si>
    <t>2026/12/16 </t>
  </si>
  <si>
    <t> TS82577310 </t>
  </si>
  <si>
    <t>2026/12/11 </t>
  </si>
  <si>
    <t> TS13377356 </t>
  </si>
  <si>
    <t> TS82577312 </t>
  </si>
  <si>
    <t> TS13399278 </t>
  </si>
  <si>
    <t>2026/12/17 </t>
  </si>
  <si>
    <t> TS13377357 </t>
  </si>
  <si>
    <t> TS82577313 </t>
  </si>
  <si>
    <t> TS82577314 </t>
  </si>
  <si>
    <t> HG22402962 </t>
  </si>
  <si>
    <t> HG22402963 </t>
  </si>
  <si>
    <t> HG22402961 </t>
  </si>
  <si>
    <t> （株）日立アイイーシステム </t>
  </si>
  <si>
    <t>194845 </t>
  </si>
  <si>
    <t> HG22402969 </t>
  </si>
  <si>
    <t>BDA1330 </t>
  </si>
  <si>
    <t> HG22402970 </t>
  </si>
  <si>
    <t>BDA1331 </t>
  </si>
  <si>
    <t> HG22402971 </t>
  </si>
  <si>
    <t>BDA1335 </t>
  </si>
  <si>
    <t> HG22402964 </t>
  </si>
  <si>
    <t> HG22402965 </t>
  </si>
  <si>
    <t> HG22402966 </t>
  </si>
  <si>
    <t> HG22402967 </t>
  </si>
  <si>
    <t> HG22402968 </t>
  </si>
  <si>
    <t> HG22402959 </t>
  </si>
  <si>
    <t> HG22402960 </t>
  </si>
  <si>
    <t> HG22302248 </t>
  </si>
  <si>
    <t> HG22302249 </t>
  </si>
  <si>
    <t> HG22402972 </t>
  </si>
  <si>
    <t> 【ベトナム】Foxconnベトナム </t>
  </si>
  <si>
    <t>ASP0296 </t>
  </si>
  <si>
    <t> HG22402973 </t>
  </si>
  <si>
    <t>ASP0297 </t>
  </si>
  <si>
    <t> HG22402974 </t>
  </si>
  <si>
    <t>ASP0298 </t>
  </si>
  <si>
    <t> HG22402975 </t>
  </si>
  <si>
    <t>ASP0299 </t>
  </si>
  <si>
    <t> HG22402980 </t>
  </si>
  <si>
    <t> HG22402976 </t>
  </si>
  <si>
    <t> HG22402977 </t>
  </si>
  <si>
    <t> HG17302384 </t>
  </si>
  <si>
    <t> HG17302385 </t>
  </si>
  <si>
    <t> HG22402978 </t>
  </si>
  <si>
    <t>2026/12/18 </t>
  </si>
  <si>
    <t> HG22402979 </t>
  </si>
  <si>
    <t>2026/12/22 </t>
  </si>
  <si>
    <t> TY35065013 </t>
  </si>
  <si>
    <t> （株）ソーゴ </t>
  </si>
  <si>
    <t>0G4304 </t>
  </si>
  <si>
    <t>193760 </t>
  </si>
  <si>
    <t>BDA1333 </t>
  </si>
  <si>
    <t>CN0483 </t>
  </si>
  <si>
    <t> TS10100114 </t>
  </si>
  <si>
    <t> （株）秋田マシナリー </t>
  </si>
  <si>
    <t>EGBR114 </t>
  </si>
  <si>
    <t> TS10100115 </t>
  </si>
  <si>
    <t> 10200058 </t>
  </si>
  <si>
    <t> TS10100116 </t>
  </si>
  <si>
    <t> TS10100117 </t>
  </si>
  <si>
    <t> TS10100118 </t>
  </si>
  <si>
    <t> 10200060 </t>
  </si>
  <si>
    <t> AP23251003 </t>
  </si>
  <si>
    <t>2027/01/05 </t>
  </si>
  <si>
    <t> 10200059 </t>
  </si>
  <si>
    <t> TS10100109 </t>
  </si>
  <si>
    <t> （株）エスイージー </t>
  </si>
  <si>
    <t>EGBR109 </t>
  </si>
  <si>
    <t> TS10100121 </t>
  </si>
  <si>
    <t> TS10100119 </t>
  </si>
  <si>
    <t> TS10100120 </t>
  </si>
  <si>
    <t> TS10100122 </t>
  </si>
  <si>
    <t>CN0480 </t>
  </si>
  <si>
    <t>BDA1301 </t>
  </si>
  <si>
    <t>BDA1302 </t>
  </si>
  <si>
    <t> （有）松岡製作所 </t>
  </si>
  <si>
    <t>194870 </t>
  </si>
  <si>
    <t>BDA1341 </t>
  </si>
  <si>
    <t>BDA1342 </t>
  </si>
  <si>
    <t>BDA1339 </t>
  </si>
  <si>
    <t>BDA1340 </t>
  </si>
  <si>
    <t> TS41077217 </t>
  </si>
  <si>
    <t> TS41077218 </t>
  </si>
  <si>
    <t> TS60109114 </t>
  </si>
  <si>
    <t> TS61377163 </t>
  </si>
  <si>
    <t> TS60109115 </t>
  </si>
  <si>
    <t> TS41077220 </t>
  </si>
  <si>
    <t> TS41077221 </t>
  </si>
  <si>
    <t> TS60109116 </t>
  </si>
  <si>
    <t> TS61377166 </t>
  </si>
  <si>
    <t> TS61377167 </t>
  </si>
  <si>
    <t> TS61377168 </t>
  </si>
  <si>
    <t> TS60109117 </t>
  </si>
  <si>
    <t> TS60109118 </t>
  </si>
  <si>
    <t> TS41077219 </t>
  </si>
  <si>
    <t> TS61377164 </t>
  </si>
  <si>
    <t> TS41077222 </t>
  </si>
  <si>
    <t> TS61377165 </t>
  </si>
  <si>
    <t> TS60109109 </t>
  </si>
  <si>
    <t> TS41077223 </t>
  </si>
  <si>
    <t> TS41077224 </t>
  </si>
  <si>
    <t> TS41077227 </t>
  </si>
  <si>
    <t> TS60109121 </t>
  </si>
  <si>
    <t> TS41077225 </t>
  </si>
  <si>
    <t> TS60109119 </t>
  </si>
  <si>
    <t> TS41077226 </t>
  </si>
  <si>
    <t> TS41077228 </t>
  </si>
  <si>
    <t> TS61377169 </t>
  </si>
  <si>
    <t> TS61377170 </t>
  </si>
  <si>
    <t> TS60109120 </t>
  </si>
  <si>
    <t> TS61377171 </t>
  </si>
  <si>
    <t> TS41077229 </t>
  </si>
  <si>
    <t> TS60109122 </t>
  </si>
  <si>
    <t> TS41077230 </t>
  </si>
  <si>
    <t> TS41077231 </t>
  </si>
  <si>
    <t> TS61377172 </t>
  </si>
  <si>
    <t> TS61377173 </t>
  </si>
  <si>
    <t>EGBAT074 </t>
  </si>
  <si>
    <t>EGBAT075 </t>
  </si>
  <si>
    <t>EGBE089 </t>
  </si>
  <si>
    <t>EGBE090 </t>
  </si>
  <si>
    <t> 【インド】AEROTYNE INDUSTRY PVT LTD. </t>
  </si>
  <si>
    <t>BDH0619 </t>
  </si>
  <si>
    <t>ASB0904 </t>
  </si>
  <si>
    <t>ASB0905 </t>
  </si>
  <si>
    <t>048 </t>
  </si>
  <si>
    <t>BDA1360 </t>
  </si>
  <si>
    <t>BDA1357 </t>
  </si>
  <si>
    <t>BDA1361 </t>
  </si>
  <si>
    <t> 横河マニュファクチャリング（株） </t>
  </si>
  <si>
    <t>194898 </t>
  </si>
  <si>
    <t> TS60299215 </t>
  </si>
  <si>
    <t>2026/12/24 </t>
  </si>
  <si>
    <t> TS60299216 </t>
  </si>
  <si>
    <t>2026/12/25 </t>
  </si>
  <si>
    <t> TS60299217 </t>
  </si>
  <si>
    <t> TS60299218 </t>
  </si>
  <si>
    <t>2026/12/26 </t>
  </si>
  <si>
    <t> TS62077180 </t>
  </si>
  <si>
    <t> TS62077181 </t>
  </si>
  <si>
    <t> TS62077179 </t>
  </si>
  <si>
    <t> TS62077178 </t>
  </si>
  <si>
    <t>BDA1362 </t>
  </si>
  <si>
    <t>BDA1363 </t>
  </si>
  <si>
    <t> （株）日越工業 </t>
  </si>
  <si>
    <t>194897 </t>
  </si>
  <si>
    <t>BDA1358 </t>
  </si>
  <si>
    <t>BDA1359 </t>
  </si>
  <si>
    <t> （株）一関ＬＩＸＩＬ製作所 </t>
  </si>
  <si>
    <t> （株）モハラテクニカ </t>
  </si>
  <si>
    <t>195918 </t>
  </si>
  <si>
    <t>EGBAT076 </t>
  </si>
  <si>
    <t>EGBAT077 </t>
  </si>
  <si>
    <t>EGBE091 </t>
  </si>
  <si>
    <t>EGBE092 </t>
  </si>
  <si>
    <t> EGRB1041 </t>
  </si>
  <si>
    <t> EGRB1042 </t>
  </si>
  <si>
    <t> EGB40058 </t>
  </si>
  <si>
    <t> EGB40059 </t>
  </si>
  <si>
    <t> EGB13078 </t>
  </si>
  <si>
    <t> EGRB2020 </t>
  </si>
  <si>
    <t> EGB13079 </t>
  </si>
  <si>
    <t> EGRB2021 </t>
  </si>
  <si>
    <t> EGRE6041 </t>
  </si>
  <si>
    <t> EGAR3020 </t>
  </si>
  <si>
    <t> EGRE6042 </t>
  </si>
  <si>
    <t> EGAR3021 </t>
  </si>
  <si>
    <t>BDA1352 </t>
  </si>
  <si>
    <t> 【タイ】Taiwan Metal Precision(Thailand) </t>
  </si>
  <si>
    <t>ASB0906 </t>
  </si>
  <si>
    <t>BDA1347 </t>
  </si>
  <si>
    <t> （株）広島メタルワーク </t>
  </si>
  <si>
    <t>195950 </t>
  </si>
  <si>
    <t>BDA1348 </t>
  </si>
  <si>
    <t>TW0525 </t>
  </si>
  <si>
    <t>BDA1349 </t>
  </si>
  <si>
    <t>BDA1350 </t>
  </si>
  <si>
    <t>BDA1366 </t>
  </si>
  <si>
    <t>ASB0913 </t>
  </si>
  <si>
    <t>BDA1353 </t>
  </si>
  <si>
    <t>2026/11/09 </t>
  </si>
  <si>
    <t> 秋元ステンレス工業（株） </t>
  </si>
  <si>
    <t>195962 </t>
  </si>
  <si>
    <t>BDA1373 </t>
  </si>
  <si>
    <t>BDA1372 </t>
  </si>
  <si>
    <t>BDA1354 </t>
  </si>
  <si>
    <t> （株）摂津金属工業所 </t>
  </si>
  <si>
    <t>195937 </t>
  </si>
  <si>
    <t>BDA1374 </t>
  </si>
  <si>
    <t> （株）ＩＬＣ </t>
  </si>
  <si>
    <t>195920 </t>
  </si>
  <si>
    <t>BDA1355 </t>
  </si>
  <si>
    <t> 鹿児島ケース（株） </t>
  </si>
  <si>
    <t>195939 </t>
  </si>
  <si>
    <t>BDA1376 </t>
  </si>
  <si>
    <t> 徳山興産（株） </t>
  </si>
  <si>
    <t>195919 </t>
  </si>
  <si>
    <t>BDA1364 </t>
  </si>
  <si>
    <t> 日崎工業（株） </t>
  </si>
  <si>
    <t>195932 </t>
  </si>
  <si>
    <t> （株）ツガワ </t>
  </si>
  <si>
    <t>195921 </t>
  </si>
  <si>
    <t>BDA1356 </t>
  </si>
  <si>
    <t> 三菱重工サーマルシステムズ（株） </t>
  </si>
  <si>
    <t>195972 </t>
  </si>
  <si>
    <t>BDA1367 </t>
  </si>
  <si>
    <t>BDA1375 </t>
  </si>
  <si>
    <t> （有）徳永商店 </t>
  </si>
  <si>
    <t>195910 </t>
  </si>
  <si>
    <t> （株）八代製作所 </t>
  </si>
  <si>
    <t>195933 </t>
  </si>
  <si>
    <t>BDA1377 </t>
  </si>
  <si>
    <t>BDA1383 </t>
  </si>
  <si>
    <t>BDA1384 </t>
  </si>
  <si>
    <t>BDA1385 </t>
  </si>
  <si>
    <t>BDA1406 </t>
  </si>
  <si>
    <t>BDA1407 </t>
  </si>
  <si>
    <t>BDA1389 </t>
  </si>
  <si>
    <t>BDA1378 </t>
  </si>
  <si>
    <t>195938 </t>
  </si>
  <si>
    <t>BDA1408 </t>
  </si>
  <si>
    <t>BDA1379 </t>
  </si>
  <si>
    <t>BDA1409 </t>
  </si>
  <si>
    <t>BDA1410 </t>
  </si>
  <si>
    <t>BDA1380 </t>
  </si>
  <si>
    <t>BDA1399 </t>
  </si>
  <si>
    <t>BDA1411 </t>
  </si>
  <si>
    <t>BDA1381 </t>
  </si>
  <si>
    <t>BDA1382 </t>
  </si>
  <si>
    <t>BDA1405 </t>
  </si>
  <si>
    <t>BDA1400 </t>
  </si>
  <si>
    <t>BDA1392 </t>
  </si>
  <si>
    <t>2026/12/19 </t>
  </si>
  <si>
    <t>BDA1391 </t>
  </si>
  <si>
    <t>BDA1398 </t>
  </si>
  <si>
    <t>0G4678 </t>
  </si>
  <si>
    <t>01月 </t>
  </si>
  <si>
    <t> TS13329061 </t>
  </si>
  <si>
    <t>2027/01/06 </t>
  </si>
  <si>
    <t> TS13329062 </t>
  </si>
  <si>
    <t>2027/01/07 </t>
  </si>
  <si>
    <t>2027/01/08 </t>
  </si>
  <si>
    <t> TS13399283 </t>
  </si>
  <si>
    <t> TS13399285 </t>
  </si>
  <si>
    <t>2027/01/09 </t>
  </si>
  <si>
    <t>2027/01/12 </t>
  </si>
  <si>
    <t>2027/01/13 </t>
  </si>
  <si>
    <t>2027/01/14 </t>
  </si>
  <si>
    <t> TS62077182 </t>
  </si>
  <si>
    <t> TS62077183 </t>
  </si>
  <si>
    <t>2026/12/23 </t>
  </si>
  <si>
    <t>2027/01/15 </t>
  </si>
  <si>
    <t>2027/01/16 </t>
  </si>
  <si>
    <t> TS82577315 </t>
  </si>
  <si>
    <t>2027/01/19 </t>
  </si>
  <si>
    <t> TS82577316 </t>
  </si>
  <si>
    <t>2027/01/20 </t>
  </si>
  <si>
    <t>2027/01/21 </t>
  </si>
  <si>
    <t> TS82577317 </t>
  </si>
  <si>
    <t> TS13377358 </t>
  </si>
  <si>
    <t> （株）日立ハイテクマニファクチャ＆サービ </t>
  </si>
  <si>
    <t>195931 </t>
  </si>
  <si>
    <t>2027/01/22 </t>
  </si>
  <si>
    <t>2027/01/23 </t>
  </si>
  <si>
    <t>2027/01/26 </t>
  </si>
  <si>
    <t>2027/01/27 </t>
  </si>
  <si>
    <t> 引当解除 2026- </t>
  </si>
  <si>
    <t>2027/01/28 </t>
  </si>
  <si>
    <t> 日野自動車（株） </t>
  </si>
  <si>
    <t>195970 </t>
  </si>
  <si>
    <t>2027/01/29 </t>
  </si>
  <si>
    <t>2027/01/30 </t>
  </si>
  <si>
    <t>BDA1368 </t>
  </si>
  <si>
    <t>BDA1388 </t>
  </si>
  <si>
    <t> （株）小山金属 </t>
  </si>
  <si>
    <t>195929 </t>
  </si>
  <si>
    <t>BDA1403 </t>
  </si>
  <si>
    <t>BDA1412 </t>
  </si>
  <si>
    <t>BDA1386 </t>
  </si>
  <si>
    <t>BDA1402 </t>
  </si>
  <si>
    <t>BDA1404 </t>
  </si>
  <si>
    <t>BDA1413 </t>
  </si>
  <si>
    <t> HG22402981 </t>
  </si>
  <si>
    <t> HG22402982 </t>
  </si>
  <si>
    <t> HG22302250 </t>
  </si>
  <si>
    <t> 筑波工業（株） </t>
  </si>
  <si>
    <t>194895 </t>
  </si>
  <si>
    <t> HG17302386 </t>
  </si>
  <si>
    <t> TY35045033 </t>
  </si>
  <si>
    <t> （株）イハラ </t>
  </si>
  <si>
    <t>0G4497 </t>
  </si>
  <si>
    <t>194819 </t>
  </si>
  <si>
    <t> TY35045035 </t>
  </si>
  <si>
    <t> 東洋シヤッター（株） </t>
  </si>
  <si>
    <t>195903 </t>
  </si>
  <si>
    <t> TY35045034 </t>
  </si>
  <si>
    <t>HRBC3504 </t>
  </si>
  <si>
    <t> HRBC3504-E </t>
  </si>
  <si>
    <t>0G4759 </t>
  </si>
  <si>
    <t>CN0495 </t>
  </si>
  <si>
    <t> TY35035021 </t>
  </si>
  <si>
    <t> 山崎金属工業（株） </t>
  </si>
  <si>
    <t>0G4906 </t>
  </si>
  <si>
    <t>193761 </t>
  </si>
  <si>
    <t> TBR2500-J </t>
  </si>
  <si>
    <t> 【ベトナム】Tanaka Vietnam Co., Ltd </t>
  </si>
  <si>
    <t>ASB0914 </t>
  </si>
  <si>
    <t> （株）ＳＡＮＭＡＴＳＵ </t>
  </si>
  <si>
    <t>EGBR123 </t>
  </si>
  <si>
    <t> 10200061 </t>
  </si>
  <si>
    <t> 10200062 </t>
  </si>
  <si>
    <t>195948 </t>
  </si>
  <si>
    <t>195947 </t>
  </si>
  <si>
    <t>BDA1346 </t>
  </si>
  <si>
    <t>BDA1371 </t>
  </si>
  <si>
    <t> Ａｍａｄａ　（Ｉｎｄｉａ）　Ｐｖｔ．　Ｌ </t>
  </si>
  <si>
    <t>BDH0622 </t>
  </si>
  <si>
    <t>BDA1369 </t>
  </si>
  <si>
    <t>BDA1365 </t>
  </si>
  <si>
    <t>BDA1370 </t>
  </si>
  <si>
    <t>BDA1395 </t>
  </si>
  <si>
    <t>BDA1396 </t>
  </si>
  <si>
    <t>BDA1397 </t>
  </si>
  <si>
    <t>BDA1393 </t>
  </si>
  <si>
    <t>BDA1394 </t>
  </si>
  <si>
    <t>EGBRB639 </t>
  </si>
  <si>
    <t>EGBRE039 </t>
  </si>
  <si>
    <t>EGBRE040 </t>
  </si>
  <si>
    <t>EGBRB640 </t>
  </si>
  <si>
    <t> EGRB1043 </t>
  </si>
  <si>
    <t> EGB40060 </t>
  </si>
  <si>
    <t> EGB40061 </t>
  </si>
  <si>
    <t> EGRE6043 </t>
  </si>
  <si>
    <t> EGB80008 </t>
  </si>
  <si>
    <t> EGB80009 </t>
  </si>
  <si>
    <t> 関東精工（株） </t>
  </si>
  <si>
    <t>195996 </t>
  </si>
  <si>
    <t> だいわ（株） </t>
  </si>
  <si>
    <t> （株）バンテクニカ </t>
  </si>
  <si>
    <t>195990 </t>
  </si>
  <si>
    <t> 【ベトナム】ACIT </t>
  </si>
  <si>
    <t>ASB0917 </t>
  </si>
  <si>
    <t>ASB0918 </t>
  </si>
  <si>
    <t> （株）ケーテック </t>
  </si>
  <si>
    <t>206012 </t>
  </si>
  <si>
    <t> 【タイ】Karwin Thai Advanced Technology </t>
  </si>
  <si>
    <t>ASB0916 </t>
  </si>
  <si>
    <t> 旭陽電機（株） </t>
  </si>
  <si>
    <t>195989 </t>
  </si>
  <si>
    <t>ASB0915 </t>
  </si>
  <si>
    <t>TW0535 </t>
  </si>
  <si>
    <t> （株）ヤマイチ </t>
  </si>
  <si>
    <t>ARE060 </t>
  </si>
  <si>
    <t> 絹川工業（株） </t>
  </si>
  <si>
    <t>195983 </t>
  </si>
  <si>
    <t>BDA1390 </t>
  </si>
  <si>
    <t> TS13329063 </t>
  </si>
  <si>
    <t> TS60299223 </t>
  </si>
  <si>
    <t> TS60299224 </t>
  </si>
  <si>
    <t> TS13399286 </t>
  </si>
  <si>
    <t> TS60299219 </t>
  </si>
  <si>
    <t> TS13399287 </t>
  </si>
  <si>
    <t> TS60299220 </t>
  </si>
  <si>
    <t> TS60299221 </t>
  </si>
  <si>
    <t> TS60299222 </t>
  </si>
  <si>
    <t> TS62077188 </t>
  </si>
  <si>
    <t> TS62077189 </t>
  </si>
  <si>
    <t> TS62077185 </t>
  </si>
  <si>
    <t> 米海軍横須賀艦船修理廠 </t>
  </si>
  <si>
    <t>195998 </t>
  </si>
  <si>
    <t> TS13377363 </t>
  </si>
  <si>
    <t> TS13377364 </t>
  </si>
  <si>
    <t> TS13377365 </t>
  </si>
  <si>
    <t> 【フィリピン】GLORY PHILIPPINES </t>
  </si>
  <si>
    <t>BDH0629 </t>
  </si>
  <si>
    <t> TS13377366 </t>
  </si>
  <si>
    <t> TS13377367 </t>
  </si>
  <si>
    <t> TS13377368 </t>
  </si>
  <si>
    <t> TS13377369 </t>
  </si>
  <si>
    <t> TS62077186 </t>
  </si>
  <si>
    <t> TS82577319 </t>
  </si>
  <si>
    <t> TS62077187 </t>
  </si>
  <si>
    <t> TS13377362 </t>
  </si>
  <si>
    <t> TS13377361 </t>
  </si>
  <si>
    <t> TS82577321 </t>
  </si>
  <si>
    <t> TS82577320 </t>
  </si>
  <si>
    <t> （有）共伸テクニカル </t>
  </si>
  <si>
    <t>195978 </t>
  </si>
  <si>
    <t>BDA1401 </t>
  </si>
  <si>
    <t> HG17302387 </t>
  </si>
  <si>
    <t> HG17402208 </t>
  </si>
  <si>
    <t> HG22402983 </t>
  </si>
  <si>
    <t> HG22402984 </t>
  </si>
  <si>
    <t> HG22402986 </t>
  </si>
  <si>
    <t> HG22402987 </t>
  </si>
  <si>
    <t>0G5073 </t>
  </si>
  <si>
    <t> （株）新生工業 </t>
  </si>
  <si>
    <t>EGBR119 </t>
  </si>
  <si>
    <t>CN0509 </t>
  </si>
  <si>
    <t>BDA1387 </t>
  </si>
  <si>
    <t> 10200063 </t>
  </si>
  <si>
    <t> エスティケイテクノロジー（株） </t>
  </si>
  <si>
    <t>195980 </t>
  </si>
  <si>
    <t> （株）土屋熔接 </t>
  </si>
  <si>
    <t>194890 </t>
  </si>
  <si>
    <t> （株）セイコウシャ </t>
  </si>
  <si>
    <t>195977 </t>
  </si>
  <si>
    <t>195982 </t>
  </si>
  <si>
    <t>195981 </t>
  </si>
  <si>
    <t> （株）トーカイパネル </t>
  </si>
  <si>
    <t>194811 </t>
  </si>
  <si>
    <t>TW0532 </t>
  </si>
  <si>
    <t> 日本プレート精工（株） </t>
  </si>
  <si>
    <t>195994 </t>
  </si>
  <si>
    <t>EGBRB641 </t>
  </si>
  <si>
    <t>EGBE093 </t>
  </si>
  <si>
    <t>EGBE094 </t>
  </si>
  <si>
    <t>EGBAT078 </t>
  </si>
  <si>
    <t>EGBAT079 </t>
  </si>
  <si>
    <t>EGBRB642 </t>
  </si>
  <si>
    <t>EGBRB020 </t>
  </si>
  <si>
    <t>EGBRE041 </t>
  </si>
  <si>
    <t>EGBAR020 </t>
  </si>
  <si>
    <t>EGBRE042 </t>
  </si>
  <si>
    <t>EGBAR021 </t>
  </si>
  <si>
    <t>EGBRB021 </t>
  </si>
  <si>
    <t> アマダアジアパシフィック </t>
  </si>
  <si>
    <t> 【ベトナム】LEO VN </t>
  </si>
  <si>
    <t>ASB0925 </t>
  </si>
  <si>
    <t> 【ベトナム】KAI METAL </t>
  </si>
  <si>
    <t>ASB0928 </t>
  </si>
  <si>
    <t> （株）大島 </t>
  </si>
  <si>
    <t>206034 </t>
  </si>
  <si>
    <t> 木村電子工業（株） </t>
  </si>
  <si>
    <t>206031 </t>
  </si>
  <si>
    <t>TW0538 </t>
  </si>
  <si>
    <t> 太洋工業（株） </t>
  </si>
  <si>
    <t>ARE063 </t>
  </si>
  <si>
    <t> 【CHINA】昆山栄科 </t>
  </si>
  <si>
    <t>CN0537 </t>
  </si>
  <si>
    <t> 【ブラジル】EXPOMAFE（公共展） </t>
  </si>
  <si>
    <t>BDH0639 </t>
  </si>
  <si>
    <t> 【CHINA】蘇州鉄拓机械 </t>
  </si>
  <si>
    <t>CN0538 </t>
  </si>
  <si>
    <t>TW0542 </t>
  </si>
  <si>
    <t> 【CHINA】深セン市君瀚承科技有限公司 </t>
  </si>
  <si>
    <t>CN0535 </t>
  </si>
  <si>
    <t> 【CHINA】新郷市祥和精密機械有限公司 </t>
  </si>
  <si>
    <t>CN0536 </t>
  </si>
  <si>
    <t>BDA1414 </t>
  </si>
  <si>
    <t>BDA1434 </t>
  </si>
  <si>
    <t> TS13399302 </t>
  </si>
  <si>
    <t> 【マレーシア】Humanetics Precision Metal </t>
  </si>
  <si>
    <t>ASB0920 </t>
  </si>
  <si>
    <t> TS60299236 </t>
  </si>
  <si>
    <t>ASB0921 </t>
  </si>
  <si>
    <t>CN0540 </t>
  </si>
  <si>
    <t>CN0541 </t>
  </si>
  <si>
    <t>ASB0922 </t>
  </si>
  <si>
    <t>BDA1435 </t>
  </si>
  <si>
    <t>BDA1436 </t>
  </si>
  <si>
    <t> TS62077201 </t>
  </si>
  <si>
    <t> TS62077202 </t>
  </si>
  <si>
    <t>206024 </t>
  </si>
  <si>
    <t> TS13377386 </t>
  </si>
  <si>
    <t>049 </t>
  </si>
  <si>
    <t> TS13329064 </t>
  </si>
  <si>
    <t>02月 </t>
  </si>
  <si>
    <t>2027/02/02 </t>
  </si>
  <si>
    <t> TS13329065 </t>
  </si>
  <si>
    <t> （株）アスカ </t>
  </si>
  <si>
    <t>ARE065 </t>
  </si>
  <si>
    <t> TS13329066 </t>
  </si>
  <si>
    <t>2027/02/03 </t>
  </si>
  <si>
    <t> TS13399288 </t>
  </si>
  <si>
    <t> TS13399289 </t>
  </si>
  <si>
    <t> TS13399290 </t>
  </si>
  <si>
    <t> TS13399291 </t>
  </si>
  <si>
    <t> TS13399292 </t>
  </si>
  <si>
    <t> TS13399293 </t>
  </si>
  <si>
    <t> TS13399294 </t>
  </si>
  <si>
    <t> TS13399304 </t>
  </si>
  <si>
    <t> TS13399303 </t>
  </si>
  <si>
    <t> TS60299225 </t>
  </si>
  <si>
    <t> TS60299226 </t>
  </si>
  <si>
    <t>2027/02/04 </t>
  </si>
  <si>
    <t> TS60299227 </t>
  </si>
  <si>
    <t> TS60299228 </t>
  </si>
  <si>
    <t>2027/02/05 </t>
  </si>
  <si>
    <t> TS60299237 </t>
  </si>
  <si>
    <t> TS60299238 </t>
  </si>
  <si>
    <t>2027/02/09 </t>
  </si>
  <si>
    <t> TS62077191 </t>
  </si>
  <si>
    <t>2027/02/06 </t>
  </si>
  <si>
    <t> TS62077192 </t>
  </si>
  <si>
    <t> TS62077193 </t>
  </si>
  <si>
    <t> TS62077194 </t>
  </si>
  <si>
    <t> TS13377324 </t>
  </si>
  <si>
    <t> 【AAI】Schneider </t>
  </si>
  <si>
    <t>BDA1319 </t>
  </si>
  <si>
    <t> TS13377325 </t>
  </si>
  <si>
    <t>BDA1320 </t>
  </si>
  <si>
    <t> TS13377372 </t>
  </si>
  <si>
    <t>2027/02/10 </t>
  </si>
  <si>
    <t> TS13377373 </t>
  </si>
  <si>
    <t> TS13377374 </t>
  </si>
  <si>
    <t>2027/02/12 </t>
  </si>
  <si>
    <t> TS13377375 </t>
  </si>
  <si>
    <t> TS82577280 </t>
  </si>
  <si>
    <t> 【AAI】Schneider MX </t>
  </si>
  <si>
    <t>BDA1321 </t>
  </si>
  <si>
    <t>2027/02/13 </t>
  </si>
  <si>
    <t> TS82577281 </t>
  </si>
  <si>
    <t>BDA1322 </t>
  </si>
  <si>
    <t> TS82577327 </t>
  </si>
  <si>
    <t>2027/02/16 </t>
  </si>
  <si>
    <t> TS13377376 </t>
  </si>
  <si>
    <t> TS13329070 </t>
  </si>
  <si>
    <t>EGB1303ARE_DOM(ARME) </t>
  </si>
  <si>
    <t>0G3819 </t>
  </si>
  <si>
    <t>2027/02/01 </t>
  </si>
  <si>
    <t> TS82577322 </t>
  </si>
  <si>
    <t>2027/02/17 </t>
  </si>
  <si>
    <t> TS82577338 </t>
  </si>
  <si>
    <t> 韓国 </t>
  </si>
  <si>
    <t>2027/02/18 </t>
  </si>
  <si>
    <t> TS82577339 </t>
  </si>
  <si>
    <t> TS82577341 </t>
  </si>
  <si>
    <t>2027/02/19 </t>
  </si>
  <si>
    <t> TS82577340 </t>
  </si>
  <si>
    <t> TS62077184 </t>
  </si>
  <si>
    <t>2027/02/20 </t>
  </si>
  <si>
    <t> TS62077190 </t>
  </si>
  <si>
    <t> TS13377359 </t>
  </si>
  <si>
    <t> TS13377360 </t>
  </si>
  <si>
    <t> TS13377370 </t>
  </si>
  <si>
    <t>2027/02/24 </t>
  </si>
  <si>
    <t> TS13377371 </t>
  </si>
  <si>
    <t> TS82577318 </t>
  </si>
  <si>
    <t>2027/02/25 </t>
  </si>
  <si>
    <t> TS82577323 </t>
  </si>
  <si>
    <t> TS82577324 </t>
  </si>
  <si>
    <t>2027/02/26 </t>
  </si>
  <si>
    <t> TS82577325 </t>
  </si>
  <si>
    <t> TS82577326 </t>
  </si>
  <si>
    <t> HG22404211 </t>
  </si>
  <si>
    <t>BDA1420 </t>
  </si>
  <si>
    <t> HG22404210 </t>
  </si>
  <si>
    <t> （株）大明 </t>
  </si>
  <si>
    <t>2060400 </t>
  </si>
  <si>
    <t> 【CHINA】北京埃鉑精密 </t>
  </si>
  <si>
    <t>CN0539 </t>
  </si>
  <si>
    <t>BDA1418 </t>
  </si>
  <si>
    <t>BDA1419 </t>
  </si>
  <si>
    <t> 【ACL】Greidy Labs </t>
  </si>
  <si>
    <t>BDA1437 </t>
  </si>
  <si>
    <t> HG22404206 </t>
  </si>
  <si>
    <t>BDA1422 </t>
  </si>
  <si>
    <t> HG22404207 </t>
  </si>
  <si>
    <t>BDA1423 </t>
  </si>
  <si>
    <t>BDA1421 </t>
  </si>
  <si>
    <t> HG17302382 </t>
  </si>
  <si>
    <t> 東京キデン（株） </t>
  </si>
  <si>
    <t>182689 </t>
  </si>
  <si>
    <t> HG17302388 </t>
  </si>
  <si>
    <t> HG22402996 </t>
  </si>
  <si>
    <t> HG22402997 </t>
  </si>
  <si>
    <t> HG22402988 </t>
  </si>
  <si>
    <t>BDA1427 </t>
  </si>
  <si>
    <t> HG22402989 </t>
  </si>
  <si>
    <t>BDA1428 </t>
  </si>
  <si>
    <t> HG17302389 </t>
  </si>
  <si>
    <t> HG17402209 </t>
  </si>
  <si>
    <t> HG22302251 </t>
  </si>
  <si>
    <t> HG22302252 </t>
  </si>
  <si>
    <t>2027/02/27 </t>
  </si>
  <si>
    <t> TY35065015 </t>
  </si>
  <si>
    <t> パナソニック　ＨＶＡＣ　＆　ＣＣシステム </t>
  </si>
  <si>
    <t>195993 </t>
  </si>
  <si>
    <t> TY35045036 </t>
  </si>
  <si>
    <t> 東海シヤリング（株） </t>
  </si>
  <si>
    <t>195991 </t>
  </si>
  <si>
    <t> TY35045037 </t>
  </si>
  <si>
    <t> （株）高橋鉄骨 </t>
  </si>
  <si>
    <t>195992 </t>
  </si>
  <si>
    <t> 藤原金属（株） </t>
  </si>
  <si>
    <t>EGBR101 </t>
  </si>
  <si>
    <t> 10200064 </t>
  </si>
  <si>
    <t> 10200065 </t>
  </si>
  <si>
    <t> 10200066 </t>
  </si>
  <si>
    <t> 岡村機工（株） </t>
  </si>
  <si>
    <t>206033 </t>
  </si>
  <si>
    <t> 愛媛県立愛媛中央産業技術専門校 </t>
  </si>
  <si>
    <t>206035 </t>
  </si>
  <si>
    <t> 【ベトナム】NISSIN </t>
  </si>
  <si>
    <t>ASB0926 </t>
  </si>
  <si>
    <t>ASB0927 </t>
  </si>
  <si>
    <t>TW0537 </t>
  </si>
  <si>
    <t> EGB13080 </t>
  </si>
  <si>
    <t> EGB13081 </t>
  </si>
  <si>
    <t>EGBE095 </t>
  </si>
  <si>
    <t>EGBE096 </t>
  </si>
  <si>
    <t> EGB40062 </t>
  </si>
  <si>
    <t> EGB40063 </t>
  </si>
  <si>
    <t>EGBRE043 </t>
  </si>
  <si>
    <t> EGRE6044 </t>
  </si>
  <si>
    <t>EGBE097 </t>
  </si>
  <si>
    <t>EGBE098 </t>
  </si>
  <si>
    <t>EGBRB643 </t>
  </si>
  <si>
    <t> EGRB1044 </t>
  </si>
  <si>
    <t>050 </t>
  </si>
  <si>
    <t>051 </t>
  </si>
  <si>
    <t>052 </t>
  </si>
  <si>
    <t>053 </t>
  </si>
  <si>
    <t>054 </t>
  </si>
  <si>
    <t>055 </t>
  </si>
  <si>
    <t>056 </t>
  </si>
  <si>
    <t>057 </t>
  </si>
  <si>
    <t>058 </t>
  </si>
  <si>
    <t>059 </t>
  </si>
  <si>
    <t>060 </t>
  </si>
  <si>
    <t>061 </t>
  </si>
  <si>
    <t>062 </t>
  </si>
  <si>
    <t>063 </t>
  </si>
  <si>
    <t>064 </t>
  </si>
  <si>
    <t>065 </t>
  </si>
  <si>
    <t>066 </t>
  </si>
  <si>
    <t>067 </t>
  </si>
  <si>
    <t>068 </t>
  </si>
  <si>
    <t>195988 </t>
  </si>
  <si>
    <t>195987 </t>
  </si>
  <si>
    <t> （株）三裕製作所 </t>
  </si>
  <si>
    <t>206061 </t>
  </si>
  <si>
    <t> ワールド工業（株） </t>
  </si>
  <si>
    <t>206069 </t>
  </si>
  <si>
    <t> グローリープロダクツ（株） </t>
  </si>
  <si>
    <t>206059 </t>
  </si>
  <si>
    <t> （株）ナベル </t>
  </si>
  <si>
    <t>206063 </t>
  </si>
  <si>
    <t>206057 </t>
  </si>
  <si>
    <t> （株）伊藤 </t>
  </si>
  <si>
    <t>206060 </t>
  </si>
  <si>
    <t>206058 </t>
  </si>
  <si>
    <t> （株）マエショウ </t>
  </si>
  <si>
    <t>206082 </t>
  </si>
  <si>
    <t> （株）長村製作所 </t>
  </si>
  <si>
    <t>206080 </t>
  </si>
  <si>
    <t> 第一精機（株） </t>
  </si>
  <si>
    <t>206081 </t>
  </si>
  <si>
    <t> 【オセアニア】Computer Room Solutions </t>
  </si>
  <si>
    <t>ASB0939 </t>
  </si>
  <si>
    <t>ASB0940 </t>
  </si>
  <si>
    <t> 【タイ】Karwin </t>
  </si>
  <si>
    <t>ASB0943 </t>
  </si>
  <si>
    <t>ASB0944 </t>
  </si>
  <si>
    <t> 【タイ】TC </t>
  </si>
  <si>
    <t>ASB0942 </t>
  </si>
  <si>
    <t>ASB0932 </t>
  </si>
  <si>
    <t>206070 </t>
  </si>
  <si>
    <t> 東芝エレベータ（株） </t>
  </si>
  <si>
    <t>206053 </t>
  </si>
  <si>
    <t> TS13329067 </t>
  </si>
  <si>
    <t>03月 </t>
  </si>
  <si>
    <t>2027/03/02 </t>
  </si>
  <si>
    <t> TS13329069 </t>
  </si>
  <si>
    <t>2027/03/03 </t>
  </si>
  <si>
    <t> TS60299235 </t>
  </si>
  <si>
    <t> TS13329068 </t>
  </si>
  <si>
    <t>2027/03/05 </t>
  </si>
  <si>
    <t> TS13399284 </t>
  </si>
  <si>
    <t> 赤石工業（株） </t>
  </si>
  <si>
    <t>194891 </t>
  </si>
  <si>
    <t> TS13399295 </t>
  </si>
  <si>
    <t> TS13399296 </t>
  </si>
  <si>
    <t> TS13399298 </t>
  </si>
  <si>
    <t> TS13399297 </t>
  </si>
  <si>
    <t> TS13399299 </t>
  </si>
  <si>
    <t>2027/03/04 </t>
  </si>
  <si>
    <t> TS13399300 </t>
  </si>
  <si>
    <t> TS13399301 </t>
  </si>
  <si>
    <t> TS13399305 </t>
  </si>
  <si>
    <t>2027/03/06 </t>
  </si>
  <si>
    <t> TS60299231 </t>
  </si>
  <si>
    <t>2027/03/09 </t>
  </si>
  <si>
    <t> TS13399306 </t>
  </si>
  <si>
    <t> TS60299232 </t>
  </si>
  <si>
    <t>2027/03/10 </t>
  </si>
  <si>
    <t> TS60299233 </t>
  </si>
  <si>
    <t> TS60299234 </t>
  </si>
  <si>
    <t> TS60299239 </t>
  </si>
  <si>
    <t>2027/03/12 </t>
  </si>
  <si>
    <t> TS62077198 </t>
  </si>
  <si>
    <t>2027/03/11 </t>
  </si>
  <si>
    <t> TS60299240 </t>
  </si>
  <si>
    <t> TS62077199 </t>
  </si>
  <si>
    <t> TS62077200 </t>
  </si>
  <si>
    <t>2027/03/13 </t>
  </si>
  <si>
    <t> TS62077195 </t>
  </si>
  <si>
    <t> TS13377379 </t>
  </si>
  <si>
    <t> TS13377380 </t>
  </si>
  <si>
    <t> TS13377381 </t>
  </si>
  <si>
    <t>2027/03/16 </t>
  </si>
  <si>
    <t> TS13377382 </t>
  </si>
  <si>
    <t>2027/03/17 </t>
  </si>
  <si>
    <t> TS82577334 </t>
  </si>
  <si>
    <t> TS82577335 </t>
  </si>
  <si>
    <t>2027/03/18 </t>
  </si>
  <si>
    <t> TS82577336 </t>
  </si>
  <si>
    <t> TS13377384 </t>
  </si>
  <si>
    <t>2027/03/19 </t>
  </si>
  <si>
    <t> TS13377383 </t>
  </si>
  <si>
    <t>2027/03/20 </t>
  </si>
  <si>
    <t> TS13377385 </t>
  </si>
  <si>
    <t> TS82577337 </t>
  </si>
  <si>
    <t>2027/03/23 </t>
  </si>
  <si>
    <t> TS82577328 </t>
  </si>
  <si>
    <t> TS62077196 </t>
  </si>
  <si>
    <t>2027/03/24 </t>
  </si>
  <si>
    <t> TS62077197 </t>
  </si>
  <si>
    <t>2027/03/25 </t>
  </si>
  <si>
    <t> TS62077203 </t>
  </si>
  <si>
    <t> TS13377377 </t>
  </si>
  <si>
    <t> TS13377378 </t>
  </si>
  <si>
    <t> TS82577329 </t>
  </si>
  <si>
    <t>2027/03/26 </t>
  </si>
  <si>
    <t> TS82577330 </t>
  </si>
  <si>
    <t> TS82577331 </t>
  </si>
  <si>
    <t>2027/03/27 </t>
  </si>
  <si>
    <t> TS82577333 </t>
  </si>
  <si>
    <t> TS82577332 </t>
  </si>
  <si>
    <t>2027/03/30 </t>
  </si>
  <si>
    <t> TS82577342 </t>
  </si>
  <si>
    <t> TS13377388 </t>
  </si>
  <si>
    <t>2027/03/31 </t>
  </si>
  <si>
    <t> TS13377387 </t>
  </si>
  <si>
    <t> （株）御池鐵工所 </t>
  </si>
  <si>
    <t>208079 </t>
  </si>
  <si>
    <t> マルマテクニカ（株） </t>
  </si>
  <si>
    <t>206092 </t>
  </si>
  <si>
    <t>206091 </t>
  </si>
  <si>
    <t> （株）中西製作所 </t>
  </si>
  <si>
    <t>206077 </t>
  </si>
  <si>
    <t>206078 </t>
  </si>
  <si>
    <t> HG17302390 </t>
  </si>
  <si>
    <t> HG17302391 </t>
  </si>
  <si>
    <t> HG22404208 </t>
  </si>
  <si>
    <t>BDA1424 </t>
  </si>
  <si>
    <t> HG22404209 </t>
  </si>
  <si>
    <t>BDA1425 </t>
  </si>
  <si>
    <t> HG22302253 </t>
  </si>
  <si>
    <t> HG22402998 </t>
  </si>
  <si>
    <t> HG22402999 </t>
  </si>
  <si>
    <t> HG22402990 </t>
  </si>
  <si>
    <t>BDA1429 </t>
  </si>
  <si>
    <t> HG22402991 </t>
  </si>
  <si>
    <t>BDA1430 </t>
  </si>
  <si>
    <t> HG22402992 </t>
  </si>
  <si>
    <t> HG22402993 </t>
  </si>
  <si>
    <t> HG22402994 </t>
  </si>
  <si>
    <t> HG22402995 </t>
  </si>
  <si>
    <t> HG22302254 </t>
  </si>
  <si>
    <t> HG22302255 </t>
  </si>
  <si>
    <t>0G5795 </t>
  </si>
  <si>
    <t> （株）アムロン </t>
  </si>
  <si>
    <t>0G5917 </t>
  </si>
  <si>
    <t>206083 </t>
  </si>
  <si>
    <t> TY35045038 </t>
  </si>
  <si>
    <t> （有）マサカツ鋼材 </t>
  </si>
  <si>
    <t>206075 </t>
  </si>
  <si>
    <t> TY35045040 </t>
  </si>
  <si>
    <t> TY35035022 </t>
  </si>
  <si>
    <t>206006 </t>
  </si>
  <si>
    <t> （株）山一金属製作所 </t>
  </si>
  <si>
    <t>EGBR094 </t>
  </si>
  <si>
    <t> 楠田金属（株） </t>
  </si>
  <si>
    <t>EGBR115 </t>
  </si>
  <si>
    <t> 10200067 </t>
  </si>
  <si>
    <t> 10200069 </t>
  </si>
  <si>
    <t> 10200068 </t>
  </si>
  <si>
    <t> （株）青山製作所 </t>
  </si>
  <si>
    <t>206088 </t>
  </si>
  <si>
    <t> スター工業（株） </t>
  </si>
  <si>
    <t>206048 </t>
  </si>
  <si>
    <t> （有）三光製作所 </t>
  </si>
  <si>
    <t>206056 </t>
  </si>
  <si>
    <t>生産月</t>
    <phoneticPr fontId="12"/>
  </si>
  <si>
    <t> 9/30：MRP解除 </t>
  </si>
  <si>
    <t> EGRE6045 </t>
  </si>
  <si>
    <t> EGRE6046 </t>
  </si>
  <si>
    <t> EGRB1045 </t>
  </si>
  <si>
    <t> EGRB1046 </t>
  </si>
  <si>
    <t> EGB40064 </t>
  </si>
  <si>
    <t> EGB40065 </t>
  </si>
  <si>
    <t>EGB1303E_CE AESA </t>
  </si>
  <si>
    <t> EGB20016 </t>
  </si>
  <si>
    <t> ヨーロッパＳＡ </t>
  </si>
  <si>
    <t> EGB1303E-C </t>
  </si>
  <si>
    <t>0E7124 </t>
  </si>
  <si>
    <t> EGB20017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</si>
</sst>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7.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006100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7.7"/>
      <color theme="1"/>
      <name val="游ゴシック"/>
      <family val="3"/>
      <charset val="128"/>
      <scheme val="minor"/>
    </font>
    <font>
      <sz val="7.7"/>
      <color theme="1"/>
      <name val="游ゴシック"/>
      <family val="3"/>
      <charset val="128"/>
      <scheme val="minor"/>
    </font>
    <font>
      <b/>
      <sz val="7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A0A0A0"/>
      </left>
      <right style="medium">
        <color rgb="FFA0A0A0"/>
      </right>
      <top style="medium">
        <color rgb="FFA0A0A0"/>
      </top>
      <bottom/>
      <diagonal/>
    </border>
    <border>
      <left style="medium">
        <color rgb="FFA0A0A0"/>
      </left>
      <right style="medium">
        <color rgb="FFA0A0A0"/>
      </right>
      <top/>
      <bottom style="medium">
        <color rgb="FFA0A0A0"/>
      </bottom>
      <diagonal/>
    </border>
    <border>
      <left style="medium">
        <color rgb="FFA0A0A0"/>
      </left>
      <right/>
      <top/>
      <bottom style="medium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1" fillId="0" borderId="0">
      <alignment vertical="center"/>
    </xf>
  </cellStyleXfs>
  <cellXfs count="34">
    <xf numFmtId="0" fontId="0" fillId="0" borderId="0" xfId="0">
      <alignment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4" xfId="1" applyNumberFormat="1" applyFont="1" applyFill="1" applyBorder="1" applyAlignment="1">
      <alignment horizontal="center" vertical="center"/>
    </xf>
    <xf numFmtId="49" fontId="7" fillId="3" borderId="4" xfId="1" applyNumberFormat="1" applyFont="1" applyFill="1" applyBorder="1" applyAlignment="1">
      <alignment horizontal="center" vertical="center"/>
    </xf>
    <xf numFmtId="49" fontId="6" fillId="4" borderId="4" xfId="1" applyNumberFormat="1" applyFont="1" applyFill="1" applyBorder="1" applyAlignment="1">
      <alignment horizontal="center" vertical="center"/>
    </xf>
    <xf numFmtId="49" fontId="6" fillId="3" borderId="4" xfId="1" applyNumberFormat="1" applyFont="1" applyFill="1" applyBorder="1" applyAlignment="1">
      <alignment horizontal="center" vertical="center"/>
    </xf>
    <xf numFmtId="0" fontId="7" fillId="3" borderId="4" xfId="1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 applyAlignment="1">
      <alignment horizontal="center" vertical="center"/>
    </xf>
    <xf numFmtId="0" fontId="7" fillId="0" borderId="4" xfId="1" applyNumberFormat="1" applyFont="1" applyFill="1" applyBorder="1"/>
    <xf numFmtId="0" fontId="7" fillId="3" borderId="4" xfId="1" applyFont="1" applyFill="1" applyBorder="1" applyAlignment="1">
      <alignment horizontal="center" vertical="center"/>
    </xf>
    <xf numFmtId="49" fontId="7" fillId="4" borderId="4" xfId="1" applyNumberFormat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0" fillId="0" borderId="4" xfId="0" applyBorder="1">
      <alignment vertical="center"/>
    </xf>
    <xf numFmtId="0" fontId="7" fillId="0" borderId="4" xfId="0" applyFont="1" applyBorder="1">
      <alignment vertical="center"/>
    </xf>
    <xf numFmtId="0" fontId="7" fillId="0" borderId="5" xfId="1" applyNumberFormat="1" applyFont="1" applyFill="1" applyBorder="1" applyAlignment="1">
      <alignment horizontal="center" vertical="center"/>
    </xf>
    <xf numFmtId="0" fontId="7" fillId="0" borderId="6" xfId="1" applyNumberFormat="1" applyFont="1" applyFill="1" applyBorder="1"/>
    <xf numFmtId="0" fontId="7" fillId="5" borderId="4" xfId="1" applyNumberFormat="1" applyFont="1" applyFill="1" applyBorder="1" applyAlignment="1">
      <alignment horizontal="center" vertical="center"/>
    </xf>
    <xf numFmtId="0" fontId="7" fillId="5" borderId="4" xfId="1" applyNumberFormat="1" applyFont="1" applyFill="1" applyBorder="1"/>
    <xf numFmtId="0" fontId="0" fillId="0" borderId="0" xfId="0" applyFill="1">
      <alignment vertical="center"/>
    </xf>
    <xf numFmtId="0" fontId="0" fillId="0" borderId="4" xfId="0" applyFill="1" applyBorder="1">
      <alignment vertical="center"/>
    </xf>
    <xf numFmtId="56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Fill="1" applyBorder="1" applyAlignment="1">
      <alignment horizontal="right" vertical="center"/>
    </xf>
    <xf numFmtId="0" fontId="7" fillId="0" borderId="4" xfId="0" applyFont="1" applyFill="1" applyBorder="1">
      <alignment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0" borderId="0" xfId="0" applyAlignment="1"/>
  </cellXfs>
  <cellStyles count="3">
    <cellStyle name="標準" xfId="0" builtinId="0"/>
    <cellStyle name="標準 2" xfId="2"/>
    <cellStyle name="標準_68（上）AMTS取付工事予定・AMT納入予定-0508191_70(上)AMTS取付工事予定・AMT納入予定-0708111" xfId="1"/>
  </cellStyles>
  <dxfs count="11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0321&#12501;&#12449;&#12452;&#12531;&#27096;&#29983;&#29987;&#35336;&#30011;&#23550;&#2760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旧)ﾍﾞﾝﾀﾞｰ小型"/>
      <sheetName val="(新)ﾍﾞﾝﾀﾞｰ小型"/>
      <sheetName val="ﾍﾞﾝﾀﾞｰ小型対照表"/>
      <sheetName val="(旧)ﾍﾞﾝﾀﾞｰ中型"/>
      <sheetName val="(新)ﾍﾞﾝﾀﾞｰ中型"/>
      <sheetName val="ﾍﾞﾝﾀﾞｰ中型対照表"/>
      <sheetName val="(旧)ﾍﾞﾝﾀﾞｰ大型"/>
      <sheetName val="(新)ﾍﾞﾝﾀﾞｰ大型"/>
      <sheetName val="ﾍﾞﾝﾀﾞｰ大型対照表"/>
      <sheetName val="(旧)ASTRO"/>
      <sheetName val="(新)ASTRO"/>
      <sheetName val="ASTRO対照表"/>
      <sheetName val="(旧)EG"/>
      <sheetName val="(新)EG"/>
      <sheetName val="EG対照表"/>
      <sheetName val="AE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 TS61377116 </v>
          </cell>
          <cell r="B3" t="str">
            <v>03月 </v>
          </cell>
          <cell r="C3" t="str">
            <v>001 </v>
          </cell>
          <cell r="D3" t="str">
            <v>EGB6013E </v>
          </cell>
          <cell r="E3" t="str">
            <v> 荒川鉄鋼（株） </v>
          </cell>
          <cell r="F3" t="str">
            <v> EGB6013E-J </v>
          </cell>
          <cell r="G3" t="str">
            <v>LZS+BIS </v>
          </cell>
          <cell r="H3" t="str">
            <v>0E5494 </v>
          </cell>
          <cell r="I3" t="str">
            <v>185999 </v>
          </cell>
          <cell r="J3" t="str">
            <v>2026/02/19 </v>
          </cell>
          <cell r="K3" t="str">
            <v>2026/03/05 </v>
          </cell>
        </row>
        <row r="4">
          <cell r="A4" t="str">
            <v> TS41077166 </v>
          </cell>
          <cell r="B4" t="str">
            <v>03月 </v>
          </cell>
          <cell r="C4" t="str">
            <v>002 </v>
          </cell>
          <cell r="D4" t="str">
            <v>EGB4010E </v>
          </cell>
          <cell r="E4" t="str">
            <v> （株）イナダ </v>
          </cell>
          <cell r="F4" t="str">
            <v> EGB4010E-J </v>
          </cell>
          <cell r="G4" t="str">
            <v>LZS+BIS </v>
          </cell>
          <cell r="H4" t="str">
            <v>0E3361 </v>
          </cell>
          <cell r="I4" t="str">
            <v>187133 </v>
          </cell>
          <cell r="J4" t="str">
            <v>2026/02/24 </v>
          </cell>
          <cell r="K4" t="str">
            <v>2026/03/10 </v>
          </cell>
        </row>
        <row r="5">
          <cell r="A5" t="str">
            <v> TS60109081 </v>
          </cell>
          <cell r="B5" t="str">
            <v>03月 </v>
          </cell>
          <cell r="C5" t="str">
            <v>003 </v>
          </cell>
          <cell r="D5" t="str">
            <v>EGB6013RE </v>
          </cell>
          <cell r="E5" t="str">
            <v> （有）タナカ製作所 </v>
          </cell>
          <cell r="F5" t="str">
            <v> EGB6013RE-J </v>
          </cell>
          <cell r="G5" t="str">
            <v>STD </v>
          </cell>
          <cell r="H5" t="str">
            <v>0E1241 </v>
          </cell>
          <cell r="I5" t="str">
            <v>EGBR084 </v>
          </cell>
          <cell r="J5" t="str">
            <v>2026/02/27 </v>
          </cell>
          <cell r="K5" t="str">
            <v>2026/03/19 </v>
          </cell>
        </row>
        <row r="6">
          <cell r="A6" t="str">
            <v> TS41077165 </v>
          </cell>
          <cell r="B6" t="str">
            <v>03月 </v>
          </cell>
          <cell r="C6" t="str">
            <v>004 </v>
          </cell>
          <cell r="D6" t="str">
            <v>EGB4010E </v>
          </cell>
          <cell r="E6" t="str">
            <v> （株）ニッパ </v>
          </cell>
          <cell r="F6" t="str">
            <v> EGB4010E-J </v>
          </cell>
          <cell r="G6" t="str">
            <v>LZS+BIS </v>
          </cell>
          <cell r="H6" t="str">
            <v>0E3361 </v>
          </cell>
          <cell r="I6" t="str">
            <v>183733 </v>
          </cell>
          <cell r="J6" t="str">
            <v>2026/02/28 </v>
          </cell>
          <cell r="K6" t="str">
            <v>2026/03/14 </v>
          </cell>
        </row>
        <row r="7">
          <cell r="A7" t="str">
            <v> TS61377117 </v>
          </cell>
          <cell r="B7" t="str">
            <v>03月 </v>
          </cell>
          <cell r="C7" t="str">
            <v>005 </v>
          </cell>
          <cell r="D7" t="str">
            <v>EGB6013E </v>
          </cell>
          <cell r="E7" t="str">
            <v> （株）北岸製作所 </v>
          </cell>
          <cell r="F7" t="str">
            <v> EGB6013E-J </v>
          </cell>
          <cell r="G7" t="str">
            <v>STD </v>
          </cell>
          <cell r="H7" t="str">
            <v>0E5494 </v>
          </cell>
          <cell r="I7" t="str">
            <v>183777 </v>
          </cell>
          <cell r="J7" t="str">
            <v>2026/03/04 </v>
          </cell>
          <cell r="K7" t="str">
            <v>2026/03/14 </v>
          </cell>
        </row>
        <row r="8">
          <cell r="A8" t="str">
            <v> TS60109084 </v>
          </cell>
          <cell r="B8" t="str">
            <v>04月 </v>
          </cell>
          <cell r="C8" t="str">
            <v>001 </v>
          </cell>
          <cell r="D8" t="str">
            <v>EGB6013RE </v>
          </cell>
          <cell r="E8" t="str">
            <v> （株）精密スプリング製作所 </v>
          </cell>
          <cell r="F8" t="str">
            <v> EGB6013RE-J </v>
          </cell>
          <cell r="G8" t="str">
            <v>STD </v>
          </cell>
          <cell r="H8" t="str">
            <v>0E1241 </v>
          </cell>
          <cell r="I8" t="str">
            <v>EGBR085 </v>
          </cell>
          <cell r="J8" t="str">
            <v>2026/03/11 </v>
          </cell>
          <cell r="K8" t="str">
            <v>2026/04/01 </v>
          </cell>
        </row>
        <row r="9">
          <cell r="A9" t="str">
            <v> TS60109088 </v>
          </cell>
          <cell r="B9" t="str">
            <v>04月 </v>
          </cell>
          <cell r="C9" t="str">
            <v>002 </v>
          </cell>
          <cell r="D9" t="str">
            <v>EGB6013RE_EXP </v>
          </cell>
          <cell r="E9" t="str">
            <v> ＡＭＡＤＡ　ＡＭＥＲＩＣＡ　ＩＮＣ． </v>
          </cell>
          <cell r="F9" t="str">
            <v> EGB6013RE-E </v>
          </cell>
          <cell r="G9" t="str">
            <v>STD </v>
          </cell>
          <cell r="H9" t="str">
            <v>0E1244 </v>
          </cell>
          <cell r="I9" t="str">
            <v>BDA1169 </v>
          </cell>
          <cell r="J9" t="str">
            <v>2026/03/17 </v>
          </cell>
          <cell r="K9" t="str">
            <v>2026/04/07 </v>
          </cell>
        </row>
        <row r="10">
          <cell r="A10" t="str">
            <v> TS61377118 </v>
          </cell>
          <cell r="B10" t="str">
            <v>04月 </v>
          </cell>
          <cell r="C10" t="str">
            <v>003 </v>
          </cell>
          <cell r="D10" t="str">
            <v>EGB6013E </v>
          </cell>
          <cell r="E10" t="str">
            <v> シートメタルテクノ（株） </v>
          </cell>
          <cell r="F10" t="str">
            <v> EGB6013E-J </v>
          </cell>
          <cell r="G10" t="str">
            <v>LZS+BIS </v>
          </cell>
          <cell r="H10" t="str">
            <v>0E5494 </v>
          </cell>
          <cell r="I10" t="str">
            <v>183755 </v>
          </cell>
          <cell r="J10" t="str">
            <v>2026/03/19 </v>
          </cell>
          <cell r="K10" t="str">
            <v>2026/04/03 </v>
          </cell>
        </row>
        <row r="11">
          <cell r="A11" t="str">
            <v> TS60109085 </v>
          </cell>
          <cell r="B11" t="str">
            <v>04月 </v>
          </cell>
          <cell r="C11" t="str">
            <v>004 </v>
          </cell>
          <cell r="D11" t="str">
            <v>EGB6013RE </v>
          </cell>
          <cell r="E11" t="str">
            <v> （株）モリワキエンジニアリング </v>
          </cell>
          <cell r="F11" t="str">
            <v> EGB6013RE-J </v>
          </cell>
          <cell r="G11" t="str">
            <v>STD </v>
          </cell>
          <cell r="H11" t="str">
            <v>0E1241 </v>
          </cell>
          <cell r="I11" t="str">
            <v>EGBR078 </v>
          </cell>
          <cell r="J11" t="str">
            <v>2026/03/24 </v>
          </cell>
          <cell r="K11" t="str">
            <v>2026/04/11 </v>
          </cell>
        </row>
        <row r="12">
          <cell r="A12" t="str">
            <v> TS61377119 </v>
          </cell>
          <cell r="B12" t="str">
            <v>04月 </v>
          </cell>
          <cell r="C12" t="str">
            <v>005 </v>
          </cell>
          <cell r="D12" t="str">
            <v>EGB6013E </v>
          </cell>
          <cell r="E12" t="str">
            <v> シートメタルテクノ（株） </v>
          </cell>
          <cell r="F12" t="str">
            <v> EGB6013E-J </v>
          </cell>
          <cell r="G12" t="str">
            <v>LZS+BIS </v>
          </cell>
          <cell r="H12" t="str">
            <v>0E5494 </v>
          </cell>
          <cell r="I12" t="str">
            <v>183766 </v>
          </cell>
          <cell r="J12" t="str">
            <v>2026/03/25 </v>
          </cell>
          <cell r="K12" t="str">
            <v>2026/04/08 </v>
          </cell>
        </row>
        <row r="13">
          <cell r="A13" t="str">
            <v> TS61377125 </v>
          </cell>
          <cell r="B13" t="str">
            <v>04月 </v>
          </cell>
          <cell r="C13" t="str">
            <v>006 </v>
          </cell>
          <cell r="D13" t="str">
            <v>EGB6013E_EXP </v>
          </cell>
          <cell r="E13" t="str">
            <v> ＡＭＡＤＡ　ＣＡＮＡＤＡ　ＬＴＤ． </v>
          </cell>
          <cell r="F13" t="str">
            <v> EGB6013E-E </v>
          </cell>
          <cell r="G13" t="str">
            <v>LZS+BIS </v>
          </cell>
          <cell r="H13" t="str">
            <v>0E5525 </v>
          </cell>
          <cell r="I13" t="str">
            <v>BDA1227 </v>
          </cell>
          <cell r="J13" t="str">
            <v>2026/03/27 </v>
          </cell>
          <cell r="K13" t="str">
            <v>2026/04/10 </v>
          </cell>
        </row>
        <row r="14">
          <cell r="A14" t="str">
            <v> TS60109089 </v>
          </cell>
          <cell r="B14" t="str">
            <v>04月 </v>
          </cell>
          <cell r="C14" t="str">
            <v>007 </v>
          </cell>
          <cell r="D14" t="str">
            <v>EGB6013RE_EXP </v>
          </cell>
          <cell r="E14" t="str">
            <v> CHINA </v>
          </cell>
          <cell r="F14" t="str">
            <v> EGB6013RE-E </v>
          </cell>
          <cell r="G14" t="str">
            <v>STD </v>
          </cell>
          <cell r="H14" t="str">
            <v>0E1244 </v>
          </cell>
          <cell r="I14" t="str">
            <v>CN0407 </v>
          </cell>
          <cell r="J14" t="str">
            <v>2026/03/28 </v>
          </cell>
          <cell r="K14" t="str">
            <v>2026/04/17 </v>
          </cell>
        </row>
        <row r="15">
          <cell r="A15" t="str">
            <v> TS41077174 </v>
          </cell>
          <cell r="B15" t="str">
            <v>04月 </v>
          </cell>
          <cell r="C15" t="str">
            <v>008 </v>
          </cell>
          <cell r="D15" t="str">
            <v>EGB4010E_EX </v>
          </cell>
          <cell r="E15" t="str">
            <v> ＡＭＡＤＡ　ＴＡＩＷＡＮ　ＩＮＣ． </v>
          </cell>
          <cell r="F15" t="str">
            <v> EGB4010E-E </v>
          </cell>
          <cell r="G15" t="str">
            <v>LZS+BIS </v>
          </cell>
          <cell r="H15" t="str">
            <v>0E3362 </v>
          </cell>
          <cell r="I15" t="str">
            <v>TW0454 </v>
          </cell>
          <cell r="J15" t="str">
            <v>2026/03/31 </v>
          </cell>
          <cell r="K15" t="str">
            <v>2026/04/14 </v>
          </cell>
        </row>
        <row r="16">
          <cell r="A16" t="str">
            <v> TS41077167 </v>
          </cell>
          <cell r="B16" t="str">
            <v>04月 </v>
          </cell>
          <cell r="C16" t="str">
            <v>009 </v>
          </cell>
          <cell r="D16" t="str">
            <v>EGB4010E </v>
          </cell>
          <cell r="E16" t="str">
            <v> 新日エコー（株） </v>
          </cell>
          <cell r="F16" t="str">
            <v> EGB4010E-J </v>
          </cell>
          <cell r="G16" t="str">
            <v>STD+LZS </v>
          </cell>
          <cell r="H16" t="str">
            <v>0E3361 </v>
          </cell>
          <cell r="I16" t="str">
            <v>180488 </v>
          </cell>
          <cell r="J16" t="str">
            <v>2026/04/02 </v>
          </cell>
          <cell r="K16" t="str">
            <v>2026/04/15 </v>
          </cell>
        </row>
        <row r="17">
          <cell r="A17" t="str">
            <v> TS60109086 </v>
          </cell>
          <cell r="B17" t="str">
            <v>04月 </v>
          </cell>
          <cell r="C17" t="str">
            <v>010 </v>
          </cell>
          <cell r="D17" t="str">
            <v>EGB6013RE </v>
          </cell>
          <cell r="E17" t="str">
            <v> 絹川工業（株） </v>
          </cell>
          <cell r="F17" t="str">
            <v> EGB6013RE-J </v>
          </cell>
          <cell r="G17" t="str">
            <v>STD </v>
          </cell>
          <cell r="H17" t="str">
            <v>0E1241 </v>
          </cell>
          <cell r="I17" t="str">
            <v>EGBR087 </v>
          </cell>
          <cell r="J17" t="str">
            <v>2026/04/03 </v>
          </cell>
          <cell r="K17" t="str">
            <v>2026/04/23 </v>
          </cell>
        </row>
        <row r="18">
          <cell r="A18" t="str">
            <v> TS61377126 </v>
          </cell>
          <cell r="B18" t="str">
            <v>04月 </v>
          </cell>
          <cell r="C18" t="str">
            <v>011 </v>
          </cell>
          <cell r="D18" t="str">
            <v>EGB6013E_EXP </v>
          </cell>
          <cell r="E18" t="str">
            <v> 【TAIWAN】高轟 </v>
          </cell>
          <cell r="F18" t="str">
            <v> EGB6013E-E </v>
          </cell>
          <cell r="G18" t="str">
            <v>LZS+BIS </v>
          </cell>
          <cell r="H18" t="str">
            <v>0E5525 </v>
          </cell>
          <cell r="I18" t="str">
            <v>TW0455 </v>
          </cell>
          <cell r="J18" t="str">
            <v>2026/04/04 </v>
          </cell>
          <cell r="K18" t="str">
            <v>2026/04/18 </v>
          </cell>
        </row>
        <row r="19">
          <cell r="A19" t="str">
            <v> TS61377127 </v>
          </cell>
          <cell r="B19" t="str">
            <v>04月 </v>
          </cell>
          <cell r="C19" t="str">
            <v>012 </v>
          </cell>
          <cell r="D19" t="str">
            <v>EGB6013E_EXP </v>
          </cell>
          <cell r="E19" t="str">
            <v> ＡＭＡＤＡ　ＡＭＥＲＩＣＡ　ＩＮＣ． </v>
          </cell>
          <cell r="F19" t="str">
            <v> EGB6013E-E </v>
          </cell>
          <cell r="G19" t="str">
            <v>LZS+BIS </v>
          </cell>
          <cell r="H19" t="str">
            <v>0E5525 </v>
          </cell>
          <cell r="I19" t="str">
            <v>BDA1168 </v>
          </cell>
          <cell r="J19" t="str">
            <v>2026/04/07 </v>
          </cell>
          <cell r="K19" t="str">
            <v>2026/04/21 </v>
          </cell>
        </row>
        <row r="20">
          <cell r="A20" t="str">
            <v> TS60109087 </v>
          </cell>
          <cell r="B20" t="str">
            <v>04月 </v>
          </cell>
          <cell r="C20" t="str">
            <v>013 </v>
          </cell>
          <cell r="D20" t="str">
            <v>EGB6013RE </v>
          </cell>
          <cell r="E20" t="str">
            <v> 森精工（株） </v>
          </cell>
          <cell r="F20" t="str">
            <v> EGB6013RE-J </v>
          </cell>
          <cell r="G20" t="str">
            <v>STD </v>
          </cell>
          <cell r="H20" t="str">
            <v>0E1241 </v>
          </cell>
          <cell r="I20" t="str">
            <v>EGBR088 </v>
          </cell>
          <cell r="J20" t="str">
            <v>2026/04/08 </v>
          </cell>
          <cell r="K20" t="str">
            <v>2026/04/30 </v>
          </cell>
        </row>
        <row r="21">
          <cell r="A21" t="str">
            <v> TS61377120 </v>
          </cell>
          <cell r="B21" t="str">
            <v>04月 </v>
          </cell>
          <cell r="C21" t="str">
            <v>014 </v>
          </cell>
          <cell r="D21" t="str">
            <v>EGB6013E </v>
          </cell>
          <cell r="E21" t="str">
            <v> （株）中後製作所 </v>
          </cell>
          <cell r="F21" t="str">
            <v> EGB6013E-J </v>
          </cell>
          <cell r="G21" t="str">
            <v>LZS+BIS </v>
          </cell>
          <cell r="H21" t="str">
            <v>0E5494 </v>
          </cell>
          <cell r="I21" t="str">
            <v>181567 </v>
          </cell>
          <cell r="J21" t="str">
            <v>2026/04/09 </v>
          </cell>
          <cell r="K21" t="str">
            <v>2026/04/23 </v>
          </cell>
        </row>
        <row r="22">
          <cell r="A22" t="str">
            <v> TS41077168 </v>
          </cell>
          <cell r="B22" t="str">
            <v>04月 </v>
          </cell>
          <cell r="C22" t="str">
            <v>015 </v>
          </cell>
          <cell r="D22" t="str">
            <v>EGB4010E </v>
          </cell>
          <cell r="E22" t="str">
            <v> （株）アマダベンディングＳ部 </v>
          </cell>
          <cell r="F22" t="str">
            <v> EGB4010E-J </v>
          </cell>
          <cell r="G22" t="str">
            <v>STD+LZS </v>
          </cell>
          <cell r="H22" t="str">
            <v>0E3361 </v>
          </cell>
          <cell r="I22"/>
          <cell r="J22" t="str">
            <v>2026/04/11 </v>
          </cell>
          <cell r="K22" t="str">
            <v>2026/04/24 </v>
          </cell>
        </row>
        <row r="23">
          <cell r="A23" t="str">
            <v> TS40109002 </v>
          </cell>
          <cell r="B23" t="str">
            <v>04月 </v>
          </cell>
          <cell r="C23" t="str">
            <v>016 </v>
          </cell>
          <cell r="D23" t="str">
            <v>EGB4010E </v>
          </cell>
          <cell r="E23" t="str">
            <v> （有）七福電子 </v>
          </cell>
          <cell r="F23" t="str">
            <v> EGB4010E-J </v>
          </cell>
          <cell r="G23" t="str">
            <v>STD+LZS </v>
          </cell>
          <cell r="H23" t="str">
            <v>0E3361 </v>
          </cell>
          <cell r="I23" t="str">
            <v>182699 </v>
          </cell>
          <cell r="J23" t="str">
            <v>2026/04/14 </v>
          </cell>
          <cell r="K23" t="str">
            <v>2026/05/08 </v>
          </cell>
        </row>
        <row r="24">
          <cell r="A24" t="str">
            <v> TS41077175 </v>
          </cell>
          <cell r="B24" t="str">
            <v>04月 </v>
          </cell>
          <cell r="C24" t="str">
            <v>017 </v>
          </cell>
          <cell r="D24" t="str">
            <v>EGB4010E_EX </v>
          </cell>
          <cell r="E24" t="str">
            <v> ＡＭＡＤＡ　ＡＭＥＲＩＣＡ　ＩＮＣ． </v>
          </cell>
          <cell r="F24" t="str">
            <v> EGB4010E-E </v>
          </cell>
          <cell r="G24" t="str">
            <v>STD+LZS </v>
          </cell>
          <cell r="H24" t="str">
            <v>0E3362 </v>
          </cell>
          <cell r="I24" t="str">
            <v>BDA1167 </v>
          </cell>
          <cell r="J24" t="str">
            <v>2026/04/15 </v>
          </cell>
          <cell r="K24" t="str">
            <v>2026/04/30 </v>
          </cell>
        </row>
        <row r="25">
          <cell r="A25" t="str">
            <v> TS61377128 </v>
          </cell>
          <cell r="B25" t="str">
            <v>05月 </v>
          </cell>
          <cell r="C25" t="str">
            <v>001 </v>
          </cell>
          <cell r="D25" t="str">
            <v>EGB6013E_EXP </v>
          </cell>
          <cell r="E25" t="str">
            <v> ＡＭＡＤＡ　ＡＭＥＲＩＣＡ　ＩＮＣ． </v>
          </cell>
          <cell r="F25" t="str">
            <v> EGB6013E-E </v>
          </cell>
          <cell r="G25" t="str">
            <v>LZS+BIS </v>
          </cell>
          <cell r="H25" t="str">
            <v>0E5525 </v>
          </cell>
          <cell r="I25" t="str">
            <v>BDA1243 </v>
          </cell>
          <cell r="J25" t="str">
            <v>2026/04/16 </v>
          </cell>
          <cell r="K25" t="str">
            <v>2026/05/02 </v>
          </cell>
        </row>
        <row r="26">
          <cell r="A26" t="str">
            <v> TS61377129 </v>
          </cell>
          <cell r="B26" t="str">
            <v>05月 </v>
          </cell>
          <cell r="C26" t="str">
            <v>002 </v>
          </cell>
          <cell r="D26" t="str">
            <v>EGB6013E_EXP </v>
          </cell>
          <cell r="E26" t="str">
            <v> ＡＭＡＤＡ　ＡＭＥＲＩＣＡ　ＩＮＣ． </v>
          </cell>
          <cell r="F26" t="str">
            <v> EGB6013E-E </v>
          </cell>
          <cell r="G26" t="str">
            <v>LZS+BIS </v>
          </cell>
          <cell r="H26" t="str">
            <v>0E5525 </v>
          </cell>
          <cell r="I26" t="str">
            <v>BDA1185 </v>
          </cell>
          <cell r="J26" t="str">
            <v>2026/04/17 </v>
          </cell>
          <cell r="K26" t="str">
            <v>2026/05/07 </v>
          </cell>
        </row>
        <row r="27">
          <cell r="A27" t="str">
            <v> TS61377121 </v>
          </cell>
          <cell r="B27" t="str">
            <v>05月 </v>
          </cell>
          <cell r="C27" t="str">
            <v>003 </v>
          </cell>
          <cell r="D27" t="str">
            <v>EGB6013E </v>
          </cell>
          <cell r="E27" t="str">
            <v> （株）シマヅテック </v>
          </cell>
          <cell r="F27" t="str">
            <v> EGB6013E-J </v>
          </cell>
          <cell r="G27" t="str">
            <v>LZS+BIS </v>
          </cell>
          <cell r="H27" t="str">
            <v>0E5494 </v>
          </cell>
          <cell r="I27" t="str">
            <v>180466 </v>
          </cell>
          <cell r="J27" t="str">
            <v>2026/04/18 </v>
          </cell>
          <cell r="K27" t="str">
            <v>2026/05/08 </v>
          </cell>
        </row>
        <row r="28">
          <cell r="A28" t="str">
            <v> TS60109093 </v>
          </cell>
          <cell r="B28" t="str">
            <v>05月 </v>
          </cell>
          <cell r="C28" t="str">
            <v>004 </v>
          </cell>
          <cell r="D28" t="str">
            <v>EGB6013RE_EXP </v>
          </cell>
          <cell r="E28" t="str">
            <v> ＡＭＡＤＡ　ＡＭＥＲＩＣＡ　ＩＮＣ． </v>
          </cell>
          <cell r="F28" t="str">
            <v> EGB6013RE-E </v>
          </cell>
          <cell r="G28" t="str">
            <v>STD </v>
          </cell>
          <cell r="H28" t="str">
            <v>0E1244 </v>
          </cell>
          <cell r="I28" t="str">
            <v>BDA1188 </v>
          </cell>
          <cell r="J28" t="str">
            <v>2026/04/21 </v>
          </cell>
          <cell r="K28" t="str">
            <v>2026/05/15 </v>
          </cell>
        </row>
        <row r="29">
          <cell r="A29" t="str">
            <v> TS41077176 </v>
          </cell>
          <cell r="B29" t="str">
            <v>05月 </v>
          </cell>
          <cell r="C29" t="str">
            <v>005 </v>
          </cell>
          <cell r="D29" t="str">
            <v>EGB4010E_EX </v>
          </cell>
          <cell r="E29" t="str">
            <v> ＡＭＡＤＡ　ＴＡＩＷＡＮ　ＩＮＣ． </v>
          </cell>
          <cell r="F29" t="str">
            <v> EGB4010E-E </v>
          </cell>
          <cell r="G29" t="str">
            <v>LZS+BIS </v>
          </cell>
          <cell r="H29" t="str">
            <v>0E3362 </v>
          </cell>
          <cell r="I29" t="str">
            <v>TW0466 </v>
          </cell>
          <cell r="J29" t="str">
            <v>2026/04/22 </v>
          </cell>
          <cell r="K29" t="str">
            <v>2026/05/12 </v>
          </cell>
        </row>
        <row r="30">
          <cell r="A30" t="str">
            <v> TS41077181 </v>
          </cell>
          <cell r="B30" t="str">
            <v>05月 </v>
          </cell>
          <cell r="C30" t="str">
            <v>006 </v>
          </cell>
          <cell r="D30" t="str">
            <v>EGB4010E_EX </v>
          </cell>
          <cell r="E30" t="str">
            <v> ＡＭＡＤＡ　ＴＡＩＷＡＮ　ＩＮＣ． </v>
          </cell>
          <cell r="F30" t="str">
            <v> EGB4010E-E </v>
          </cell>
          <cell r="G30" t="str">
            <v>LZS+BIS </v>
          </cell>
          <cell r="H30" t="str">
            <v>0E3362 </v>
          </cell>
          <cell r="I30" t="str">
            <v>TW0469 </v>
          </cell>
          <cell r="J30" t="str">
            <v>2026/04/23 </v>
          </cell>
          <cell r="K30" t="str">
            <v>2026/05/13 </v>
          </cell>
        </row>
        <row r="31">
          <cell r="A31" t="str">
            <v> TS60109091 </v>
          </cell>
          <cell r="B31" t="str">
            <v>05月 </v>
          </cell>
          <cell r="C31" t="str">
            <v>007 </v>
          </cell>
          <cell r="D31" t="str">
            <v>EGB6013RE </v>
          </cell>
          <cell r="E31" t="str">
            <v> （株）鵜飼 </v>
          </cell>
          <cell r="F31" t="str">
            <v> EGB6013RE-J </v>
          </cell>
          <cell r="G31" t="str">
            <v>STD </v>
          </cell>
          <cell r="H31" t="str">
            <v>0E1241 </v>
          </cell>
          <cell r="I31" t="str">
            <v>EGBR091 </v>
          </cell>
          <cell r="J31" t="str">
            <v>2026/04/24 </v>
          </cell>
          <cell r="K31" t="str">
            <v>2026/05/20 </v>
          </cell>
        </row>
        <row r="32">
          <cell r="A32" t="str">
            <v> TS41077180 </v>
          </cell>
          <cell r="B32" t="str">
            <v>05月 </v>
          </cell>
          <cell r="C32" t="str">
            <v>008 </v>
          </cell>
          <cell r="D32" t="str">
            <v>EGB4010E_EX </v>
          </cell>
          <cell r="E32" t="str">
            <v> CHINA </v>
          </cell>
          <cell r="F32" t="str">
            <v> EGB4010E-E </v>
          </cell>
          <cell r="G32" t="str">
            <v>LZS+BIS </v>
          </cell>
          <cell r="H32" t="str">
            <v>0E3362 </v>
          </cell>
          <cell r="I32" t="str">
            <v>CN0431 </v>
          </cell>
          <cell r="J32" t="str">
            <v>2026/04/25 </v>
          </cell>
          <cell r="K32" t="str">
            <v>2026/05/15 </v>
          </cell>
        </row>
        <row r="33">
          <cell r="A33" t="str">
            <v> TS41077170 </v>
          </cell>
          <cell r="B33" t="str">
            <v>05月 </v>
          </cell>
          <cell r="C33" t="str">
            <v>009 </v>
          </cell>
          <cell r="D33" t="str">
            <v>EGB4010E </v>
          </cell>
          <cell r="E33" t="str">
            <v> （株）シンコー </v>
          </cell>
          <cell r="F33" t="str">
            <v> EGB4010E-J </v>
          </cell>
          <cell r="G33" t="str">
            <v>LZS+BIS </v>
          </cell>
          <cell r="H33" t="str">
            <v>0E3361 </v>
          </cell>
          <cell r="I33" t="str">
            <v>180455 </v>
          </cell>
          <cell r="J33" t="str">
            <v>2026/04/30 </v>
          </cell>
          <cell r="K33" t="str">
            <v>2026/05/16 </v>
          </cell>
        </row>
        <row r="34">
          <cell r="A34" t="str">
            <v> TS61377122 </v>
          </cell>
          <cell r="B34" t="str">
            <v>05月 </v>
          </cell>
          <cell r="C34" t="str">
            <v>010 </v>
          </cell>
          <cell r="D34" t="str">
            <v>EGB6013E </v>
          </cell>
          <cell r="E34" t="str">
            <v> （株）シマヅテック </v>
          </cell>
          <cell r="F34" t="str">
            <v> EGB6013E-J </v>
          </cell>
          <cell r="G34" t="str">
            <v>LZS+BIS </v>
          </cell>
          <cell r="H34" t="str">
            <v>0E5494 </v>
          </cell>
          <cell r="I34" t="str">
            <v>180477 </v>
          </cell>
          <cell r="J34" t="str">
            <v>2026/05/01 </v>
          </cell>
          <cell r="K34" t="str">
            <v>2026/05/19 </v>
          </cell>
        </row>
        <row r="35">
          <cell r="A35" t="str">
            <v> TS60109092 </v>
          </cell>
          <cell r="B35" t="str">
            <v>05月 </v>
          </cell>
          <cell r="C35" t="str">
            <v>011 </v>
          </cell>
          <cell r="D35" t="str">
            <v>EGB6013RE </v>
          </cell>
          <cell r="E35" t="str">
            <v> （株）バンテックス </v>
          </cell>
          <cell r="F35" t="str">
            <v> EGB6013RE-J </v>
          </cell>
          <cell r="G35" t="str">
            <v>STD </v>
          </cell>
          <cell r="H35" t="str">
            <v>0E1241 </v>
          </cell>
          <cell r="I35" t="str">
            <v>EGBR092 </v>
          </cell>
          <cell r="J35" t="str">
            <v>2026/05/02 </v>
          </cell>
          <cell r="K35" t="str">
            <v>2026/05/26 </v>
          </cell>
        </row>
        <row r="36">
          <cell r="A36" t="str">
            <v> TS61377131 </v>
          </cell>
          <cell r="B36" t="str">
            <v>05月 </v>
          </cell>
          <cell r="C36" t="str">
            <v>012 </v>
          </cell>
          <cell r="D36" t="str">
            <v>EGB6013E_EXP </v>
          </cell>
          <cell r="E36" t="str">
            <v> ＡＭＡＤＡ　ＡＭＥＲＩＣＡ　ＩＮＣ． </v>
          </cell>
          <cell r="F36" t="str">
            <v> EGB6013E-E </v>
          </cell>
          <cell r="G36" t="str">
            <v>LZS+BIS </v>
          </cell>
          <cell r="H36" t="str">
            <v>0E5525 </v>
          </cell>
          <cell r="I36" t="str">
            <v>BDA1187 </v>
          </cell>
          <cell r="J36" t="str">
            <v>2026/05/08 </v>
          </cell>
          <cell r="K36" t="str">
            <v>2026/05/22 </v>
          </cell>
        </row>
        <row r="37">
          <cell r="A37" t="str">
            <v> TS60109090 </v>
          </cell>
          <cell r="B37" t="str">
            <v>05月 </v>
          </cell>
          <cell r="C37" t="str">
            <v>013 </v>
          </cell>
          <cell r="D37" t="str">
            <v>EGB6013RE </v>
          </cell>
          <cell r="E37" t="str">
            <v> （株）エリオ </v>
          </cell>
          <cell r="F37" t="str">
            <v> EGB6013RE-J </v>
          </cell>
          <cell r="G37" t="str">
            <v>STD </v>
          </cell>
          <cell r="H37" t="str">
            <v>0E1241 </v>
          </cell>
          <cell r="I37" t="str">
            <v>EGBR090 </v>
          </cell>
          <cell r="J37" t="str">
            <v>2026/05/09 </v>
          </cell>
          <cell r="K37" t="str">
            <v>2026/05/29 </v>
          </cell>
        </row>
        <row r="38">
          <cell r="A38" t="str">
            <v> TS61377130 </v>
          </cell>
          <cell r="B38" t="str">
            <v>05月 </v>
          </cell>
          <cell r="C38" t="str">
            <v>014 </v>
          </cell>
          <cell r="D38" t="str">
            <v>EGB6013E_EXP </v>
          </cell>
          <cell r="E38" t="str">
            <v> ＡＭＡＤＡ　ＡＭＥＲＩＣＡ　ＩＮＣ． </v>
          </cell>
          <cell r="F38" t="str">
            <v> EGB6013E-E </v>
          </cell>
          <cell r="G38" t="str">
            <v>LZS+BIS </v>
          </cell>
          <cell r="H38" t="str">
            <v>0E5525 </v>
          </cell>
          <cell r="I38" t="str">
            <v>BDA1186 </v>
          </cell>
          <cell r="J38" t="str">
            <v>2026/05/13 </v>
          </cell>
          <cell r="K38" t="str">
            <v>2026/05/27 </v>
          </cell>
        </row>
        <row r="39">
          <cell r="A39" t="str">
            <v> TS41077169 </v>
          </cell>
          <cell r="B39" t="str">
            <v>05月 </v>
          </cell>
          <cell r="C39" t="str">
            <v>015 </v>
          </cell>
          <cell r="D39" t="str">
            <v>EGB4010E </v>
          </cell>
          <cell r="E39" t="str">
            <v> （株）アマダベンディングＳ部 </v>
          </cell>
          <cell r="F39" t="str">
            <v> EGB4010E-J </v>
          </cell>
          <cell r="G39" t="str">
            <v>LZS+BIS </v>
          </cell>
          <cell r="H39" t="str">
            <v>0E3361 </v>
          </cell>
          <cell r="I39"/>
          <cell r="J39" t="str">
            <v>2026/05/15 </v>
          </cell>
          <cell r="K39" t="str">
            <v>2026/05/29 </v>
          </cell>
        </row>
        <row r="40">
          <cell r="A40" t="str">
            <v> TS60109098 </v>
          </cell>
          <cell r="B40" t="str">
            <v>06月 </v>
          </cell>
          <cell r="C40" t="str">
            <v>001 </v>
          </cell>
          <cell r="D40" t="str">
            <v>EGB6013RE_EXP </v>
          </cell>
          <cell r="E40" t="str">
            <v> ＡＭＡＤＡ　ＣＡＮＡＤＡ　ＬＴＤ． </v>
          </cell>
          <cell r="F40" t="str">
            <v> EGB6013RE-E </v>
          </cell>
          <cell r="G40" t="str">
            <v>STD </v>
          </cell>
          <cell r="H40" t="str">
            <v>0E1244 </v>
          </cell>
          <cell r="I40" t="str">
            <v>BDA1238 </v>
          </cell>
          <cell r="J40" t="str">
            <v>2026/05/16 </v>
          </cell>
          <cell r="K40" t="str">
            <v>2026/06/05 </v>
          </cell>
        </row>
        <row r="41">
          <cell r="A41" t="str">
            <v> TS41077182 </v>
          </cell>
          <cell r="B41" t="str">
            <v>06月 </v>
          </cell>
          <cell r="C41" t="str">
            <v>002 </v>
          </cell>
          <cell r="D41" t="str">
            <v>EGB4010E_EX </v>
          </cell>
          <cell r="E41" t="str">
            <v> 台湾 </v>
          </cell>
          <cell r="F41" t="str">
            <v> EGB4010E-E </v>
          </cell>
          <cell r="G41" t="str">
            <v>LZS+BIS </v>
          </cell>
          <cell r="H41" t="str">
            <v>0E3362 </v>
          </cell>
          <cell r="I41"/>
          <cell r="J41" t="str">
            <v>2026/05/20 </v>
          </cell>
          <cell r="K41" t="str">
            <v>2026/06/03 </v>
          </cell>
        </row>
        <row r="42">
          <cell r="A42" t="str">
            <v> TS41077183 </v>
          </cell>
          <cell r="B42" t="str">
            <v>06月 </v>
          </cell>
          <cell r="C42" t="str">
            <v>003 </v>
          </cell>
          <cell r="D42" t="str">
            <v>EGB4010E_EX </v>
          </cell>
          <cell r="E42" t="str">
            <v> 台湾 </v>
          </cell>
          <cell r="F42" t="str">
            <v> EGB4010E-E </v>
          </cell>
          <cell r="G42" t="str">
            <v>LZS+BIS </v>
          </cell>
          <cell r="H42" t="str">
            <v>0E3362 </v>
          </cell>
          <cell r="I42"/>
          <cell r="J42" t="str">
            <v>2026/05/21 </v>
          </cell>
          <cell r="K42" t="str">
            <v>2026/06/04 </v>
          </cell>
        </row>
        <row r="43">
          <cell r="A43" t="str">
            <v> TS60109095 </v>
          </cell>
          <cell r="B43" t="str">
            <v>06月 </v>
          </cell>
          <cell r="C43" t="str">
            <v>004 </v>
          </cell>
          <cell r="D43" t="str">
            <v>EGB6013RE </v>
          </cell>
          <cell r="E43" t="str">
            <v> （株）アマダベンディング自動化ＰＪ </v>
          </cell>
          <cell r="F43" t="str">
            <v> EGB6013RE-J </v>
          </cell>
          <cell r="G43" t="str">
            <v>STD </v>
          </cell>
          <cell r="H43" t="str">
            <v>0E1241 </v>
          </cell>
          <cell r="I43"/>
          <cell r="J43" t="str">
            <v>2026/05/22 </v>
          </cell>
          <cell r="K43" t="str">
            <v>2026/06/11 </v>
          </cell>
        </row>
        <row r="44">
          <cell r="A44" t="str">
            <v> TS41077184 </v>
          </cell>
          <cell r="B44" t="str">
            <v>06月 </v>
          </cell>
          <cell r="C44" t="str">
            <v>005 </v>
          </cell>
          <cell r="D44" t="str">
            <v>EGB4010E_EX </v>
          </cell>
          <cell r="E44" t="str">
            <v> 台湾 </v>
          </cell>
          <cell r="F44" t="str">
            <v> EGB4010E-E </v>
          </cell>
          <cell r="G44" t="str">
            <v>LZS+BIS </v>
          </cell>
          <cell r="H44" t="str">
            <v>0E3362 </v>
          </cell>
          <cell r="I44"/>
          <cell r="J44" t="str">
            <v>2026/05/23 </v>
          </cell>
          <cell r="K44" t="str">
            <v>2026/06/06 </v>
          </cell>
        </row>
        <row r="45">
          <cell r="A45" t="str">
            <v> TS61377123 </v>
          </cell>
          <cell r="B45" t="str">
            <v>06月 </v>
          </cell>
          <cell r="C45" t="str">
            <v>006 </v>
          </cell>
          <cell r="D45" t="str">
            <v>EGB6013E </v>
          </cell>
          <cell r="E45" t="str">
            <v>  </v>
          </cell>
          <cell r="F45" t="str">
            <v> EGB6013E-J </v>
          </cell>
          <cell r="G45" t="str">
            <v>STD </v>
          </cell>
          <cell r="H45" t="str">
            <v>0E5494 </v>
          </cell>
          <cell r="I45"/>
          <cell r="J45" t="str">
            <v>2026/05/26 </v>
          </cell>
          <cell r="K45" t="str">
            <v>2026/06/05 </v>
          </cell>
        </row>
        <row r="46">
          <cell r="A46" t="str">
            <v> TS61377132 </v>
          </cell>
          <cell r="B46" t="str">
            <v>06月 </v>
          </cell>
          <cell r="C46" t="str">
            <v>007 </v>
          </cell>
          <cell r="D46" t="str">
            <v>EGB6013E_EXP </v>
          </cell>
          <cell r="E46" t="str">
            <v> 【ブラジル】ASUS Industria de Maquinas A </v>
          </cell>
          <cell r="F46" t="str">
            <v> EGB6013E-E </v>
          </cell>
          <cell r="G46" t="str">
            <v>LZS+BIS </v>
          </cell>
          <cell r="H46" t="str">
            <v>0E5525 </v>
          </cell>
          <cell r="I46" t="str">
            <v>BDH0521 </v>
          </cell>
          <cell r="J46" t="str">
            <v>2026/05/27 </v>
          </cell>
          <cell r="K46" t="str">
            <v>2026/06/10 </v>
          </cell>
        </row>
        <row r="47">
          <cell r="A47" t="str">
            <v> TS60109096 </v>
          </cell>
          <cell r="B47" t="str">
            <v>06月 </v>
          </cell>
          <cell r="C47" t="str">
            <v>008 </v>
          </cell>
          <cell r="D47" t="str">
            <v>EGB6013RE </v>
          </cell>
          <cell r="E47" t="str">
            <v> （株）アマダベンディング自動化ＰＪ </v>
          </cell>
          <cell r="F47" t="str">
            <v> EGB6013RE-J </v>
          </cell>
          <cell r="G47" t="str">
            <v>STD </v>
          </cell>
          <cell r="H47" t="str">
            <v>0E1241 </v>
          </cell>
          <cell r="I47"/>
          <cell r="J47" t="str">
            <v>2026/05/28 </v>
          </cell>
          <cell r="K47" t="str">
            <v>2026/06/17 </v>
          </cell>
        </row>
        <row r="48">
          <cell r="A48" t="str">
            <v> TS41077185 </v>
          </cell>
          <cell r="B48" t="str">
            <v>06月 </v>
          </cell>
          <cell r="C48" t="str">
            <v>009 </v>
          </cell>
          <cell r="D48" t="str">
            <v>EGB4010E_EX </v>
          </cell>
          <cell r="E48" t="str">
            <v> 中国 </v>
          </cell>
          <cell r="F48" t="str">
            <v> EGB4010E-E </v>
          </cell>
          <cell r="G48" t="str">
            <v>LZS+BIS </v>
          </cell>
          <cell r="H48" t="str">
            <v>0E3362 </v>
          </cell>
          <cell r="I48"/>
          <cell r="J48" t="str">
            <v>2026/05/29 </v>
          </cell>
          <cell r="K48" t="str">
            <v>2026/06/12 </v>
          </cell>
        </row>
        <row r="49">
          <cell r="A49" t="str">
            <v> TS41077172 </v>
          </cell>
          <cell r="B49" t="str">
            <v>06月 </v>
          </cell>
          <cell r="C49" t="str">
            <v>010 </v>
          </cell>
          <cell r="D49" t="str">
            <v>EGB4010E </v>
          </cell>
          <cell r="E49" t="str">
            <v>  </v>
          </cell>
          <cell r="F49" t="str">
            <v> EGB4010E-J </v>
          </cell>
          <cell r="G49" t="str">
            <v>STD+LZS </v>
          </cell>
          <cell r="H49" t="str">
            <v>0E3361 </v>
          </cell>
          <cell r="I49"/>
          <cell r="J49" t="str">
            <v>2026/06/02 </v>
          </cell>
          <cell r="K49" t="str">
            <v>2026/06/13 </v>
          </cell>
        </row>
        <row r="50">
          <cell r="A50" t="str">
            <v> TS60109097 </v>
          </cell>
          <cell r="B50" t="str">
            <v>06月 </v>
          </cell>
          <cell r="C50" t="str">
            <v>011 </v>
          </cell>
          <cell r="D50" t="str">
            <v>EGB6013RE_EXP </v>
          </cell>
          <cell r="E50" t="str">
            <v> ＡＭＡＤＡ　ＡＭＥＲＩＣＡ　ＩＮＣ． </v>
          </cell>
          <cell r="F50" t="str">
            <v> EGB6013RE-E </v>
          </cell>
          <cell r="G50" t="str">
            <v>STD </v>
          </cell>
          <cell r="H50" t="str">
            <v>0E1244 </v>
          </cell>
          <cell r="I50" t="str">
            <v>BDA1209 </v>
          </cell>
          <cell r="J50" t="str">
            <v>2026/06/03 </v>
          </cell>
          <cell r="K50" t="str">
            <v>2026/06/23 </v>
          </cell>
        </row>
        <row r="51">
          <cell r="A51" t="str">
            <v> TS41077171 </v>
          </cell>
          <cell r="B51" t="str">
            <v>06月 </v>
          </cell>
          <cell r="C51" t="str">
            <v>012 </v>
          </cell>
          <cell r="D51" t="str">
            <v>EGB4010E </v>
          </cell>
          <cell r="E51" t="str">
            <v>  </v>
          </cell>
          <cell r="F51" t="str">
            <v> EGB4010E-J </v>
          </cell>
          <cell r="G51" t="str">
            <v>LZS+BIS </v>
          </cell>
          <cell r="H51" t="str">
            <v>0E3361 </v>
          </cell>
          <cell r="I51"/>
          <cell r="J51" t="str">
            <v>2026/06/04 </v>
          </cell>
          <cell r="K51" t="str">
            <v>2026/06/18 </v>
          </cell>
        </row>
        <row r="52">
          <cell r="A52" t="str">
            <v> TS61377133 </v>
          </cell>
          <cell r="B52" t="str">
            <v>06月 </v>
          </cell>
          <cell r="C52" t="str">
            <v>013 </v>
          </cell>
          <cell r="D52" t="str">
            <v>EGB6013E_EXP </v>
          </cell>
          <cell r="E52" t="str">
            <v> 【ベトナム】GOODWILL SAI GON CO.,LTD </v>
          </cell>
          <cell r="F52" t="str">
            <v> EGB6013E-E </v>
          </cell>
          <cell r="G52" t="str">
            <v>LZS+BIS </v>
          </cell>
          <cell r="H52" t="str">
            <v>0E5525 </v>
          </cell>
          <cell r="I52" t="str">
            <v>ASB0870 </v>
          </cell>
          <cell r="J52" t="str">
            <v>2026/06/06 </v>
          </cell>
          <cell r="K52" t="str">
            <v>2026/06/20 </v>
          </cell>
        </row>
        <row r="53">
          <cell r="A53" t="str">
            <v> TS60109094 </v>
          </cell>
          <cell r="B53" t="str">
            <v>06月 </v>
          </cell>
          <cell r="C53" t="str">
            <v>014 </v>
          </cell>
          <cell r="D53" t="str">
            <v>EGB6013RE </v>
          </cell>
          <cell r="E53" t="str">
            <v> （株）山一金属製作所 </v>
          </cell>
          <cell r="F53" t="str">
            <v> EGB6013RE-J </v>
          </cell>
          <cell r="G53" t="str">
            <v>STD </v>
          </cell>
          <cell r="H53" t="str">
            <v>0E1241 </v>
          </cell>
          <cell r="I53" t="str">
            <v>EGBR094 </v>
          </cell>
          <cell r="J53" t="str">
            <v>2026/06/09 </v>
          </cell>
          <cell r="K53" t="str">
            <v>2026/06/27 </v>
          </cell>
        </row>
        <row r="54">
          <cell r="A54" t="str">
            <v> TS41077173 </v>
          </cell>
          <cell r="B54" t="str">
            <v>06月 </v>
          </cell>
          <cell r="C54" t="str">
            <v>015 </v>
          </cell>
          <cell r="D54" t="str">
            <v>EGB4010E </v>
          </cell>
          <cell r="E54" t="str">
            <v> 竹内鋼材（株） </v>
          </cell>
          <cell r="F54" t="str">
            <v> EGB4010E-J </v>
          </cell>
          <cell r="G54" t="str">
            <v>STD+LZS </v>
          </cell>
          <cell r="H54" t="str">
            <v>0E3361 </v>
          </cell>
          <cell r="I54" t="str">
            <v>182600 </v>
          </cell>
          <cell r="J54" t="str">
            <v>2026/06/10 </v>
          </cell>
          <cell r="K54" t="str">
            <v>2026/06/23 </v>
          </cell>
        </row>
        <row r="55">
          <cell r="A55" t="str">
            <v> TS41077178 </v>
          </cell>
          <cell r="B55" t="str">
            <v>06月 </v>
          </cell>
          <cell r="C55" t="str">
            <v>016 </v>
          </cell>
          <cell r="D55" t="str">
            <v>EGB4010E_EX </v>
          </cell>
          <cell r="E55" t="str">
            <v> ＡＭＡＤＡ　ＡＭＥＲＩＣＡ　ＩＮＣ． </v>
          </cell>
          <cell r="F55" t="str">
            <v> EGB4010E-E </v>
          </cell>
          <cell r="G55" t="str">
            <v>STD+LZS </v>
          </cell>
          <cell r="H55" t="str">
            <v>0E3362 </v>
          </cell>
          <cell r="I55" t="str">
            <v>BDA1206 </v>
          </cell>
          <cell r="J55" t="str">
            <v>2026/06/11 </v>
          </cell>
          <cell r="K55" t="str">
            <v>2026/06/24 </v>
          </cell>
        </row>
        <row r="56">
          <cell r="A56" t="str">
            <v> TS41077179 </v>
          </cell>
          <cell r="B56" t="str">
            <v>06月 </v>
          </cell>
          <cell r="C56" t="str">
            <v>017 </v>
          </cell>
          <cell r="D56" t="str">
            <v>EGB4010E_EX </v>
          </cell>
          <cell r="E56" t="str">
            <v> ＡＭＡＤＡ　ＡＭＥＲＩＣＡ　ＩＮＣ． </v>
          </cell>
          <cell r="F56" t="str">
            <v> EGB4010E-E </v>
          </cell>
          <cell r="G56" t="str">
            <v>STD+LZS </v>
          </cell>
          <cell r="H56" t="str">
            <v>0E3362 </v>
          </cell>
          <cell r="I56" t="str">
            <v>BDA1207 </v>
          </cell>
          <cell r="J56" t="str">
            <v>2026/06/13 </v>
          </cell>
          <cell r="K56" t="str">
            <v>2026/06/26 </v>
          </cell>
        </row>
        <row r="57">
          <cell r="A57" t="str">
            <v> TS61377124 </v>
          </cell>
          <cell r="B57" t="str">
            <v>06月 </v>
          </cell>
          <cell r="C57" t="str">
            <v>018 </v>
          </cell>
          <cell r="D57" t="str">
            <v>EGB6013E </v>
          </cell>
          <cell r="E57" t="str">
            <v>  </v>
          </cell>
          <cell r="F57" t="str">
            <v> EGB6013E-J </v>
          </cell>
          <cell r="G57" t="str">
            <v>STD </v>
          </cell>
          <cell r="H57" t="str">
            <v>0E5494 </v>
          </cell>
          <cell r="I57"/>
          <cell r="J57" t="str">
            <v>2026/06/17 </v>
          </cell>
          <cell r="K57" t="str">
            <v>2026/06/27 </v>
          </cell>
        </row>
        <row r="58">
          <cell r="A58" t="str">
            <v> TS41077177 </v>
          </cell>
          <cell r="B58" t="str">
            <v>07月 </v>
          </cell>
          <cell r="C58" t="str">
            <v>001 </v>
          </cell>
          <cell r="D58" t="str">
            <v>EGB4010E </v>
          </cell>
          <cell r="E58" t="str">
            <v> （株）エリオ </v>
          </cell>
          <cell r="F58" t="str">
            <v> EGB4010E-J </v>
          </cell>
          <cell r="G58" t="str">
            <v>LZS+BIS </v>
          </cell>
          <cell r="H58" t="str">
            <v>0E3361 </v>
          </cell>
          <cell r="I58" t="str">
            <v>181599 </v>
          </cell>
          <cell r="J58" t="str">
            <v>2026/06/19 </v>
          </cell>
          <cell r="K58" t="str">
            <v>2026/07/03 </v>
          </cell>
        </row>
        <row r="59">
          <cell r="A59" t="str">
            <v> TS41077186 </v>
          </cell>
          <cell r="B59" t="str">
            <v>07月 </v>
          </cell>
          <cell r="C59" t="str">
            <v>002 </v>
          </cell>
          <cell r="D59" t="str">
            <v>EGB4010E </v>
          </cell>
          <cell r="E59" t="str">
            <v>  </v>
          </cell>
          <cell r="F59" t="str">
            <v> EGB4010E-J </v>
          </cell>
          <cell r="G59" t="str">
            <v>LZS+BIS </v>
          </cell>
          <cell r="H59" t="str">
            <v>0E3361 </v>
          </cell>
          <cell r="I59"/>
          <cell r="J59" t="str">
            <v>2026/06/23 </v>
          </cell>
          <cell r="K59" t="str">
            <v>2026/07/07 </v>
          </cell>
        </row>
        <row r="60">
          <cell r="A60" t="str">
            <v> TS </v>
          </cell>
          <cell r="B60" t="str">
            <v>07月 </v>
          </cell>
          <cell r="C60" t="str">
            <v>003 </v>
          </cell>
          <cell r="D60" t="str">
            <v>EGB6013E_EXP </v>
          </cell>
          <cell r="E60" t="str">
            <v> オーバーシーズ </v>
          </cell>
          <cell r="F60" t="str">
            <v> EGB6013E-E </v>
          </cell>
          <cell r="G60" t="str">
            <v>LZS+BIS </v>
          </cell>
          <cell r="H60" t="str">
            <v>0E5525 </v>
          </cell>
          <cell r="I60"/>
          <cell r="J60" t="str">
            <v>2026/06/26 </v>
          </cell>
          <cell r="K60" t="str">
            <v>2026/07/10 </v>
          </cell>
        </row>
        <row r="61">
          <cell r="A61" t="str">
            <v> TS60109103 </v>
          </cell>
          <cell r="B61" t="str">
            <v>07月 </v>
          </cell>
          <cell r="C61" t="str">
            <v>004 </v>
          </cell>
          <cell r="D61" t="str">
            <v>EGB6013RE_EXP </v>
          </cell>
          <cell r="E61" t="str">
            <v> アマダアメリカ </v>
          </cell>
          <cell r="F61" t="str">
            <v> EGB6013RE-E </v>
          </cell>
          <cell r="G61" t="str">
            <v>STD </v>
          </cell>
          <cell r="H61" t="str">
            <v>0E1244 </v>
          </cell>
          <cell r="I61"/>
          <cell r="J61" t="str">
            <v>2026/06/26 </v>
          </cell>
          <cell r="K61" t="str">
            <v>2026/07/16 </v>
          </cell>
        </row>
        <row r="62">
          <cell r="A62" t="str">
            <v> TS </v>
          </cell>
          <cell r="B62" t="str">
            <v>07月 </v>
          </cell>
          <cell r="C62" t="str">
            <v>005 </v>
          </cell>
          <cell r="D62" t="str">
            <v>EGB6013E_EXP </v>
          </cell>
          <cell r="E62" t="str">
            <v> オーバーシーズ </v>
          </cell>
          <cell r="F62" t="str">
            <v> EGB6013E-E </v>
          </cell>
          <cell r="G62" t="str">
            <v>LZS+BIS </v>
          </cell>
          <cell r="H62" t="str">
            <v>0E5525 </v>
          </cell>
          <cell r="I62"/>
          <cell r="J62" t="str">
            <v>2026/06/30 </v>
          </cell>
          <cell r="K62" t="str">
            <v>2026/07/14 </v>
          </cell>
        </row>
        <row r="63">
          <cell r="A63" t="str">
            <v> TS60109101 </v>
          </cell>
          <cell r="B63" t="str">
            <v>07月 </v>
          </cell>
          <cell r="C63" t="str">
            <v>006 </v>
          </cell>
          <cell r="D63" t="str">
            <v>EGB6013RE </v>
          </cell>
          <cell r="E63" t="str">
            <v>  </v>
          </cell>
          <cell r="F63" t="str">
            <v> EGB6013RE-J </v>
          </cell>
          <cell r="G63" t="str">
            <v>STD </v>
          </cell>
          <cell r="H63" t="str">
            <v>0E1241 </v>
          </cell>
          <cell r="I63"/>
          <cell r="J63" t="str">
            <v>2026/07/03 </v>
          </cell>
          <cell r="K63" t="str">
            <v>2026/07/23 </v>
          </cell>
        </row>
        <row r="64">
          <cell r="A64" t="str">
            <v> TS </v>
          </cell>
          <cell r="B64" t="str">
            <v>07月 </v>
          </cell>
          <cell r="C64" t="str">
            <v>007 </v>
          </cell>
          <cell r="D64" t="str">
            <v>EGB6013E_EXP </v>
          </cell>
          <cell r="E64" t="str">
            <v> オーバーシーズ </v>
          </cell>
          <cell r="F64" t="str">
            <v> EGB6013E-E </v>
          </cell>
          <cell r="G64" t="str">
            <v>LZS+BIS </v>
          </cell>
          <cell r="H64" t="str">
            <v>0E5525 </v>
          </cell>
          <cell r="I64"/>
          <cell r="J64" t="str">
            <v>2026/07/03 </v>
          </cell>
          <cell r="K64" t="str">
            <v>2026/07/17 </v>
          </cell>
        </row>
        <row r="65">
          <cell r="A65" t="str">
            <v> TS41077187 </v>
          </cell>
          <cell r="B65" t="str">
            <v>07月 </v>
          </cell>
          <cell r="C65" t="str">
            <v>008 </v>
          </cell>
          <cell r="D65" t="str">
            <v>EGB4010E </v>
          </cell>
          <cell r="E65" t="str">
            <v>  </v>
          </cell>
          <cell r="F65" t="str">
            <v> EGB4010E-J </v>
          </cell>
          <cell r="G65" t="str">
            <v>LZS+BIS </v>
          </cell>
          <cell r="H65" t="str">
            <v>0E3361 </v>
          </cell>
          <cell r="I65"/>
          <cell r="J65" t="str">
            <v>2026/07/08 </v>
          </cell>
          <cell r="K65" t="str">
            <v>2026/07/22 </v>
          </cell>
        </row>
        <row r="66">
          <cell r="A66" t="str">
            <v> TS </v>
          </cell>
          <cell r="B66" t="str">
            <v>07月 </v>
          </cell>
          <cell r="C66" t="str">
            <v>009 </v>
          </cell>
          <cell r="D66" t="str">
            <v>EGB4010E_EX </v>
          </cell>
          <cell r="E66" t="str">
            <v> オーバーシーズ </v>
          </cell>
          <cell r="F66" t="str">
            <v> EGB4010E-E </v>
          </cell>
          <cell r="G66" t="str">
            <v>STD+LZS </v>
          </cell>
          <cell r="H66" t="str">
            <v>0E3362 </v>
          </cell>
          <cell r="I66"/>
          <cell r="J66" t="str">
            <v>2026/07/10 </v>
          </cell>
          <cell r="K66" t="str">
            <v>2026/07/23 </v>
          </cell>
        </row>
        <row r="67">
          <cell r="A67" t="str">
            <v> TS </v>
          </cell>
          <cell r="B67" t="str">
            <v>07月 </v>
          </cell>
          <cell r="C67" t="str">
            <v>010 </v>
          </cell>
          <cell r="D67" t="str">
            <v>EGB4010E_EX </v>
          </cell>
          <cell r="E67" t="str">
            <v> オーバーシーズ </v>
          </cell>
          <cell r="F67" t="str">
            <v> EGB4010E-E </v>
          </cell>
          <cell r="G67" t="str">
            <v>STD+LZS </v>
          </cell>
          <cell r="H67" t="str">
            <v>0E3362 </v>
          </cell>
          <cell r="I67"/>
          <cell r="J67" t="str">
            <v>2026/07/14 </v>
          </cell>
          <cell r="K67" t="str">
            <v>2026/07/28 </v>
          </cell>
        </row>
        <row r="68">
          <cell r="A68" t="str">
            <v> TS61377134 </v>
          </cell>
          <cell r="B68" t="str">
            <v>07月 </v>
          </cell>
          <cell r="C68" t="str">
            <v>011 </v>
          </cell>
          <cell r="D68" t="str">
            <v>EGB6013E </v>
          </cell>
          <cell r="E68" t="str">
            <v>  </v>
          </cell>
          <cell r="F68" t="str">
            <v> EGB6013E-J </v>
          </cell>
          <cell r="G68" t="str">
            <v>STD </v>
          </cell>
          <cell r="H68" t="str">
            <v>0E5494 </v>
          </cell>
          <cell r="I68"/>
          <cell r="J68" t="str">
            <v>2026/07/16 </v>
          </cell>
          <cell r="K68" t="str">
            <v>2026/07/29 </v>
          </cell>
        </row>
        <row r="69">
          <cell r="A69" t="str">
            <v> TS61377135 </v>
          </cell>
          <cell r="B69" t="str">
            <v>07月 </v>
          </cell>
          <cell r="C69" t="str">
            <v>012 </v>
          </cell>
          <cell r="D69" t="str">
            <v>EGB6013E </v>
          </cell>
          <cell r="E69" t="str">
            <v>  </v>
          </cell>
          <cell r="F69" t="str">
            <v> EGB6013E-J </v>
          </cell>
          <cell r="G69" t="str">
            <v>STD </v>
          </cell>
          <cell r="H69" t="str">
            <v>0E5494 </v>
          </cell>
          <cell r="I69"/>
          <cell r="J69" t="str">
            <v>2026/07/18 </v>
          </cell>
          <cell r="K69" t="str">
            <v>2026/07/31 </v>
          </cell>
        </row>
        <row r="70">
          <cell r="A70" t="str">
            <v> TS41077188 </v>
          </cell>
          <cell r="B70" t="str">
            <v>08月 </v>
          </cell>
          <cell r="C70" t="str">
            <v>001 </v>
          </cell>
          <cell r="D70" t="str">
            <v>EGB4010E </v>
          </cell>
          <cell r="E70" t="str">
            <v> （株）ティアンドエス </v>
          </cell>
          <cell r="F70" t="str">
            <v> EGB4010E-J </v>
          </cell>
          <cell r="G70" t="str">
            <v>LZS+BIS </v>
          </cell>
          <cell r="H70" t="str">
            <v>0E3361 </v>
          </cell>
          <cell r="I70" t="str">
            <v>181598 </v>
          </cell>
          <cell r="J70" t="str">
            <v>2026/07/22 </v>
          </cell>
          <cell r="K70" t="str">
            <v>2026/08/06 </v>
          </cell>
        </row>
        <row r="71">
          <cell r="A71" t="str">
            <v> TS60109105 </v>
          </cell>
          <cell r="B71" t="str">
            <v>08月 </v>
          </cell>
          <cell r="C71" t="str">
            <v>002 </v>
          </cell>
          <cell r="D71" t="str">
            <v>EGB6013RE_EXP </v>
          </cell>
          <cell r="E71" t="str">
            <v> 中国 </v>
          </cell>
          <cell r="F71" t="str">
            <v> EGB6013RE-E </v>
          </cell>
          <cell r="G71" t="str">
            <v>STD </v>
          </cell>
          <cell r="H71" t="str">
            <v>0E1244 </v>
          </cell>
          <cell r="I71"/>
          <cell r="J71" t="str">
            <v>2026/07/22 </v>
          </cell>
          <cell r="K71" t="str">
            <v>2026/08/19 </v>
          </cell>
        </row>
        <row r="72">
          <cell r="A72" t="str">
            <v> TS41077189 </v>
          </cell>
          <cell r="B72" t="str">
            <v>08月 </v>
          </cell>
          <cell r="C72" t="str">
            <v>003 </v>
          </cell>
          <cell r="D72" t="str">
            <v>EGB4010E </v>
          </cell>
          <cell r="E72" t="str">
            <v>  </v>
          </cell>
          <cell r="F72" t="str">
            <v> EGB4010E-J </v>
          </cell>
          <cell r="G72" t="str">
            <v>LZS+BIS </v>
          </cell>
          <cell r="H72" t="str">
            <v>0E3361 </v>
          </cell>
          <cell r="I72"/>
          <cell r="J72" t="str">
            <v>2026/07/24 </v>
          </cell>
          <cell r="K72" t="str">
            <v>2026/08/08 </v>
          </cell>
        </row>
        <row r="73">
          <cell r="A73" t="str">
            <v> TS60109104 </v>
          </cell>
          <cell r="B73" t="str">
            <v>08月 </v>
          </cell>
          <cell r="C73" t="str">
            <v>004 </v>
          </cell>
          <cell r="D73" t="str">
            <v>EGB6013RE_EXP </v>
          </cell>
          <cell r="E73" t="str">
            <v> アマダアメリカ </v>
          </cell>
          <cell r="F73" t="str">
            <v> EGB6013RE-E </v>
          </cell>
          <cell r="G73" t="str">
            <v>STD </v>
          </cell>
          <cell r="H73" t="str">
            <v>0E1244 </v>
          </cell>
          <cell r="I73"/>
          <cell r="J73" t="str">
            <v>2026/07/28 </v>
          </cell>
          <cell r="K73" t="str">
            <v>2026/08/22 </v>
          </cell>
        </row>
        <row r="74">
          <cell r="A74" t="str">
            <v> TS </v>
          </cell>
          <cell r="B74" t="str">
            <v>08月 </v>
          </cell>
          <cell r="C74" t="str">
            <v>005 </v>
          </cell>
          <cell r="D74" t="str">
            <v>EGB6013E_EXP </v>
          </cell>
          <cell r="E74" t="str">
            <v> オーバーシーズ </v>
          </cell>
          <cell r="F74" t="str">
            <v> EGB6013E-E </v>
          </cell>
          <cell r="G74" t="str">
            <v>LZS+BIS </v>
          </cell>
          <cell r="H74" t="str">
            <v>0E5525 </v>
          </cell>
          <cell r="I74"/>
          <cell r="J74" t="str">
            <v>2026/07/29 </v>
          </cell>
          <cell r="K74" t="str">
            <v>2026/08/19 </v>
          </cell>
        </row>
        <row r="75">
          <cell r="A75" t="str">
            <v> TS </v>
          </cell>
          <cell r="B75" t="str">
            <v>08月 </v>
          </cell>
          <cell r="C75" t="str">
            <v>006 </v>
          </cell>
          <cell r="D75" t="str">
            <v>EGB6013E_EXP </v>
          </cell>
          <cell r="E75" t="str">
            <v> オーバーシーズ </v>
          </cell>
          <cell r="F75" t="str">
            <v> EGB6013E-E </v>
          </cell>
          <cell r="G75" t="str">
            <v>LZS+BIS </v>
          </cell>
          <cell r="H75" t="str">
            <v>0E5525 </v>
          </cell>
          <cell r="I75"/>
          <cell r="J75" t="str">
            <v>2026/07/31 </v>
          </cell>
          <cell r="K75" t="str">
            <v>2026/08/21 </v>
          </cell>
        </row>
        <row r="76">
          <cell r="A76" t="str">
            <v> TS60109102 </v>
          </cell>
          <cell r="B76" t="str">
            <v>08月 </v>
          </cell>
          <cell r="C76" t="str">
            <v>007 </v>
          </cell>
          <cell r="D76" t="str">
            <v>EGB6013RE </v>
          </cell>
          <cell r="E76" t="str">
            <v> 大和テック（株） </v>
          </cell>
          <cell r="F76" t="str">
            <v> EGB6013RE-J </v>
          </cell>
          <cell r="G76" t="str">
            <v>STD </v>
          </cell>
          <cell r="H76" t="str">
            <v>0E1241 </v>
          </cell>
          <cell r="I76" t="str">
            <v>EGBR102 </v>
          </cell>
          <cell r="J76" t="str">
            <v>2026/08/01 </v>
          </cell>
          <cell r="K76" t="str">
            <v>2026/08/28 </v>
          </cell>
        </row>
        <row r="77">
          <cell r="A77" t="str">
            <v> TS41077190 </v>
          </cell>
          <cell r="B77" t="str">
            <v>08月 </v>
          </cell>
          <cell r="C77" t="str">
            <v>008 </v>
          </cell>
          <cell r="D77" t="str">
            <v>EGB4010E </v>
          </cell>
          <cell r="E77" t="str">
            <v>  </v>
          </cell>
          <cell r="F77" t="str">
            <v> EGB4010E-J </v>
          </cell>
          <cell r="G77" t="str">
            <v>LZS+BIS </v>
          </cell>
          <cell r="H77" t="str">
            <v>0E3361 </v>
          </cell>
          <cell r="I77"/>
          <cell r="J77" t="str">
            <v>2026/08/04 </v>
          </cell>
          <cell r="K77" t="str">
            <v>2026/08/25 </v>
          </cell>
        </row>
        <row r="78">
          <cell r="A78" t="str">
            <v> TS </v>
          </cell>
          <cell r="B78" t="str">
            <v>08月 </v>
          </cell>
          <cell r="C78" t="str">
            <v>009 </v>
          </cell>
          <cell r="D78" t="str">
            <v>EGB4010E_EX </v>
          </cell>
          <cell r="E78" t="str">
            <v> オーバーシーズ </v>
          </cell>
          <cell r="F78" t="str">
            <v> EGB4010E-E </v>
          </cell>
          <cell r="G78" t="str">
            <v>STD+LZS </v>
          </cell>
          <cell r="H78" t="str">
            <v>0E3362 </v>
          </cell>
          <cell r="I78"/>
          <cell r="J78" t="str">
            <v>2026/08/05 </v>
          </cell>
          <cell r="K78" t="str">
            <v>2026/08/25 </v>
          </cell>
        </row>
        <row r="79">
          <cell r="A79" t="str">
            <v> TS </v>
          </cell>
          <cell r="B79" t="str">
            <v>08月 </v>
          </cell>
          <cell r="C79" t="str">
            <v>010 </v>
          </cell>
          <cell r="D79" t="str">
            <v>EGB4010E_EX </v>
          </cell>
          <cell r="E79" t="str">
            <v> オーバーシーズ </v>
          </cell>
          <cell r="F79" t="str">
            <v> EGB4010E-E </v>
          </cell>
          <cell r="G79" t="str">
            <v>STD+LZS </v>
          </cell>
          <cell r="H79" t="str">
            <v>0E3362 </v>
          </cell>
          <cell r="I79"/>
          <cell r="J79" t="str">
            <v>2026/08/07 </v>
          </cell>
          <cell r="K79" t="str">
            <v>2026/08/27 </v>
          </cell>
        </row>
        <row r="80">
          <cell r="A80" t="str">
            <v> TS61377136 </v>
          </cell>
          <cell r="B80" t="str">
            <v>08月 </v>
          </cell>
          <cell r="C80" t="str">
            <v>011 </v>
          </cell>
          <cell r="D80" t="str">
            <v>EGB6013E </v>
          </cell>
          <cell r="E80" t="str">
            <v>  </v>
          </cell>
          <cell r="F80" t="str">
            <v> EGB6013E-J </v>
          </cell>
          <cell r="G80" t="str">
            <v>STD </v>
          </cell>
          <cell r="H80" t="str">
            <v>0E5494 </v>
          </cell>
          <cell r="I80"/>
          <cell r="J80" t="str">
            <v>2026/08/18 </v>
          </cell>
          <cell r="K80" t="str">
            <v>2026/08/28 </v>
          </cell>
        </row>
        <row r="81">
          <cell r="A81" t="str">
            <v> TS61377137 </v>
          </cell>
          <cell r="B81" t="str">
            <v>08月 </v>
          </cell>
          <cell r="C81" t="str">
            <v>012 </v>
          </cell>
          <cell r="D81" t="str">
            <v>EGB6013E </v>
          </cell>
          <cell r="E81" t="str">
            <v>  </v>
          </cell>
          <cell r="F81" t="str">
            <v> EGB6013E-J </v>
          </cell>
          <cell r="G81" t="str">
            <v>STD </v>
          </cell>
          <cell r="H81" t="str">
            <v>0E5494 </v>
          </cell>
          <cell r="I81"/>
          <cell r="J81" t="str">
            <v>2026/08/19 </v>
          </cell>
          <cell r="K81" t="str">
            <v>2026/08/29 </v>
          </cell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</row>
      </sheetData>
      <sheetData sheetId="13">
        <row r="3">
          <cell r="A3" t="str">
            <v> TS61377116 </v>
          </cell>
          <cell r="B3" t="str">
            <v>03月 </v>
          </cell>
          <cell r="C3" t="str">
            <v>001 </v>
          </cell>
          <cell r="D3" t="str">
            <v>EGB6013E </v>
          </cell>
          <cell r="E3" t="str">
            <v> 荒川鉄鋼（株） </v>
          </cell>
          <cell r="F3" t="str">
            <v> EGB6013E-J </v>
          </cell>
          <cell r="G3" t="str">
            <v>LZS+BIS </v>
          </cell>
          <cell r="H3" t="str">
            <v>0E5494 </v>
          </cell>
          <cell r="I3" t="str">
            <v>185999 </v>
          </cell>
          <cell r="J3" t="str">
            <v>2026/02/19 </v>
          </cell>
          <cell r="K3" t="str">
            <v>2026/03/05 </v>
          </cell>
        </row>
        <row r="4">
          <cell r="A4" t="str">
            <v> TS41077166 </v>
          </cell>
          <cell r="B4" t="str">
            <v>03月 </v>
          </cell>
          <cell r="C4" t="str">
            <v>002 </v>
          </cell>
          <cell r="D4" t="str">
            <v>EGB4010E </v>
          </cell>
          <cell r="E4" t="str">
            <v> （株）イナダ </v>
          </cell>
          <cell r="F4" t="str">
            <v> EGB4010E-J </v>
          </cell>
          <cell r="G4" t="str">
            <v>LZS+BIS </v>
          </cell>
          <cell r="H4" t="str">
            <v>0E3361 </v>
          </cell>
          <cell r="I4" t="str">
            <v>187133 </v>
          </cell>
          <cell r="J4" t="str">
            <v>2026/02/24 </v>
          </cell>
          <cell r="K4" t="str">
            <v>2026/03/10 </v>
          </cell>
        </row>
        <row r="5">
          <cell r="A5" t="str">
            <v> TS60109081 </v>
          </cell>
          <cell r="B5" t="str">
            <v>03月 </v>
          </cell>
          <cell r="C5" t="str">
            <v>003 </v>
          </cell>
          <cell r="D5" t="str">
            <v>EGB6013RE </v>
          </cell>
          <cell r="E5" t="str">
            <v> （有）タナカ製作所 </v>
          </cell>
          <cell r="F5" t="str">
            <v> EGB6013RE-J </v>
          </cell>
          <cell r="G5" t="str">
            <v>STD </v>
          </cell>
          <cell r="H5" t="str">
            <v>0E1241 </v>
          </cell>
          <cell r="I5" t="str">
            <v>EGBR084 </v>
          </cell>
          <cell r="J5" t="str">
            <v>2026/02/27 </v>
          </cell>
          <cell r="K5" t="str">
            <v>2026/03/19 </v>
          </cell>
        </row>
        <row r="6">
          <cell r="A6" t="str">
            <v> TS41077165 </v>
          </cell>
          <cell r="B6" t="str">
            <v>03月 </v>
          </cell>
          <cell r="C6" t="str">
            <v>004 </v>
          </cell>
          <cell r="D6" t="str">
            <v>EGB4010E </v>
          </cell>
          <cell r="E6" t="str">
            <v> （株）ニッパ </v>
          </cell>
          <cell r="F6" t="str">
            <v> EGB4010E-J </v>
          </cell>
          <cell r="G6" t="str">
            <v>LZS+BIS </v>
          </cell>
          <cell r="H6" t="str">
            <v>0E3361 </v>
          </cell>
          <cell r="I6" t="str">
            <v>183733 </v>
          </cell>
          <cell r="J6" t="str">
            <v>2026/02/28 </v>
          </cell>
          <cell r="K6" t="str">
            <v>2026/03/14 </v>
          </cell>
        </row>
        <row r="7">
          <cell r="A7" t="str">
            <v> TS61377117 </v>
          </cell>
          <cell r="B7" t="str">
            <v>03月 </v>
          </cell>
          <cell r="C7" t="str">
            <v>005 </v>
          </cell>
          <cell r="D7" t="str">
            <v>EGB6013E </v>
          </cell>
          <cell r="E7" t="str">
            <v> （株）北岸製作所 </v>
          </cell>
          <cell r="F7" t="str">
            <v> EGB6013E-J </v>
          </cell>
          <cell r="G7" t="str">
            <v>STD </v>
          </cell>
          <cell r="H7" t="str">
            <v>0E5494 </v>
          </cell>
          <cell r="I7" t="str">
            <v>183777 </v>
          </cell>
          <cell r="J7" t="str">
            <v>2026/03/04 </v>
          </cell>
          <cell r="K7" t="str">
            <v>2026/03/14 </v>
          </cell>
        </row>
        <row r="8">
          <cell r="A8" t="str">
            <v> TS60109084 </v>
          </cell>
          <cell r="B8" t="str">
            <v>04月 </v>
          </cell>
          <cell r="C8" t="str">
            <v>001 </v>
          </cell>
          <cell r="D8" t="str">
            <v>EGB6013RE </v>
          </cell>
          <cell r="E8" t="str">
            <v> （株）精密スプリング製作所 </v>
          </cell>
          <cell r="F8" t="str">
            <v> EGB6013RE-J </v>
          </cell>
          <cell r="G8" t="str">
            <v>STD </v>
          </cell>
          <cell r="H8" t="str">
            <v>0E1241 </v>
          </cell>
          <cell r="I8" t="str">
            <v>EGBR085 </v>
          </cell>
          <cell r="J8" t="str">
            <v>2026/03/11 </v>
          </cell>
          <cell r="K8" t="str">
            <v>2026/04/01 </v>
          </cell>
        </row>
        <row r="9">
          <cell r="A9" t="str">
            <v> TS60109088 </v>
          </cell>
          <cell r="B9" t="str">
            <v>04月 </v>
          </cell>
          <cell r="C9" t="str">
            <v>002 </v>
          </cell>
          <cell r="D9" t="str">
            <v>EGB6013RE_EXP </v>
          </cell>
          <cell r="E9" t="str">
            <v> ＡＭＡＤＡ　ＡＭＥＲＩＣＡ　ＩＮＣ． </v>
          </cell>
          <cell r="F9" t="str">
            <v> EGB6013RE-E </v>
          </cell>
          <cell r="G9" t="str">
            <v>STD </v>
          </cell>
          <cell r="H9" t="str">
            <v>0E1244 </v>
          </cell>
          <cell r="I9" t="str">
            <v>BDA1169 </v>
          </cell>
          <cell r="J9" t="str">
            <v>2026/03/17 </v>
          </cell>
          <cell r="K9" t="str">
            <v>2026/04/07 </v>
          </cell>
        </row>
        <row r="10">
          <cell r="A10" t="str">
            <v> TS61377118 </v>
          </cell>
          <cell r="B10" t="str">
            <v>04月 </v>
          </cell>
          <cell r="C10" t="str">
            <v>003 </v>
          </cell>
          <cell r="D10" t="str">
            <v>EGB6013E </v>
          </cell>
          <cell r="E10" t="str">
            <v> シートメタルテクノ（株） </v>
          </cell>
          <cell r="F10" t="str">
            <v> EGB6013E-J </v>
          </cell>
          <cell r="G10" t="str">
            <v>LZS+BIS </v>
          </cell>
          <cell r="H10" t="str">
            <v>0E5494 </v>
          </cell>
          <cell r="I10" t="str">
            <v>183755 </v>
          </cell>
          <cell r="J10" t="str">
            <v>2026/03/19 </v>
          </cell>
          <cell r="K10" t="str">
            <v>2026/04/03 </v>
          </cell>
        </row>
        <row r="11">
          <cell r="A11" t="str">
            <v> TS60109085 </v>
          </cell>
          <cell r="B11" t="str">
            <v>04月 </v>
          </cell>
          <cell r="C11" t="str">
            <v>004 </v>
          </cell>
          <cell r="D11" t="str">
            <v>EGB6013RE </v>
          </cell>
          <cell r="E11" t="str">
            <v> （株）モリワキエンジニアリング </v>
          </cell>
          <cell r="F11" t="str">
            <v> EGB6013RE-J </v>
          </cell>
          <cell r="G11" t="str">
            <v>STD </v>
          </cell>
          <cell r="H11" t="str">
            <v>0E1241 </v>
          </cell>
          <cell r="I11" t="str">
            <v>EGBR078 </v>
          </cell>
          <cell r="J11" t="str">
            <v>2026/03/24 </v>
          </cell>
          <cell r="K11" t="str">
            <v>2026/04/11 </v>
          </cell>
        </row>
        <row r="12">
          <cell r="A12" t="str">
            <v> TS61377119 </v>
          </cell>
          <cell r="B12" t="str">
            <v>04月 </v>
          </cell>
          <cell r="C12" t="str">
            <v>005 </v>
          </cell>
          <cell r="D12" t="str">
            <v>EGB6013E </v>
          </cell>
          <cell r="E12" t="str">
            <v> シートメタルテクノ（株） </v>
          </cell>
          <cell r="F12" t="str">
            <v> EGB6013E-J </v>
          </cell>
          <cell r="G12" t="str">
            <v>LZS+BIS </v>
          </cell>
          <cell r="H12" t="str">
            <v>0E5494 </v>
          </cell>
          <cell r="I12" t="str">
            <v>183766 </v>
          </cell>
          <cell r="J12" t="str">
            <v>2026/03/25 </v>
          </cell>
          <cell r="K12" t="str">
            <v>2026/04/08 </v>
          </cell>
        </row>
        <row r="13">
          <cell r="A13" t="str">
            <v> TS61377125 </v>
          </cell>
          <cell r="B13" t="str">
            <v>04月 </v>
          </cell>
          <cell r="C13" t="str">
            <v>006 </v>
          </cell>
          <cell r="D13" t="str">
            <v>EGB6013E_EXP </v>
          </cell>
          <cell r="E13" t="str">
            <v> ＡＭＡＤＡ　ＣＡＮＡＤＡ　ＬＴＤ． </v>
          </cell>
          <cell r="F13" t="str">
            <v> EGB6013E-E </v>
          </cell>
          <cell r="G13" t="str">
            <v>LZS+BIS </v>
          </cell>
          <cell r="H13" t="str">
            <v>0E5525 </v>
          </cell>
          <cell r="I13" t="str">
            <v>BDA1227 </v>
          </cell>
          <cell r="J13" t="str">
            <v>2026/03/27 </v>
          </cell>
          <cell r="K13" t="str">
            <v>2026/04/10 </v>
          </cell>
        </row>
        <row r="14">
          <cell r="A14" t="str">
            <v> TS60109089 </v>
          </cell>
          <cell r="B14" t="str">
            <v>04月 </v>
          </cell>
          <cell r="C14" t="str">
            <v>007 </v>
          </cell>
          <cell r="D14" t="str">
            <v>EGB6013RE_EXP </v>
          </cell>
          <cell r="E14" t="str">
            <v> CHINA </v>
          </cell>
          <cell r="F14" t="str">
            <v> EGB6013RE-E </v>
          </cell>
          <cell r="G14" t="str">
            <v>STD </v>
          </cell>
          <cell r="H14" t="str">
            <v>0E1244 </v>
          </cell>
          <cell r="I14" t="str">
            <v>CN0407 </v>
          </cell>
          <cell r="J14" t="str">
            <v>2026/03/28 </v>
          </cell>
          <cell r="K14" t="str">
            <v>2026/04/17 </v>
          </cell>
        </row>
        <row r="15">
          <cell r="A15" t="str">
            <v> TS41077174 </v>
          </cell>
          <cell r="B15" t="str">
            <v>04月 </v>
          </cell>
          <cell r="C15" t="str">
            <v>008 </v>
          </cell>
          <cell r="D15" t="str">
            <v>EGB4010E_EX </v>
          </cell>
          <cell r="E15" t="str">
            <v> ＡＭＡＤＡ　ＴＡＩＷＡＮ　ＩＮＣ． </v>
          </cell>
          <cell r="F15" t="str">
            <v> EGB4010E-E </v>
          </cell>
          <cell r="G15" t="str">
            <v>LZS+BIS </v>
          </cell>
          <cell r="H15" t="str">
            <v>0E3362 </v>
          </cell>
          <cell r="I15" t="str">
            <v>TW0454 </v>
          </cell>
          <cell r="J15" t="str">
            <v>2026/03/31 </v>
          </cell>
          <cell r="K15" t="str">
            <v>2026/04/14 </v>
          </cell>
        </row>
        <row r="16">
          <cell r="A16" t="str">
            <v> TS41077167 </v>
          </cell>
          <cell r="B16" t="str">
            <v>04月 </v>
          </cell>
          <cell r="C16" t="str">
            <v>009 </v>
          </cell>
          <cell r="D16" t="str">
            <v>EGB4010E </v>
          </cell>
          <cell r="E16" t="str">
            <v> 新日エコー（株） </v>
          </cell>
          <cell r="F16" t="str">
            <v> EGB4010E-J </v>
          </cell>
          <cell r="G16" t="str">
            <v>STD+LZS </v>
          </cell>
          <cell r="H16" t="str">
            <v>0E3361 </v>
          </cell>
          <cell r="I16" t="str">
            <v>180488 </v>
          </cell>
          <cell r="J16" t="str">
            <v>2026/04/02 </v>
          </cell>
          <cell r="K16" t="str">
            <v>2026/04/15 </v>
          </cell>
        </row>
        <row r="17">
          <cell r="A17" t="str">
            <v> TS60109086 </v>
          </cell>
          <cell r="B17" t="str">
            <v>04月 </v>
          </cell>
          <cell r="C17" t="str">
            <v>010 </v>
          </cell>
          <cell r="D17" t="str">
            <v>EGB6013RE </v>
          </cell>
          <cell r="E17" t="str">
            <v> 絹川工業（株） </v>
          </cell>
          <cell r="F17" t="str">
            <v> EGB6013RE-J </v>
          </cell>
          <cell r="G17" t="str">
            <v>STD </v>
          </cell>
          <cell r="H17" t="str">
            <v>0E1241 </v>
          </cell>
          <cell r="I17" t="str">
            <v>EGBR087 </v>
          </cell>
          <cell r="J17" t="str">
            <v>2026/04/03 </v>
          </cell>
          <cell r="K17" t="str">
            <v>2026/04/23 </v>
          </cell>
        </row>
        <row r="18">
          <cell r="A18" t="str">
            <v> TS61377126 </v>
          </cell>
          <cell r="B18" t="str">
            <v>04月 </v>
          </cell>
          <cell r="C18" t="str">
            <v>011 </v>
          </cell>
          <cell r="D18" t="str">
            <v>EGB6013E_EXP </v>
          </cell>
          <cell r="E18" t="str">
            <v> 【TAIWAN】高轟 </v>
          </cell>
          <cell r="F18" t="str">
            <v> EGB6013E-E </v>
          </cell>
          <cell r="G18" t="str">
            <v>LZS+BIS </v>
          </cell>
          <cell r="H18" t="str">
            <v>0E5525 </v>
          </cell>
          <cell r="I18" t="str">
            <v>TW0455 </v>
          </cell>
          <cell r="J18" t="str">
            <v>2026/04/04 </v>
          </cell>
          <cell r="K18" t="str">
            <v>2026/04/18 </v>
          </cell>
        </row>
        <row r="19">
          <cell r="A19" t="str">
            <v> TS61377127 </v>
          </cell>
          <cell r="B19" t="str">
            <v>04月 </v>
          </cell>
          <cell r="C19" t="str">
            <v>012 </v>
          </cell>
          <cell r="D19" t="str">
            <v>EGB6013E_EXP </v>
          </cell>
          <cell r="E19" t="str">
            <v> ＡＭＡＤＡ　ＡＭＥＲＩＣＡ　ＩＮＣ． </v>
          </cell>
          <cell r="F19" t="str">
            <v> EGB6013E-E </v>
          </cell>
          <cell r="G19" t="str">
            <v>LZS+BIS </v>
          </cell>
          <cell r="H19" t="str">
            <v>0E5525 </v>
          </cell>
          <cell r="I19" t="str">
            <v>BDA1168 </v>
          </cell>
          <cell r="J19" t="str">
            <v>2026/04/07 </v>
          </cell>
          <cell r="K19" t="str">
            <v>2026/04/21 </v>
          </cell>
        </row>
        <row r="20">
          <cell r="A20" t="str">
            <v> TS60109087 </v>
          </cell>
          <cell r="B20" t="str">
            <v>04月 </v>
          </cell>
          <cell r="C20" t="str">
            <v>013 </v>
          </cell>
          <cell r="D20" t="str">
            <v>EGB6013RE </v>
          </cell>
          <cell r="E20" t="str">
            <v> 森精工（株） </v>
          </cell>
          <cell r="F20" t="str">
            <v> EGB6013RE-J </v>
          </cell>
          <cell r="G20" t="str">
            <v>STD </v>
          </cell>
          <cell r="H20" t="str">
            <v>0E1241 </v>
          </cell>
          <cell r="I20" t="str">
            <v>EGBR088 </v>
          </cell>
          <cell r="J20" t="str">
            <v>2026/04/08 </v>
          </cell>
          <cell r="K20" t="str">
            <v>2026/04/30 </v>
          </cell>
        </row>
        <row r="21">
          <cell r="A21" t="str">
            <v> TS61377120 </v>
          </cell>
          <cell r="B21" t="str">
            <v>04月 </v>
          </cell>
          <cell r="C21" t="str">
            <v>014 </v>
          </cell>
          <cell r="D21" t="str">
            <v>EGB6013E </v>
          </cell>
          <cell r="E21" t="str">
            <v> （株）中後製作所 </v>
          </cell>
          <cell r="F21" t="str">
            <v> EGB6013E-J </v>
          </cell>
          <cell r="G21" t="str">
            <v>LZS+BIS </v>
          </cell>
          <cell r="H21" t="str">
            <v>0E5494 </v>
          </cell>
          <cell r="I21" t="str">
            <v>181567 </v>
          </cell>
          <cell r="J21" t="str">
            <v>2026/04/09 </v>
          </cell>
          <cell r="K21" t="str">
            <v>2026/04/23 </v>
          </cell>
        </row>
        <row r="22">
          <cell r="A22" t="str">
            <v> TS41077168 </v>
          </cell>
          <cell r="B22" t="str">
            <v>04月 </v>
          </cell>
          <cell r="C22" t="str">
            <v>015 </v>
          </cell>
          <cell r="D22" t="str">
            <v>EGB4010E </v>
          </cell>
          <cell r="E22" t="str">
            <v> （株）アマダベンディングＳ部 </v>
          </cell>
          <cell r="F22" t="str">
            <v> EGB4010E-J </v>
          </cell>
          <cell r="G22" t="str">
            <v>STD+LZS </v>
          </cell>
          <cell r="H22" t="str">
            <v>0E3361 </v>
          </cell>
          <cell r="I22"/>
          <cell r="J22" t="str">
            <v>2026/04/11 </v>
          </cell>
          <cell r="K22" t="str">
            <v>2026/04/24 </v>
          </cell>
        </row>
        <row r="23">
          <cell r="A23" t="str">
            <v> TS40109002 </v>
          </cell>
          <cell r="B23" t="str">
            <v>04月 </v>
          </cell>
          <cell r="C23" t="str">
            <v>016 </v>
          </cell>
          <cell r="D23" t="str">
            <v>EGB4010E </v>
          </cell>
          <cell r="E23" t="str">
            <v> （有）七福電子 </v>
          </cell>
          <cell r="F23" t="str">
            <v> EGB4010E-J </v>
          </cell>
          <cell r="G23" t="str">
            <v>STD+LZS </v>
          </cell>
          <cell r="H23" t="str">
            <v>0E3361 </v>
          </cell>
          <cell r="I23" t="str">
            <v>182699 </v>
          </cell>
          <cell r="J23" t="str">
            <v>2026/04/14 </v>
          </cell>
          <cell r="K23" t="str">
            <v>2026/05/08 </v>
          </cell>
        </row>
        <row r="24">
          <cell r="A24" t="str">
            <v> TS41077175 </v>
          </cell>
          <cell r="B24" t="str">
            <v>04月 </v>
          </cell>
          <cell r="C24" t="str">
            <v>017 </v>
          </cell>
          <cell r="D24" t="str">
            <v>EGB4010E_EX </v>
          </cell>
          <cell r="E24" t="str">
            <v> ＡＭＡＤＡ　ＡＭＥＲＩＣＡ　ＩＮＣ． </v>
          </cell>
          <cell r="F24" t="str">
            <v> EGB4010E-E </v>
          </cell>
          <cell r="G24" t="str">
            <v>STD+LZS </v>
          </cell>
          <cell r="H24" t="str">
            <v>0E3362 </v>
          </cell>
          <cell r="I24" t="str">
            <v>BDA1167 </v>
          </cell>
          <cell r="J24" t="str">
            <v>2026/04/15 </v>
          </cell>
          <cell r="K24" t="str">
            <v>2026/04/30 </v>
          </cell>
        </row>
        <row r="25">
          <cell r="A25" t="str">
            <v> TS61377128 </v>
          </cell>
          <cell r="B25" t="str">
            <v>05月 </v>
          </cell>
          <cell r="C25" t="str">
            <v>001 </v>
          </cell>
          <cell r="D25" t="str">
            <v>EGB6013E_EXP </v>
          </cell>
          <cell r="E25" t="str">
            <v> ＡＭＡＤＡ　ＡＭＥＲＩＣＡ　ＩＮＣ． </v>
          </cell>
          <cell r="F25" t="str">
            <v> EGB6013E-E </v>
          </cell>
          <cell r="G25" t="str">
            <v>LZS+BIS </v>
          </cell>
          <cell r="H25" t="str">
            <v>0E5525 </v>
          </cell>
          <cell r="I25" t="str">
            <v>BDA1243 </v>
          </cell>
          <cell r="J25" t="str">
            <v>2026/04/16 </v>
          </cell>
          <cell r="K25" t="str">
            <v>2026/05/02 </v>
          </cell>
        </row>
        <row r="26">
          <cell r="A26" t="str">
            <v> TS61377129 </v>
          </cell>
          <cell r="B26" t="str">
            <v>05月 </v>
          </cell>
          <cell r="C26" t="str">
            <v>002 </v>
          </cell>
          <cell r="D26" t="str">
            <v>EGB6013E_EXP </v>
          </cell>
          <cell r="E26" t="str">
            <v> ＡＭＡＤＡ　ＡＭＥＲＩＣＡ　ＩＮＣ． </v>
          </cell>
          <cell r="F26" t="str">
            <v> EGB6013E-E </v>
          </cell>
          <cell r="G26" t="str">
            <v>LZS+BIS </v>
          </cell>
          <cell r="H26" t="str">
            <v>0E5525 </v>
          </cell>
          <cell r="I26" t="str">
            <v>BDA1185 </v>
          </cell>
          <cell r="J26" t="str">
            <v>2026/04/17 </v>
          </cell>
          <cell r="K26" t="str">
            <v>2026/05/07 </v>
          </cell>
        </row>
        <row r="27">
          <cell r="A27" t="str">
            <v> TS61377121 </v>
          </cell>
          <cell r="B27" t="str">
            <v>05月 </v>
          </cell>
          <cell r="C27" t="str">
            <v>003 </v>
          </cell>
          <cell r="D27" t="str">
            <v>EGB6013E </v>
          </cell>
          <cell r="E27" t="str">
            <v> （株）シマヅテック </v>
          </cell>
          <cell r="F27" t="str">
            <v> EGB6013E-J </v>
          </cell>
          <cell r="G27" t="str">
            <v>LZS+BIS </v>
          </cell>
          <cell r="H27" t="str">
            <v>0E5494 </v>
          </cell>
          <cell r="I27" t="str">
            <v>180466 </v>
          </cell>
          <cell r="J27" t="str">
            <v>2026/04/18 </v>
          </cell>
          <cell r="K27" t="str">
            <v>2026/05/08 </v>
          </cell>
        </row>
        <row r="28">
          <cell r="A28" t="str">
            <v> TS60109093 </v>
          </cell>
          <cell r="B28" t="str">
            <v>05月 </v>
          </cell>
          <cell r="C28" t="str">
            <v>004 </v>
          </cell>
          <cell r="D28" t="str">
            <v>EGB6013RE_EXP </v>
          </cell>
          <cell r="E28" t="str">
            <v> ＡＭＡＤＡ　ＡＭＥＲＩＣＡ　ＩＮＣ． </v>
          </cell>
          <cell r="F28" t="str">
            <v> EGB6013RE-E </v>
          </cell>
          <cell r="G28" t="str">
            <v>STD </v>
          </cell>
          <cell r="H28" t="str">
            <v>0E1244 </v>
          </cell>
          <cell r="I28" t="str">
            <v>BDA1188 </v>
          </cell>
          <cell r="J28" t="str">
            <v>2026/04/21 </v>
          </cell>
          <cell r="K28" t="str">
            <v>2026/05/15 </v>
          </cell>
        </row>
        <row r="29">
          <cell r="A29" t="str">
            <v> TS41077176 </v>
          </cell>
          <cell r="B29" t="str">
            <v>05月 </v>
          </cell>
          <cell r="C29" t="str">
            <v>005 </v>
          </cell>
          <cell r="D29" t="str">
            <v>EGB4010E_EX </v>
          </cell>
          <cell r="E29" t="str">
            <v> ＡＭＡＤＡ　ＴＡＩＷＡＮ　ＩＮＣ． </v>
          </cell>
          <cell r="F29" t="str">
            <v> EGB4010E-E </v>
          </cell>
          <cell r="G29" t="str">
            <v>LZS+BIS </v>
          </cell>
          <cell r="H29" t="str">
            <v>0E3362 </v>
          </cell>
          <cell r="I29" t="str">
            <v>TW0466 </v>
          </cell>
          <cell r="J29" t="str">
            <v>2026/04/22 </v>
          </cell>
          <cell r="K29" t="str">
            <v>2026/05/12 </v>
          </cell>
        </row>
        <row r="30">
          <cell r="A30" t="str">
            <v> TS41077181 </v>
          </cell>
          <cell r="B30" t="str">
            <v>05月 </v>
          </cell>
          <cell r="C30" t="str">
            <v>006 </v>
          </cell>
          <cell r="D30" t="str">
            <v>EGB4010E_EX </v>
          </cell>
          <cell r="E30" t="str">
            <v> ＡＭＡＤＡ　ＴＡＩＷＡＮ　ＩＮＣ． </v>
          </cell>
          <cell r="F30" t="str">
            <v> EGB4010E-E </v>
          </cell>
          <cell r="G30" t="str">
            <v>LZS+BIS </v>
          </cell>
          <cell r="H30" t="str">
            <v>0E3362 </v>
          </cell>
          <cell r="I30" t="str">
            <v>TW0469 </v>
          </cell>
          <cell r="J30" t="str">
            <v>2026/04/23 </v>
          </cell>
          <cell r="K30" t="str">
            <v>2026/05/13 </v>
          </cell>
        </row>
        <row r="31">
          <cell r="A31" t="str">
            <v> TS60109091 </v>
          </cell>
          <cell r="B31" t="str">
            <v>05月 </v>
          </cell>
          <cell r="C31" t="str">
            <v>007 </v>
          </cell>
          <cell r="D31" t="str">
            <v>EGB6013RE </v>
          </cell>
          <cell r="E31" t="str">
            <v> （株）鵜飼 </v>
          </cell>
          <cell r="F31" t="str">
            <v> EGB6013RE-J </v>
          </cell>
          <cell r="G31" t="str">
            <v>STD </v>
          </cell>
          <cell r="H31" t="str">
            <v>0E1241 </v>
          </cell>
          <cell r="I31" t="str">
            <v>EGBR091 </v>
          </cell>
          <cell r="J31" t="str">
            <v>2026/04/24 </v>
          </cell>
          <cell r="K31" t="str">
            <v>2026/05/20 </v>
          </cell>
        </row>
        <row r="32">
          <cell r="A32" t="str">
            <v> TS41077180 </v>
          </cell>
          <cell r="B32" t="str">
            <v>05月 </v>
          </cell>
          <cell r="C32" t="str">
            <v>008 </v>
          </cell>
          <cell r="D32" t="str">
            <v>EGB4010E_EX </v>
          </cell>
          <cell r="E32" t="str">
            <v> CHINA </v>
          </cell>
          <cell r="F32" t="str">
            <v> EGB4010E-E </v>
          </cell>
          <cell r="G32" t="str">
            <v>LZS+BIS </v>
          </cell>
          <cell r="H32" t="str">
            <v>0E3362 </v>
          </cell>
          <cell r="I32" t="str">
            <v>CN0431 </v>
          </cell>
          <cell r="J32" t="str">
            <v>2026/04/25 </v>
          </cell>
          <cell r="K32" t="str">
            <v>2026/05/15 </v>
          </cell>
        </row>
        <row r="33">
          <cell r="A33" t="str">
            <v> TS41077170 </v>
          </cell>
          <cell r="B33" t="str">
            <v>05月 </v>
          </cell>
          <cell r="C33" t="str">
            <v>009 </v>
          </cell>
          <cell r="D33" t="str">
            <v>EGB4010E </v>
          </cell>
          <cell r="E33" t="str">
            <v> （株）シンコー </v>
          </cell>
          <cell r="F33" t="str">
            <v> EGB4010E-J </v>
          </cell>
          <cell r="G33" t="str">
            <v>LZS+BIS </v>
          </cell>
          <cell r="H33" t="str">
            <v>0E3361 </v>
          </cell>
          <cell r="I33" t="str">
            <v>180455 </v>
          </cell>
          <cell r="J33" t="str">
            <v>2026/04/30 </v>
          </cell>
          <cell r="K33" t="str">
            <v>2026/05/16 </v>
          </cell>
        </row>
        <row r="34">
          <cell r="A34" t="str">
            <v> TS61377122 </v>
          </cell>
          <cell r="B34" t="str">
            <v>05月 </v>
          </cell>
          <cell r="C34" t="str">
            <v>010 </v>
          </cell>
          <cell r="D34" t="str">
            <v>EGB6013E </v>
          </cell>
          <cell r="E34" t="str">
            <v> （株）シマヅテック </v>
          </cell>
          <cell r="F34" t="str">
            <v> EGB6013E-J </v>
          </cell>
          <cell r="G34" t="str">
            <v>LZS+BIS </v>
          </cell>
          <cell r="H34" t="str">
            <v>0E5494 </v>
          </cell>
          <cell r="I34" t="str">
            <v>180477 </v>
          </cell>
          <cell r="J34" t="str">
            <v>2026/05/01 </v>
          </cell>
          <cell r="K34" t="str">
            <v>2026/05/19 </v>
          </cell>
        </row>
        <row r="35">
          <cell r="A35" t="str">
            <v> TS60109092 </v>
          </cell>
          <cell r="B35" t="str">
            <v>05月 </v>
          </cell>
          <cell r="C35" t="str">
            <v>011 </v>
          </cell>
          <cell r="D35" t="str">
            <v>EGB6013RE </v>
          </cell>
          <cell r="E35" t="str">
            <v> （株）バンテックス </v>
          </cell>
          <cell r="F35" t="str">
            <v> EGB6013RE-J </v>
          </cell>
          <cell r="G35" t="str">
            <v>STD </v>
          </cell>
          <cell r="H35" t="str">
            <v>0E1241 </v>
          </cell>
          <cell r="I35" t="str">
            <v>EGBR097 </v>
          </cell>
          <cell r="J35" t="str">
            <v>2026/05/02 </v>
          </cell>
          <cell r="K35" t="str">
            <v>2026/05/26 </v>
          </cell>
        </row>
        <row r="36">
          <cell r="A36" t="str">
            <v> TS61377131 </v>
          </cell>
          <cell r="B36" t="str">
            <v>05月 </v>
          </cell>
          <cell r="C36" t="str">
            <v>012 </v>
          </cell>
          <cell r="D36" t="str">
            <v>EGB6013E_EXP </v>
          </cell>
          <cell r="E36" t="str">
            <v> ＡＭＡＤＡ　ＡＭＥＲＩＣＡ　ＩＮＣ． </v>
          </cell>
          <cell r="F36" t="str">
            <v> EGB6013E-E </v>
          </cell>
          <cell r="G36" t="str">
            <v>LZS+BIS </v>
          </cell>
          <cell r="H36" t="str">
            <v>0E5525 </v>
          </cell>
          <cell r="I36" t="str">
            <v>BDA1187 </v>
          </cell>
          <cell r="J36" t="str">
            <v>2026/05/08 </v>
          </cell>
          <cell r="K36" t="str">
            <v>2026/05/22 </v>
          </cell>
        </row>
        <row r="37">
          <cell r="A37" t="str">
            <v> TS60109090 </v>
          </cell>
          <cell r="B37" t="str">
            <v>05月 </v>
          </cell>
          <cell r="C37" t="str">
            <v>013 </v>
          </cell>
          <cell r="D37" t="str">
            <v>EGB6013RE </v>
          </cell>
          <cell r="E37" t="str">
            <v> （株）エリオ </v>
          </cell>
          <cell r="F37" t="str">
            <v> EGB6013RE-J </v>
          </cell>
          <cell r="G37" t="str">
            <v>STD </v>
          </cell>
          <cell r="H37" t="str">
            <v>0E1241 </v>
          </cell>
          <cell r="I37" t="str">
            <v>EGBR090 </v>
          </cell>
          <cell r="J37" t="str">
            <v>2026/05/09 </v>
          </cell>
          <cell r="K37" t="str">
            <v>2026/05/29 </v>
          </cell>
        </row>
        <row r="38">
          <cell r="A38" t="str">
            <v> TS41077169 </v>
          </cell>
          <cell r="B38" t="str">
            <v>05月 </v>
          </cell>
          <cell r="C38" t="str">
            <v>014 </v>
          </cell>
          <cell r="D38" t="str">
            <v>EGB4010E </v>
          </cell>
          <cell r="E38" t="str">
            <v> （株）アマダベンディングＳ部 </v>
          </cell>
          <cell r="F38" t="str">
            <v> EGB4010E-J </v>
          </cell>
          <cell r="G38" t="str">
            <v>LZS+BIS </v>
          </cell>
          <cell r="H38" t="str">
            <v>0E3361 </v>
          </cell>
          <cell r="I38"/>
          <cell r="J38" t="str">
            <v>2026/05/12 </v>
          </cell>
          <cell r="K38" t="str">
            <v>2026/05/26 </v>
          </cell>
        </row>
        <row r="39">
          <cell r="A39" t="str">
            <v> TS61377130 </v>
          </cell>
          <cell r="B39" t="str">
            <v>05月 </v>
          </cell>
          <cell r="C39" t="str">
            <v>015 </v>
          </cell>
          <cell r="D39" t="str">
            <v>EGB6013E_EXP </v>
          </cell>
          <cell r="E39" t="str">
            <v> ＡＭＡＤＡ　ＡＭＥＲＩＣＡ　ＩＮＣ． </v>
          </cell>
          <cell r="F39" t="str">
            <v> EGB6013E-E </v>
          </cell>
          <cell r="G39" t="str">
            <v>LZS+BIS </v>
          </cell>
          <cell r="H39" t="str">
            <v>0E5525 </v>
          </cell>
          <cell r="I39" t="str">
            <v>BDA1186 </v>
          </cell>
          <cell r="J39" t="str">
            <v>2026/05/13 </v>
          </cell>
          <cell r="K39" t="str">
            <v>2026/05/27 </v>
          </cell>
        </row>
        <row r="40">
          <cell r="A40" t="str">
            <v> TS60109098 </v>
          </cell>
          <cell r="B40" t="str">
            <v>06月 </v>
          </cell>
          <cell r="C40" t="str">
            <v>001 </v>
          </cell>
          <cell r="D40" t="str">
            <v>EGB6013RE_EXP </v>
          </cell>
          <cell r="E40" t="str">
            <v> ＡＭＡＤＡ　ＣＡＮＡＤＡ　ＬＴＤ． </v>
          </cell>
          <cell r="F40" t="str">
            <v> EGB6013RE-E </v>
          </cell>
          <cell r="G40" t="str">
            <v>STD </v>
          </cell>
          <cell r="H40" t="str">
            <v>0E1244 </v>
          </cell>
          <cell r="I40" t="str">
            <v>BDA1238 </v>
          </cell>
          <cell r="J40" t="str">
            <v>2026/05/16 </v>
          </cell>
          <cell r="K40" t="str">
            <v>2026/06/05 </v>
          </cell>
        </row>
        <row r="41">
          <cell r="A41" t="str">
            <v> TS41077182 </v>
          </cell>
          <cell r="B41" t="str">
            <v>06月 </v>
          </cell>
          <cell r="C41" t="str">
            <v>002 </v>
          </cell>
          <cell r="D41" t="str">
            <v>EGB4010E_EX </v>
          </cell>
          <cell r="E41" t="str">
            <v> ＡＭＡＤＡ　ＴＡＩＷＡＮ　ＩＮＣ． </v>
          </cell>
          <cell r="F41" t="str">
            <v> EGB4010E-E </v>
          </cell>
          <cell r="G41" t="str">
            <v>LZS+BIS </v>
          </cell>
          <cell r="H41" t="str">
            <v>0E3362 </v>
          </cell>
          <cell r="I41" t="str">
            <v>TW0473 </v>
          </cell>
          <cell r="J41" t="str">
            <v>2026/05/20 </v>
          </cell>
          <cell r="K41" t="str">
            <v>2026/06/03 </v>
          </cell>
        </row>
        <row r="42">
          <cell r="A42" t="str">
            <v> TS41077183 </v>
          </cell>
          <cell r="B42" t="str">
            <v>06月 </v>
          </cell>
          <cell r="C42" t="str">
            <v>003 </v>
          </cell>
          <cell r="D42" t="str">
            <v>EGB4010E_EX </v>
          </cell>
          <cell r="E42" t="str">
            <v> ＡＭＡＤＡ　ＴＡＩＷＡＮ　ＩＮＣ． </v>
          </cell>
          <cell r="F42" t="str">
            <v> EGB4010E-E </v>
          </cell>
          <cell r="G42" t="str">
            <v>LZS+BIS </v>
          </cell>
          <cell r="H42" t="str">
            <v>0E3362 </v>
          </cell>
          <cell r="I42" t="str">
            <v>TW0474 </v>
          </cell>
          <cell r="J42" t="str">
            <v>2026/05/21 </v>
          </cell>
          <cell r="K42" t="str">
            <v>2026/06/04 </v>
          </cell>
        </row>
        <row r="43">
          <cell r="A43" t="str">
            <v> TS60109095 </v>
          </cell>
          <cell r="B43" t="str">
            <v>06月 </v>
          </cell>
          <cell r="C43" t="str">
            <v>004 </v>
          </cell>
          <cell r="D43" t="str">
            <v>EGB6013RE </v>
          </cell>
          <cell r="E43" t="str">
            <v> （株）アマダベンディング自動化ＰＪ </v>
          </cell>
          <cell r="F43" t="str">
            <v> EGB6013RE-J </v>
          </cell>
          <cell r="G43" t="str">
            <v>STD </v>
          </cell>
          <cell r="H43" t="str">
            <v>0E1241 </v>
          </cell>
          <cell r="I43"/>
          <cell r="J43" t="str">
            <v>2026/05/22 </v>
          </cell>
          <cell r="K43" t="str">
            <v>2026/06/11 </v>
          </cell>
        </row>
        <row r="44">
          <cell r="A44" t="str">
            <v> TS41077184 </v>
          </cell>
          <cell r="B44" t="str">
            <v>06月 </v>
          </cell>
          <cell r="C44" t="str">
            <v>005 </v>
          </cell>
          <cell r="D44" t="str">
            <v>EGB4010E_EX </v>
          </cell>
          <cell r="E44" t="str">
            <v> ＡＭＡＤＡ　ＴＡＩＷＡＮ　ＩＮＣ． </v>
          </cell>
          <cell r="F44" t="str">
            <v> EGB4010E-E </v>
          </cell>
          <cell r="G44" t="str">
            <v>LZS+BIS </v>
          </cell>
          <cell r="H44" t="str">
            <v>0E3362 </v>
          </cell>
          <cell r="I44" t="str">
            <v>ASB0879 </v>
          </cell>
          <cell r="J44" t="str">
            <v>2026/05/23 </v>
          </cell>
          <cell r="K44" t="str">
            <v>2026/06/06 </v>
          </cell>
        </row>
        <row r="45">
          <cell r="A45" t="str">
            <v> TS61377123 </v>
          </cell>
          <cell r="B45" t="str">
            <v>06月 </v>
          </cell>
          <cell r="C45" t="str">
            <v>006 </v>
          </cell>
          <cell r="D45" t="str">
            <v>EGB6013E </v>
          </cell>
          <cell r="E45" t="str">
            <v> 東海理研（株） </v>
          </cell>
          <cell r="F45" t="str">
            <v> EGB6013E-J </v>
          </cell>
          <cell r="G45" t="str">
            <v>STD </v>
          </cell>
          <cell r="H45" t="str">
            <v>0E5494 </v>
          </cell>
          <cell r="I45" t="str">
            <v>182647 </v>
          </cell>
          <cell r="J45" t="str">
            <v>2026/05/26 </v>
          </cell>
          <cell r="K45" t="str">
            <v>2026/06/05 </v>
          </cell>
        </row>
        <row r="46">
          <cell r="A46" t="str">
            <v> TS61377132 </v>
          </cell>
          <cell r="B46" t="str">
            <v>06月 </v>
          </cell>
          <cell r="C46" t="str">
            <v>007 </v>
          </cell>
          <cell r="D46" t="str">
            <v>EGB6013E_EXP </v>
          </cell>
          <cell r="E46" t="str">
            <v> 【ブラジル】ASUS Industria de Maquinas A </v>
          </cell>
          <cell r="F46" t="str">
            <v> EGB6013E-E </v>
          </cell>
          <cell r="G46" t="str">
            <v>LZS+BIS </v>
          </cell>
          <cell r="H46" t="str">
            <v>0E5525 </v>
          </cell>
          <cell r="I46" t="str">
            <v>BDH0521 </v>
          </cell>
          <cell r="J46" t="str">
            <v>2026/05/27 </v>
          </cell>
          <cell r="K46" t="str">
            <v>2026/06/10 </v>
          </cell>
        </row>
        <row r="47">
          <cell r="A47" t="str">
            <v> TS60109096 </v>
          </cell>
          <cell r="B47" t="str">
            <v>06月 </v>
          </cell>
          <cell r="C47" t="str">
            <v>008 </v>
          </cell>
          <cell r="D47" t="str">
            <v>EGB6013RE </v>
          </cell>
          <cell r="E47" t="str">
            <v> （株）アマダベンディング自動化ＰＪ </v>
          </cell>
          <cell r="F47" t="str">
            <v> EGB6013RE-J </v>
          </cell>
          <cell r="G47" t="str">
            <v>STD </v>
          </cell>
          <cell r="H47" t="str">
            <v>0E1241 </v>
          </cell>
          <cell r="I47"/>
          <cell r="J47" t="str">
            <v>2026/05/28 </v>
          </cell>
          <cell r="K47" t="str">
            <v>2026/06/17 </v>
          </cell>
        </row>
        <row r="48">
          <cell r="A48" t="str">
            <v> TS41077185 </v>
          </cell>
          <cell r="B48" t="str">
            <v>06月 </v>
          </cell>
          <cell r="C48" t="str">
            <v>009 </v>
          </cell>
          <cell r="D48" t="str">
            <v>EGB4010E_EX </v>
          </cell>
          <cell r="E48" t="str">
            <v> 【CHINA】横河電机（蘇州）有限公司 </v>
          </cell>
          <cell r="F48" t="str">
            <v> EGB4010E-E </v>
          </cell>
          <cell r="G48" t="str">
            <v>LZS+BIS </v>
          </cell>
          <cell r="H48" t="str">
            <v>0E3362 </v>
          </cell>
          <cell r="I48" t="str">
            <v>CN0435 </v>
          </cell>
          <cell r="J48" t="str">
            <v>2026/05/29 </v>
          </cell>
          <cell r="K48" t="str">
            <v>2026/06/12 </v>
          </cell>
        </row>
        <row r="49">
          <cell r="A49" t="str">
            <v> TS41077172 </v>
          </cell>
          <cell r="B49" t="str">
            <v>06月 </v>
          </cell>
          <cell r="C49" t="str">
            <v>010 </v>
          </cell>
          <cell r="D49" t="str">
            <v>EGB4010E </v>
          </cell>
          <cell r="E49" t="str">
            <v> （株）アクセル </v>
          </cell>
          <cell r="F49" t="str">
            <v> EGB4010E-J </v>
          </cell>
          <cell r="G49" t="str">
            <v>STD+LZS </v>
          </cell>
          <cell r="H49" t="str">
            <v>0E3361 </v>
          </cell>
          <cell r="I49" t="str">
            <v>182644 </v>
          </cell>
          <cell r="J49" t="str">
            <v>2026/06/02 </v>
          </cell>
          <cell r="K49" t="str">
            <v>2026/06/13 </v>
          </cell>
        </row>
        <row r="50">
          <cell r="A50" t="str">
            <v> TS60109097 </v>
          </cell>
          <cell r="B50" t="str">
            <v>06月 </v>
          </cell>
          <cell r="C50" t="str">
            <v>011 </v>
          </cell>
          <cell r="D50" t="str">
            <v>EGB6013RE_EXP </v>
          </cell>
          <cell r="E50" t="str">
            <v> ＡＭＡＤＡ　ＡＭＥＲＩＣＡ　ＩＮＣ． </v>
          </cell>
          <cell r="F50" t="str">
            <v> EGB6013RE-E </v>
          </cell>
          <cell r="G50" t="str">
            <v>STD </v>
          </cell>
          <cell r="H50" t="str">
            <v>0E1244 </v>
          </cell>
          <cell r="I50" t="str">
            <v>BDA1209 </v>
          </cell>
          <cell r="J50" t="str">
            <v>2026/06/03 </v>
          </cell>
          <cell r="K50" t="str">
            <v>2026/06/23 </v>
          </cell>
        </row>
        <row r="51">
          <cell r="A51" t="str">
            <v> TS41077171 </v>
          </cell>
          <cell r="B51" t="str">
            <v>06月 </v>
          </cell>
          <cell r="C51" t="str">
            <v>012 </v>
          </cell>
          <cell r="D51" t="str">
            <v>EGB4010E </v>
          </cell>
          <cell r="E51" t="str">
            <v> （株）アマダベンディングＳ部 </v>
          </cell>
          <cell r="F51" t="str">
            <v> EGB4010E-J </v>
          </cell>
          <cell r="G51" t="str">
            <v>LZS+BIS </v>
          </cell>
          <cell r="H51" t="str">
            <v>0E3361 </v>
          </cell>
          <cell r="I51"/>
          <cell r="J51" t="str">
            <v>2026/06/04 </v>
          </cell>
          <cell r="K51" t="str">
            <v>2026/06/18 </v>
          </cell>
        </row>
        <row r="52">
          <cell r="A52" t="str">
            <v> TS61377133 </v>
          </cell>
          <cell r="B52" t="str">
            <v>06月 </v>
          </cell>
          <cell r="C52" t="str">
            <v>013 </v>
          </cell>
          <cell r="D52" t="str">
            <v>EGB6013E_EXP </v>
          </cell>
          <cell r="E52" t="str">
            <v> 【ベトナム】GOODWILL SAI GON CO.,LTD </v>
          </cell>
          <cell r="F52" t="str">
            <v> EGB6013E-E </v>
          </cell>
          <cell r="G52" t="str">
            <v>LZS+BIS </v>
          </cell>
          <cell r="H52" t="str">
            <v>0E5525 </v>
          </cell>
          <cell r="I52" t="str">
            <v>ASB0870 </v>
          </cell>
          <cell r="J52" t="str">
            <v>2026/06/06 </v>
          </cell>
          <cell r="K52" t="str">
            <v>2026/06/20 </v>
          </cell>
        </row>
        <row r="53">
          <cell r="A53" t="str">
            <v> TS60109094 </v>
          </cell>
          <cell r="B53" t="str">
            <v>06月 </v>
          </cell>
          <cell r="C53" t="str">
            <v>014 </v>
          </cell>
          <cell r="D53" t="str">
            <v>EGB6013RE </v>
          </cell>
          <cell r="E53" t="str">
            <v> （株）山一金属製作所 </v>
          </cell>
          <cell r="F53" t="str">
            <v> EGB6013RE-J </v>
          </cell>
          <cell r="G53" t="str">
            <v>STD </v>
          </cell>
          <cell r="H53" t="str">
            <v>0E1241 </v>
          </cell>
          <cell r="I53" t="str">
            <v>EGBR094 </v>
          </cell>
          <cell r="J53" t="str">
            <v>2026/06/09 </v>
          </cell>
          <cell r="K53" t="str">
            <v>2026/06/27 </v>
          </cell>
        </row>
        <row r="54">
          <cell r="A54" t="str">
            <v> TS41077173 </v>
          </cell>
          <cell r="B54" t="str">
            <v>06月 </v>
          </cell>
          <cell r="C54" t="str">
            <v>015 </v>
          </cell>
          <cell r="D54" t="str">
            <v>EGB4010E </v>
          </cell>
          <cell r="E54" t="str">
            <v> 竹内鋼材（株） </v>
          </cell>
          <cell r="F54" t="str">
            <v> EGB4010E-J </v>
          </cell>
          <cell r="G54" t="str">
            <v>STD+LZS </v>
          </cell>
          <cell r="H54" t="str">
            <v>0E3361 </v>
          </cell>
          <cell r="I54" t="str">
            <v>182600 </v>
          </cell>
          <cell r="J54" t="str">
            <v>2026/06/10 </v>
          </cell>
          <cell r="K54" t="str">
            <v>2026/06/23 </v>
          </cell>
        </row>
        <row r="55">
          <cell r="A55" t="str">
            <v> TS41077178 </v>
          </cell>
          <cell r="B55" t="str">
            <v>06月 </v>
          </cell>
          <cell r="C55" t="str">
            <v>016 </v>
          </cell>
          <cell r="D55" t="str">
            <v>EGB4010E_EX </v>
          </cell>
          <cell r="E55" t="str">
            <v> ＡＭＡＤＡ　ＡＭＥＲＩＣＡ　ＩＮＣ． </v>
          </cell>
          <cell r="F55" t="str">
            <v> EGB4010E-E </v>
          </cell>
          <cell r="G55" t="str">
            <v>STD+LZS </v>
          </cell>
          <cell r="H55" t="str">
            <v>0E3362 </v>
          </cell>
          <cell r="I55" t="str">
            <v>BDA1206 </v>
          </cell>
          <cell r="J55" t="str">
            <v>2026/06/11 </v>
          </cell>
          <cell r="K55" t="str">
            <v>2026/06/24 </v>
          </cell>
        </row>
        <row r="56">
          <cell r="A56" t="str">
            <v> TS41077179 </v>
          </cell>
          <cell r="B56" t="str">
            <v>06月 </v>
          </cell>
          <cell r="C56" t="str">
            <v>017 </v>
          </cell>
          <cell r="D56" t="str">
            <v>EGB4010E_EX </v>
          </cell>
          <cell r="E56" t="str">
            <v> ＡＭＡＤＡ　ＡＭＥＲＩＣＡ　ＩＮＣ． </v>
          </cell>
          <cell r="F56" t="str">
            <v> EGB4010E-E </v>
          </cell>
          <cell r="G56" t="str">
            <v>STD+LZS </v>
          </cell>
          <cell r="H56" t="str">
            <v>0E3362 </v>
          </cell>
          <cell r="I56" t="str">
            <v>BDA1207 </v>
          </cell>
          <cell r="J56" t="str">
            <v>2026/06/13 </v>
          </cell>
          <cell r="K56" t="str">
            <v>2026/06/26 </v>
          </cell>
        </row>
        <row r="57">
          <cell r="A57" t="str">
            <v> TS61377124 </v>
          </cell>
          <cell r="B57" t="str">
            <v>06月 </v>
          </cell>
          <cell r="C57" t="str">
            <v>018 </v>
          </cell>
          <cell r="D57" t="str">
            <v>EGB6013E </v>
          </cell>
          <cell r="E57" t="str">
            <v> （株）アマダベンディングＳ部 </v>
          </cell>
          <cell r="F57" t="str">
            <v> EGB6013E-J </v>
          </cell>
          <cell r="G57" t="str">
            <v>STD </v>
          </cell>
          <cell r="H57" t="str">
            <v>0E5494 </v>
          </cell>
          <cell r="I57"/>
          <cell r="J57" t="str">
            <v>2026/06/17 </v>
          </cell>
          <cell r="K57" t="str">
            <v>2026/06/27 </v>
          </cell>
        </row>
        <row r="58">
          <cell r="A58" t="str">
            <v> TS41077177 </v>
          </cell>
          <cell r="B58" t="str">
            <v>07月 </v>
          </cell>
          <cell r="C58" t="str">
            <v>001 </v>
          </cell>
          <cell r="D58" t="str">
            <v>EGB4010E </v>
          </cell>
          <cell r="E58" t="str">
            <v> （株）エリオ </v>
          </cell>
          <cell r="F58" t="str">
            <v> EGB4010E-J </v>
          </cell>
          <cell r="G58" t="str">
            <v>LZS+BIS </v>
          </cell>
          <cell r="H58" t="str">
            <v>0E3361 </v>
          </cell>
          <cell r="I58" t="str">
            <v>181599 </v>
          </cell>
          <cell r="J58" t="str">
            <v>2026/06/17 </v>
          </cell>
          <cell r="K58" t="str">
            <v>2026/07/01 </v>
          </cell>
        </row>
        <row r="59">
          <cell r="A59" t="str">
            <v> TS41077186 </v>
          </cell>
          <cell r="B59" t="str">
            <v>07月 </v>
          </cell>
          <cell r="C59" t="str">
            <v>002 </v>
          </cell>
          <cell r="D59" t="str">
            <v>EGB4010E </v>
          </cell>
          <cell r="E59" t="str">
            <v>  </v>
          </cell>
          <cell r="F59" t="str">
            <v> EGB4010E-J </v>
          </cell>
          <cell r="G59" t="str">
            <v>LZS+BIS </v>
          </cell>
          <cell r="H59" t="str">
            <v>0E3361 </v>
          </cell>
          <cell r="I59"/>
          <cell r="J59" t="str">
            <v>2026/06/18 </v>
          </cell>
          <cell r="K59" t="str">
            <v>2026/07/02 </v>
          </cell>
        </row>
        <row r="60">
          <cell r="A60" t="str">
            <v> TS41077187 </v>
          </cell>
          <cell r="B60" t="str">
            <v>07月 </v>
          </cell>
          <cell r="C60" t="str">
            <v>003 </v>
          </cell>
          <cell r="D60" t="str">
            <v>EGB4010E </v>
          </cell>
          <cell r="E60" t="str">
            <v>  </v>
          </cell>
          <cell r="F60" t="str">
            <v> EGB4010E-J </v>
          </cell>
          <cell r="G60" t="str">
            <v>LZS+BIS </v>
          </cell>
          <cell r="H60" t="str">
            <v>0E3361 </v>
          </cell>
          <cell r="I60"/>
          <cell r="J60" t="str">
            <v>2026/06/19 </v>
          </cell>
          <cell r="K60" t="str">
            <v>2026/07/03 </v>
          </cell>
        </row>
        <row r="61">
          <cell r="A61" t="str">
            <v> TS </v>
          </cell>
          <cell r="B61" t="str">
            <v>07月 </v>
          </cell>
          <cell r="C61" t="str">
            <v>004 </v>
          </cell>
          <cell r="D61" t="str">
            <v>EGB4010E_EX </v>
          </cell>
          <cell r="E61" t="str">
            <v> オーバーシーズ </v>
          </cell>
          <cell r="F61" t="str">
            <v> EGB4010E-E </v>
          </cell>
          <cell r="G61" t="str">
            <v>STD+LZS </v>
          </cell>
          <cell r="H61" t="str">
            <v>0E3362 </v>
          </cell>
          <cell r="I61"/>
          <cell r="J61" t="str">
            <v>2026/06/20 </v>
          </cell>
          <cell r="K61" t="str">
            <v>2026/07/03 </v>
          </cell>
        </row>
        <row r="62">
          <cell r="A62" t="str">
            <v> TS </v>
          </cell>
          <cell r="B62" t="str">
            <v>07月 </v>
          </cell>
          <cell r="C62" t="str">
            <v>005 </v>
          </cell>
          <cell r="D62" t="str">
            <v>EGB4010E_EX </v>
          </cell>
          <cell r="E62" t="str">
            <v> アマダアメリカ </v>
          </cell>
          <cell r="F62" t="str">
            <v> EGB4010E-E </v>
          </cell>
          <cell r="G62" t="str">
            <v>STD+LZS </v>
          </cell>
          <cell r="H62" t="str">
            <v>0E3362 </v>
          </cell>
          <cell r="I62"/>
          <cell r="J62" t="str">
            <v>2026/06/23 </v>
          </cell>
          <cell r="K62" t="str">
            <v>2026/07/04 </v>
          </cell>
        </row>
        <row r="63">
          <cell r="A63" t="str">
            <v> TS </v>
          </cell>
          <cell r="B63" t="str">
            <v>07月 </v>
          </cell>
          <cell r="C63" t="str">
            <v>006 </v>
          </cell>
          <cell r="D63" t="str">
            <v>EGB4010E_EX </v>
          </cell>
          <cell r="E63" t="str">
            <v> アマダアメリカ </v>
          </cell>
          <cell r="F63" t="str">
            <v> EGB4010E-E </v>
          </cell>
          <cell r="G63" t="str">
            <v>STD+LZS </v>
          </cell>
          <cell r="H63" t="str">
            <v>0E3362 </v>
          </cell>
          <cell r="I63"/>
          <cell r="J63" t="str">
            <v>2026/06/24 </v>
          </cell>
          <cell r="K63" t="str">
            <v>2026/07/07 </v>
          </cell>
        </row>
        <row r="64">
          <cell r="A64" t="str">
            <v> TS </v>
          </cell>
          <cell r="B64" t="str">
            <v>07月 </v>
          </cell>
          <cell r="C64" t="str">
            <v>007 </v>
          </cell>
          <cell r="D64" t="str">
            <v>EGB6013E_EXP </v>
          </cell>
          <cell r="E64" t="str">
            <v> アマダカナダ </v>
          </cell>
          <cell r="F64" t="str">
            <v> EGB6013E-E </v>
          </cell>
          <cell r="G64" t="str">
            <v>LZS+BIS </v>
          </cell>
          <cell r="H64" t="str">
            <v>0E5525 </v>
          </cell>
          <cell r="I64"/>
          <cell r="J64" t="str">
            <v>2026/06/26 </v>
          </cell>
          <cell r="K64" t="str">
            <v>2026/07/10 </v>
          </cell>
        </row>
        <row r="65">
          <cell r="A65" t="str">
            <v> TS60109103 </v>
          </cell>
          <cell r="B65" t="str">
            <v>07月 </v>
          </cell>
          <cell r="C65" t="str">
            <v>008 </v>
          </cell>
          <cell r="D65" t="str">
            <v>EGB6013RE_EXP </v>
          </cell>
          <cell r="E65" t="str">
            <v> アマダアメリカ </v>
          </cell>
          <cell r="F65" t="str">
            <v> EGB6013RE-E </v>
          </cell>
          <cell r="G65" t="str">
            <v>STD </v>
          </cell>
          <cell r="H65" t="str">
            <v>0E1244 </v>
          </cell>
          <cell r="I65"/>
          <cell r="J65" t="str">
            <v>2026/06/26 </v>
          </cell>
          <cell r="K65" t="str">
            <v>2026/07/16 </v>
          </cell>
        </row>
        <row r="66">
          <cell r="A66" t="str">
            <v> TS </v>
          </cell>
          <cell r="B66" t="str">
            <v>07月 </v>
          </cell>
          <cell r="C66" t="str">
            <v>009 </v>
          </cell>
          <cell r="D66" t="str">
            <v>EGB6013E_EXP </v>
          </cell>
          <cell r="E66" t="str">
            <v> アマダアメリカ </v>
          </cell>
          <cell r="F66" t="str">
            <v> EGB6013E-E </v>
          </cell>
          <cell r="G66" t="str">
            <v>LZS+BIS </v>
          </cell>
          <cell r="H66" t="str">
            <v>0E5525 </v>
          </cell>
          <cell r="I66"/>
          <cell r="J66" t="str">
            <v>2026/06/30 </v>
          </cell>
          <cell r="K66" t="str">
            <v>2026/07/14 </v>
          </cell>
        </row>
        <row r="67">
          <cell r="A67" t="str">
            <v> TS60109101 </v>
          </cell>
          <cell r="B67" t="str">
            <v>07月 </v>
          </cell>
          <cell r="C67" t="str">
            <v>010 </v>
          </cell>
          <cell r="D67" t="str">
            <v>EGB6013RE </v>
          </cell>
          <cell r="E67" t="str">
            <v>  </v>
          </cell>
          <cell r="F67" t="str">
            <v> EGB6013RE-J </v>
          </cell>
          <cell r="G67" t="str">
            <v>STD </v>
          </cell>
          <cell r="H67" t="str">
            <v>0E1241 </v>
          </cell>
          <cell r="I67"/>
          <cell r="J67" t="str">
            <v>2026/07/03 </v>
          </cell>
          <cell r="K67" t="str">
            <v>2026/07/23 </v>
          </cell>
        </row>
        <row r="68">
          <cell r="A68" t="str">
            <v> TS </v>
          </cell>
          <cell r="B68" t="str">
            <v>07月 </v>
          </cell>
          <cell r="C68" t="str">
            <v>011 </v>
          </cell>
          <cell r="D68" t="str">
            <v>EGB6013E_EXP </v>
          </cell>
          <cell r="E68" t="str">
            <v> アマダアメリカ </v>
          </cell>
          <cell r="F68" t="str">
            <v> EGB6013E-E </v>
          </cell>
          <cell r="G68" t="str">
            <v>LZS+BIS </v>
          </cell>
          <cell r="H68" t="str">
            <v>0E5525 </v>
          </cell>
          <cell r="I68"/>
          <cell r="J68" t="str">
            <v>2026/07/03 </v>
          </cell>
          <cell r="K68" t="str">
            <v>2026/07/17 </v>
          </cell>
        </row>
        <row r="69">
          <cell r="A69" t="str">
            <v> TS </v>
          </cell>
          <cell r="B69" t="str">
            <v>07月 </v>
          </cell>
          <cell r="C69" t="str">
            <v>012 </v>
          </cell>
          <cell r="D69" t="str">
            <v>EGB6013E_EXP </v>
          </cell>
          <cell r="E69" t="str">
            <v> アマダアメリカ </v>
          </cell>
          <cell r="F69" t="str">
            <v> EGB6013E-E </v>
          </cell>
          <cell r="G69" t="str">
            <v>LZS+BIS </v>
          </cell>
          <cell r="H69" t="str">
            <v>0E5525 </v>
          </cell>
          <cell r="I69"/>
          <cell r="J69" t="str">
            <v>2026/07/07 </v>
          </cell>
          <cell r="K69" t="str">
            <v>2026/07/21 </v>
          </cell>
        </row>
        <row r="70">
          <cell r="A70" t="str">
            <v> TS61377134 </v>
          </cell>
          <cell r="B70" t="str">
            <v>07月 </v>
          </cell>
          <cell r="C70" t="str">
            <v>013 </v>
          </cell>
          <cell r="D70" t="str">
            <v>EGB6013E </v>
          </cell>
          <cell r="E70" t="str">
            <v>  </v>
          </cell>
          <cell r="F70" t="str">
            <v> EGB6013E-J </v>
          </cell>
          <cell r="G70" t="str">
            <v>STD </v>
          </cell>
          <cell r="H70" t="str">
            <v>0E5494 </v>
          </cell>
          <cell r="I70"/>
          <cell r="J70" t="str">
            <v>2026/07/16 </v>
          </cell>
          <cell r="K70" t="str">
            <v>2026/07/29 </v>
          </cell>
        </row>
        <row r="71">
          <cell r="A71" t="str">
            <v> TS61377135 </v>
          </cell>
          <cell r="B71" t="str">
            <v>07月 </v>
          </cell>
          <cell r="C71" t="str">
            <v>014 </v>
          </cell>
          <cell r="D71" t="str">
            <v>EGB6013E </v>
          </cell>
          <cell r="E71" t="str">
            <v>  </v>
          </cell>
          <cell r="F71" t="str">
            <v> EGB6013E-J </v>
          </cell>
          <cell r="G71" t="str">
            <v>STD </v>
          </cell>
          <cell r="H71" t="str">
            <v>0E5494 </v>
          </cell>
          <cell r="I71"/>
          <cell r="J71" t="str">
            <v>2026/07/18 </v>
          </cell>
          <cell r="K71" t="str">
            <v>2026/07/31 </v>
          </cell>
        </row>
        <row r="72">
          <cell r="A72" t="str">
            <v> TS41077188 </v>
          </cell>
          <cell r="B72" t="str">
            <v>08月 </v>
          </cell>
          <cell r="C72" t="str">
            <v>001 </v>
          </cell>
          <cell r="D72" t="str">
            <v>EGB4010E </v>
          </cell>
          <cell r="E72" t="str">
            <v> （株）ティアンドエス </v>
          </cell>
          <cell r="F72" t="str">
            <v> EGB4010E-J </v>
          </cell>
          <cell r="G72" t="str">
            <v>LZS+BIS </v>
          </cell>
          <cell r="H72" t="str">
            <v>0E3361 </v>
          </cell>
          <cell r="I72" t="str">
            <v>181598 </v>
          </cell>
          <cell r="J72" t="str">
            <v>2026/07/17 </v>
          </cell>
          <cell r="K72" t="str">
            <v>2026/08/01 </v>
          </cell>
        </row>
        <row r="73">
          <cell r="A73" t="str">
            <v> TS41077189 </v>
          </cell>
          <cell r="B73" t="str">
            <v>08月 </v>
          </cell>
          <cell r="C73" t="str">
            <v>002 </v>
          </cell>
          <cell r="D73" t="str">
            <v>EGB4010E </v>
          </cell>
          <cell r="E73" t="str">
            <v>  </v>
          </cell>
          <cell r="F73" t="str">
            <v> EGB4010E-J </v>
          </cell>
          <cell r="G73" t="str">
            <v>LZS+BIS </v>
          </cell>
          <cell r="H73" t="str">
            <v>0E3361 </v>
          </cell>
          <cell r="I73"/>
          <cell r="J73" t="str">
            <v>2026/07/18 </v>
          </cell>
          <cell r="K73" t="str">
            <v>2026/08/04 </v>
          </cell>
        </row>
        <row r="74">
          <cell r="A74" t="str">
            <v> TS41077190 </v>
          </cell>
          <cell r="B74" t="str">
            <v>08月 </v>
          </cell>
          <cell r="C74" t="str">
            <v>003 </v>
          </cell>
          <cell r="D74" t="str">
            <v>EGB4010E </v>
          </cell>
          <cell r="E74" t="str">
            <v>  </v>
          </cell>
          <cell r="F74" t="str">
            <v> EGB4010E-J </v>
          </cell>
          <cell r="G74" t="str">
            <v>LZS+BIS </v>
          </cell>
          <cell r="H74" t="str">
            <v>0E3361 </v>
          </cell>
          <cell r="I74"/>
          <cell r="J74" t="str">
            <v>2026/07/21 </v>
          </cell>
          <cell r="K74" t="str">
            <v>2026/08/05 </v>
          </cell>
        </row>
        <row r="75">
          <cell r="A75" t="str">
            <v> TS </v>
          </cell>
          <cell r="B75" t="str">
            <v>08月 </v>
          </cell>
          <cell r="C75" t="str">
            <v>004 </v>
          </cell>
          <cell r="D75" t="str">
            <v>EGB4010E_EX </v>
          </cell>
          <cell r="E75" t="str">
            <v> 台湾 </v>
          </cell>
          <cell r="F75" t="str">
            <v> EGB4010E-E </v>
          </cell>
          <cell r="G75" t="str">
            <v>STD+LZS </v>
          </cell>
          <cell r="H75" t="str">
            <v>0E3362 </v>
          </cell>
          <cell r="I75"/>
          <cell r="J75" t="str">
            <v>2026/07/22 </v>
          </cell>
          <cell r="K75" t="str">
            <v>2026/08/05 </v>
          </cell>
        </row>
        <row r="76">
          <cell r="A76" t="str">
            <v> TS60109105 </v>
          </cell>
          <cell r="B76" t="str">
            <v>08月 </v>
          </cell>
          <cell r="C76" t="str">
            <v>005 </v>
          </cell>
          <cell r="D76" t="str">
            <v>EGB6013RE_EXP </v>
          </cell>
          <cell r="E76" t="str">
            <v> 中国 </v>
          </cell>
          <cell r="F76" t="str">
            <v> EGB6013RE-E </v>
          </cell>
          <cell r="G76" t="str">
            <v>STD </v>
          </cell>
          <cell r="H76" t="str">
            <v>0E1244 </v>
          </cell>
          <cell r="I76"/>
          <cell r="J76" t="str">
            <v>2026/07/22 </v>
          </cell>
          <cell r="K76" t="str">
            <v>2026/08/19 </v>
          </cell>
        </row>
        <row r="77">
          <cell r="A77" t="str">
            <v> TS </v>
          </cell>
          <cell r="B77" t="str">
            <v>08月 </v>
          </cell>
          <cell r="C77" t="str">
            <v>006 </v>
          </cell>
          <cell r="D77" t="str">
            <v>EGB4010E_EX </v>
          </cell>
          <cell r="E77" t="str">
            <v> アマダアジアパシフィック </v>
          </cell>
          <cell r="F77" t="str">
            <v> EGB4010E-E </v>
          </cell>
          <cell r="G77" t="str">
            <v>STD+LZS </v>
          </cell>
          <cell r="H77" t="str">
            <v>0E3362 </v>
          </cell>
          <cell r="I77"/>
          <cell r="J77" t="str">
            <v>2026/07/23 </v>
          </cell>
          <cell r="K77" t="str">
            <v>2026/08/06 </v>
          </cell>
        </row>
        <row r="78">
          <cell r="A78" t="str">
            <v> TS </v>
          </cell>
          <cell r="B78" t="str">
            <v>08月 </v>
          </cell>
          <cell r="C78" t="str">
            <v>007 </v>
          </cell>
          <cell r="D78" t="str">
            <v>EGB4010E_EX </v>
          </cell>
          <cell r="E78" t="str">
            <v> アマダアメリカ </v>
          </cell>
          <cell r="F78" t="str">
            <v> EGB4010E-E </v>
          </cell>
          <cell r="G78" t="str">
            <v>STD+LZS </v>
          </cell>
          <cell r="H78" t="str">
            <v>0E3362 </v>
          </cell>
          <cell r="I78"/>
          <cell r="J78" t="str">
            <v>2026/07/24 </v>
          </cell>
          <cell r="K78" t="str">
            <v>2026/08/07 </v>
          </cell>
        </row>
        <row r="79">
          <cell r="A79" t="str">
            <v> TS </v>
          </cell>
          <cell r="B79" t="str">
            <v>08月 </v>
          </cell>
          <cell r="C79" t="str">
            <v>008 </v>
          </cell>
          <cell r="D79" t="str">
            <v>EGB6013E_EXP </v>
          </cell>
          <cell r="E79" t="str">
            <v> オーバーシーズ </v>
          </cell>
          <cell r="F79" t="str">
            <v> EGB6013E-E </v>
          </cell>
          <cell r="G79" t="str">
            <v>LZS+BIS </v>
          </cell>
          <cell r="H79" t="str">
            <v>0E5525 </v>
          </cell>
          <cell r="I79"/>
          <cell r="J79" t="str">
            <v>2026/07/28 </v>
          </cell>
          <cell r="K79" t="str">
            <v>2026/08/18 </v>
          </cell>
        </row>
        <row r="80">
          <cell r="A80" t="str">
            <v> TS60109104 </v>
          </cell>
          <cell r="B80" t="str">
            <v>08月 </v>
          </cell>
          <cell r="C80" t="str">
            <v>009 </v>
          </cell>
          <cell r="D80" t="str">
            <v>EGB6013RE_EXP </v>
          </cell>
          <cell r="E80" t="str">
            <v> アマダアメリカ </v>
          </cell>
          <cell r="F80" t="str">
            <v> EGB6013RE-E </v>
          </cell>
          <cell r="G80" t="str">
            <v>STD </v>
          </cell>
          <cell r="H80" t="str">
            <v>0E1244 </v>
          </cell>
          <cell r="I80"/>
          <cell r="J80" t="str">
            <v>2026/07/28 </v>
          </cell>
          <cell r="K80" t="str">
            <v>2026/08/22 </v>
          </cell>
        </row>
        <row r="81">
          <cell r="A81" t="str">
            <v> TS60109102 </v>
          </cell>
          <cell r="B81" t="str">
            <v>08月 </v>
          </cell>
          <cell r="C81" t="str">
            <v>010 </v>
          </cell>
          <cell r="D81" t="str">
            <v>EGB6013RE </v>
          </cell>
          <cell r="E81" t="str">
            <v> 大和テック（株） </v>
          </cell>
          <cell r="F81" t="str">
            <v> EGB6013RE-J </v>
          </cell>
          <cell r="G81" t="str">
            <v>STD </v>
          </cell>
          <cell r="H81" t="str">
            <v>0E1241 </v>
          </cell>
          <cell r="I81" t="str">
            <v>EGBR102 </v>
          </cell>
          <cell r="J81" t="str">
            <v>2026/08/01 </v>
          </cell>
          <cell r="K81" t="str">
            <v>2026/08/28 </v>
          </cell>
        </row>
        <row r="82">
          <cell r="A82" t="str">
            <v> TS61377136 </v>
          </cell>
          <cell r="B82" t="str">
            <v>08月 </v>
          </cell>
          <cell r="C82" t="str">
            <v>011 </v>
          </cell>
          <cell r="D82" t="str">
            <v>EGB6013E </v>
          </cell>
          <cell r="E82" t="str">
            <v>  </v>
          </cell>
          <cell r="F82" t="str">
            <v> EGB6013E-J </v>
          </cell>
          <cell r="G82" t="str">
            <v>STD </v>
          </cell>
          <cell r="H82" t="str">
            <v>0E5494 </v>
          </cell>
          <cell r="I82"/>
          <cell r="J82" t="str">
            <v>2026/08/07 </v>
          </cell>
          <cell r="K82" t="str">
            <v>2026/08/26 </v>
          </cell>
        </row>
        <row r="83">
          <cell r="A83" t="str">
            <v> TS61377137 </v>
          </cell>
          <cell r="B83" t="str">
            <v>08月 </v>
          </cell>
          <cell r="C83" t="str">
            <v>012 </v>
          </cell>
          <cell r="D83" t="str">
            <v>EGB6013E </v>
          </cell>
          <cell r="E83" t="str">
            <v>  </v>
          </cell>
          <cell r="F83" t="str">
            <v> EGB6013E-J </v>
          </cell>
          <cell r="G83" t="str">
            <v>STD </v>
          </cell>
          <cell r="H83" t="str">
            <v>0E5494 </v>
          </cell>
          <cell r="I83"/>
          <cell r="J83" t="str">
            <v>2026/08/18 </v>
          </cell>
          <cell r="K83" t="str">
            <v>2026/08/28 </v>
          </cell>
        </row>
        <row r="84">
          <cell r="A84" t="str">
            <v> TS </v>
          </cell>
          <cell r="B84" t="str">
            <v>08月 </v>
          </cell>
          <cell r="C84" t="str">
            <v>013 </v>
          </cell>
          <cell r="D84" t="str">
            <v>EGB6013E </v>
          </cell>
          <cell r="E84" t="str">
            <v>  </v>
          </cell>
          <cell r="F84" t="str">
            <v> EGB6013E-J </v>
          </cell>
          <cell r="G84" t="str">
            <v>STD </v>
          </cell>
          <cell r="H84" t="str">
            <v>0E5494 </v>
          </cell>
          <cell r="I84"/>
          <cell r="J84" t="str">
            <v>2026/08/19 </v>
          </cell>
          <cell r="K84" t="str">
            <v>2026/08/29 </v>
          </cell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2">
          <cell r="A132"/>
        </row>
        <row r="133">
          <cell r="A133"/>
        </row>
        <row r="134">
          <cell r="A134"/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3">
          <cell r="A143"/>
        </row>
        <row r="144">
          <cell r="A144"/>
        </row>
        <row r="145">
          <cell r="A145"/>
        </row>
        <row r="146">
          <cell r="A146"/>
        </row>
        <row r="147">
          <cell r="A147"/>
        </row>
        <row r="148">
          <cell r="A148"/>
        </row>
        <row r="149">
          <cell r="A149"/>
        </row>
        <row r="150">
          <cell r="A150"/>
        </row>
        <row r="151">
          <cell r="A151"/>
        </row>
        <row r="152">
          <cell r="A152"/>
        </row>
        <row r="153">
          <cell r="A153"/>
        </row>
        <row r="154">
          <cell r="A154"/>
        </row>
        <row r="155">
          <cell r="A155"/>
        </row>
        <row r="156">
          <cell r="A156"/>
        </row>
        <row r="157">
          <cell r="A157"/>
        </row>
        <row r="158">
          <cell r="A158"/>
        </row>
        <row r="159">
          <cell r="A159"/>
        </row>
        <row r="160">
          <cell r="A160"/>
        </row>
        <row r="161">
          <cell r="A161"/>
        </row>
        <row r="162">
          <cell r="A162"/>
        </row>
        <row r="163">
          <cell r="A163"/>
        </row>
        <row r="164">
          <cell r="A164"/>
        </row>
        <row r="165">
          <cell r="A165"/>
        </row>
        <row r="166">
          <cell r="A166"/>
        </row>
        <row r="167">
          <cell r="A167"/>
        </row>
        <row r="168">
          <cell r="A168"/>
        </row>
        <row r="169">
          <cell r="A169"/>
        </row>
        <row r="170">
          <cell r="A170"/>
        </row>
        <row r="171">
          <cell r="A171"/>
        </row>
        <row r="172">
          <cell r="A172"/>
        </row>
        <row r="173">
          <cell r="A173"/>
        </row>
        <row r="174">
          <cell r="A174"/>
        </row>
        <row r="175">
          <cell r="A175"/>
        </row>
        <row r="176">
          <cell r="A176"/>
        </row>
        <row r="177">
          <cell r="A177"/>
        </row>
        <row r="178">
          <cell r="A178"/>
        </row>
        <row r="179">
          <cell r="A179"/>
        </row>
        <row r="180">
          <cell r="A180"/>
        </row>
        <row r="181">
          <cell r="A181"/>
        </row>
        <row r="182">
          <cell r="A182"/>
        </row>
        <row r="183">
          <cell r="A183"/>
        </row>
        <row r="184">
          <cell r="A184"/>
        </row>
        <row r="185">
          <cell r="A185"/>
        </row>
        <row r="186">
          <cell r="A186"/>
        </row>
        <row r="187">
          <cell r="A187"/>
        </row>
        <row r="188">
          <cell r="A188"/>
        </row>
        <row r="189">
          <cell r="A189"/>
        </row>
        <row r="190">
          <cell r="A190"/>
        </row>
        <row r="191">
          <cell r="A191"/>
        </row>
        <row r="192">
          <cell r="A192"/>
        </row>
        <row r="193">
          <cell r="A193"/>
        </row>
        <row r="194">
          <cell r="A194"/>
        </row>
        <row r="195">
          <cell r="A195"/>
        </row>
        <row r="196">
          <cell r="A196"/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275"/>
  <sheetViews>
    <sheetView zoomScaleNormal="100" workbookViewId="0">
      <pane ySplit="2" topLeftCell="A198" activePane="bottomLeft" state="frozen"/>
      <selection activeCell="G101" sqref="G100:G101"/>
      <selection pane="bottomLeft" activeCell="K220" sqref="K220"/>
    </sheetView>
  </sheetViews>
  <sheetFormatPr defaultRowHeight="13.2" x14ac:dyDescent="0.2"/>
  <sheetData>
    <row r="1" spans="1:11" x14ac:dyDescent="0.2">
      <c r="A1" s="31" t="s">
        <v>3</v>
      </c>
      <c r="B1" s="31" t="s">
        <v>0</v>
      </c>
      <c r="C1" s="31" t="s">
        <v>1</v>
      </c>
      <c r="D1" s="31" t="s">
        <v>2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</row>
    <row r="2" spans="1:11" ht="13.8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3.8" thickBot="1" x14ac:dyDescent="0.25">
      <c r="A3" s="27" t="s">
        <v>255</v>
      </c>
      <c r="B3" s="27" t="s">
        <v>256</v>
      </c>
      <c r="C3" s="27" t="s">
        <v>11</v>
      </c>
      <c r="D3" s="28" t="s">
        <v>187</v>
      </c>
      <c r="E3" s="28" t="s">
        <v>12</v>
      </c>
      <c r="F3" s="28" t="s">
        <v>188</v>
      </c>
      <c r="G3" s="28" t="s">
        <v>13</v>
      </c>
      <c r="H3" s="28" t="s">
        <v>189</v>
      </c>
      <c r="I3" s="28" t="s">
        <v>420</v>
      </c>
      <c r="J3" s="27" t="s">
        <v>206</v>
      </c>
      <c r="K3" s="27" t="s">
        <v>257</v>
      </c>
    </row>
    <row r="4" spans="1:11" ht="13.8" thickBot="1" x14ac:dyDescent="0.25">
      <c r="A4" s="27" t="s">
        <v>209</v>
      </c>
      <c r="B4" s="27" t="s">
        <v>256</v>
      </c>
      <c r="C4" s="27" t="s">
        <v>14</v>
      </c>
      <c r="D4" s="28" t="s">
        <v>122</v>
      </c>
      <c r="E4" s="28" t="s">
        <v>193</v>
      </c>
      <c r="F4" s="28" t="s">
        <v>105</v>
      </c>
      <c r="G4" s="28" t="s">
        <v>13</v>
      </c>
      <c r="H4" s="28" t="s">
        <v>123</v>
      </c>
      <c r="I4" s="28" t="s">
        <v>471</v>
      </c>
      <c r="J4" s="27" t="s">
        <v>208</v>
      </c>
      <c r="K4" s="27" t="s">
        <v>258</v>
      </c>
    </row>
    <row r="5" spans="1:11" ht="13.8" thickBot="1" x14ac:dyDescent="0.25">
      <c r="A5" s="27" t="s">
        <v>259</v>
      </c>
      <c r="B5" s="27" t="s">
        <v>256</v>
      </c>
      <c r="C5" s="27" t="s">
        <v>15</v>
      </c>
      <c r="D5" s="28" t="s">
        <v>81</v>
      </c>
      <c r="E5" s="28" t="s">
        <v>33</v>
      </c>
      <c r="F5" s="28" t="s">
        <v>82</v>
      </c>
      <c r="G5" s="28" t="s">
        <v>13</v>
      </c>
      <c r="H5" s="28" t="s">
        <v>100</v>
      </c>
      <c r="I5" s="28"/>
      <c r="J5" s="27" t="s">
        <v>210</v>
      </c>
      <c r="K5" s="27" t="s">
        <v>260</v>
      </c>
    </row>
    <row r="6" spans="1:11" ht="13.8" thickBot="1" x14ac:dyDescent="0.25">
      <c r="A6" s="27" t="s">
        <v>254</v>
      </c>
      <c r="B6" s="27" t="s">
        <v>256</v>
      </c>
      <c r="C6" s="27" t="s">
        <v>16</v>
      </c>
      <c r="D6" s="28" t="s">
        <v>112</v>
      </c>
      <c r="E6" s="28" t="s">
        <v>12</v>
      </c>
      <c r="F6" s="28" t="s">
        <v>113</v>
      </c>
      <c r="G6" s="28" t="s">
        <v>73</v>
      </c>
      <c r="H6" s="28" t="s">
        <v>114</v>
      </c>
      <c r="I6" s="28" t="s">
        <v>470</v>
      </c>
      <c r="J6" s="27" t="s">
        <v>210</v>
      </c>
      <c r="K6" s="27" t="s">
        <v>222</v>
      </c>
    </row>
    <row r="7" spans="1:11" ht="13.8" thickBot="1" x14ac:dyDescent="0.25">
      <c r="A7" s="27" t="s">
        <v>261</v>
      </c>
      <c r="B7" s="27" t="s">
        <v>256</v>
      </c>
      <c r="C7" s="27" t="s">
        <v>17</v>
      </c>
      <c r="D7" s="28" t="s">
        <v>81</v>
      </c>
      <c r="E7" s="28" t="s">
        <v>33</v>
      </c>
      <c r="F7" s="28" t="s">
        <v>82</v>
      </c>
      <c r="G7" s="28" t="s">
        <v>13</v>
      </c>
      <c r="H7" s="28" t="s">
        <v>100</v>
      </c>
      <c r="I7" s="28"/>
      <c r="J7" s="27" t="s">
        <v>212</v>
      </c>
      <c r="K7" s="27" t="s">
        <v>262</v>
      </c>
    </row>
    <row r="8" spans="1:11" ht="13.8" thickBot="1" x14ac:dyDescent="0.25">
      <c r="A8" s="27" t="s">
        <v>263</v>
      </c>
      <c r="B8" s="27" t="s">
        <v>256</v>
      </c>
      <c r="C8" s="27" t="s">
        <v>18</v>
      </c>
      <c r="D8" s="28" t="s">
        <v>120</v>
      </c>
      <c r="E8" s="28" t="s">
        <v>140</v>
      </c>
      <c r="F8" s="28" t="s">
        <v>107</v>
      </c>
      <c r="G8" s="28" t="s">
        <v>73</v>
      </c>
      <c r="H8" s="28" t="s">
        <v>121</v>
      </c>
      <c r="I8" s="28" t="s">
        <v>520</v>
      </c>
      <c r="J8" s="27" t="s">
        <v>212</v>
      </c>
      <c r="K8" s="27" t="s">
        <v>258</v>
      </c>
    </row>
    <row r="9" spans="1:11" ht="13.8" thickBot="1" x14ac:dyDescent="0.25">
      <c r="A9" s="27" t="s">
        <v>264</v>
      </c>
      <c r="B9" s="27" t="s">
        <v>256</v>
      </c>
      <c r="C9" s="27" t="s">
        <v>19</v>
      </c>
      <c r="D9" s="28" t="s">
        <v>120</v>
      </c>
      <c r="E9" s="28" t="s">
        <v>383</v>
      </c>
      <c r="F9" s="28" t="s">
        <v>107</v>
      </c>
      <c r="G9" s="28" t="s">
        <v>73</v>
      </c>
      <c r="H9" s="28" t="s">
        <v>121</v>
      </c>
      <c r="I9" s="28" t="s">
        <v>384</v>
      </c>
      <c r="J9" s="27" t="s">
        <v>212</v>
      </c>
      <c r="K9" s="27" t="s">
        <v>258</v>
      </c>
    </row>
    <row r="10" spans="1:11" ht="13.8" thickBot="1" x14ac:dyDescent="0.25">
      <c r="A10" s="27" t="s">
        <v>265</v>
      </c>
      <c r="B10" s="27" t="s">
        <v>256</v>
      </c>
      <c r="C10" s="27" t="s">
        <v>20</v>
      </c>
      <c r="D10" s="28" t="s">
        <v>103</v>
      </c>
      <c r="E10" s="28" t="s">
        <v>33</v>
      </c>
      <c r="F10" s="28" t="s">
        <v>104</v>
      </c>
      <c r="G10" s="28" t="s">
        <v>37</v>
      </c>
      <c r="H10" s="28" t="s">
        <v>119</v>
      </c>
      <c r="I10" s="28"/>
      <c r="J10" s="27" t="s">
        <v>213</v>
      </c>
      <c r="K10" s="27" t="s">
        <v>258</v>
      </c>
    </row>
    <row r="11" spans="1:11" ht="13.8" thickBot="1" x14ac:dyDescent="0.25">
      <c r="A11" s="27" t="s">
        <v>266</v>
      </c>
      <c r="B11" s="27" t="s">
        <v>256</v>
      </c>
      <c r="C11" s="27" t="s">
        <v>21</v>
      </c>
      <c r="D11" s="28" t="s">
        <v>95</v>
      </c>
      <c r="E11" s="28" t="s">
        <v>469</v>
      </c>
      <c r="F11" s="28" t="s">
        <v>96</v>
      </c>
      <c r="G11" s="28" t="s">
        <v>37</v>
      </c>
      <c r="H11" s="28" t="s">
        <v>97</v>
      </c>
      <c r="I11" s="28" t="s">
        <v>472</v>
      </c>
      <c r="J11" s="27" t="s">
        <v>213</v>
      </c>
      <c r="K11" s="27" t="s">
        <v>258</v>
      </c>
    </row>
    <row r="12" spans="1:11" ht="13.8" thickBot="1" x14ac:dyDescent="0.25">
      <c r="A12" s="27" t="s">
        <v>267</v>
      </c>
      <c r="B12" s="27" t="s">
        <v>256</v>
      </c>
      <c r="C12" s="27" t="s">
        <v>22</v>
      </c>
      <c r="D12" s="28" t="s">
        <v>95</v>
      </c>
      <c r="E12" s="28" t="s">
        <v>145</v>
      </c>
      <c r="F12" s="28" t="s">
        <v>96</v>
      </c>
      <c r="G12" s="28" t="s">
        <v>37</v>
      </c>
      <c r="H12" s="28" t="s">
        <v>97</v>
      </c>
      <c r="I12" s="28" t="s">
        <v>268</v>
      </c>
      <c r="J12" s="27" t="s">
        <v>214</v>
      </c>
      <c r="K12" s="27" t="s">
        <v>260</v>
      </c>
    </row>
    <row r="13" spans="1:11" ht="13.8" thickBot="1" x14ac:dyDescent="0.25">
      <c r="A13" s="27" t="s">
        <v>269</v>
      </c>
      <c r="B13" s="27" t="s">
        <v>256</v>
      </c>
      <c r="C13" s="27" t="s">
        <v>23</v>
      </c>
      <c r="D13" s="28" t="s">
        <v>98</v>
      </c>
      <c r="E13" s="28" t="s">
        <v>78</v>
      </c>
      <c r="F13" s="28" t="s">
        <v>94</v>
      </c>
      <c r="G13" s="28" t="s">
        <v>13</v>
      </c>
      <c r="H13" s="28" t="s">
        <v>99</v>
      </c>
      <c r="I13" s="28" t="s">
        <v>421</v>
      </c>
      <c r="J13" s="27" t="s">
        <v>214</v>
      </c>
      <c r="K13" s="27" t="s">
        <v>270</v>
      </c>
    </row>
    <row r="14" spans="1:11" ht="13.8" thickBot="1" x14ac:dyDescent="0.25">
      <c r="A14" s="27" t="s">
        <v>302</v>
      </c>
      <c r="B14" s="27" t="s">
        <v>256</v>
      </c>
      <c r="C14" s="27" t="s">
        <v>24</v>
      </c>
      <c r="D14" s="28" t="s">
        <v>101</v>
      </c>
      <c r="E14" s="28" t="s">
        <v>303</v>
      </c>
      <c r="F14" s="28" t="s">
        <v>102</v>
      </c>
      <c r="G14" s="28" t="s">
        <v>37</v>
      </c>
      <c r="H14" s="28" t="s">
        <v>118</v>
      </c>
      <c r="I14" s="28" t="s">
        <v>304</v>
      </c>
      <c r="J14" s="27" t="s">
        <v>214</v>
      </c>
      <c r="K14" s="27" t="s">
        <v>260</v>
      </c>
    </row>
    <row r="15" spans="1:11" ht="13.8" thickBot="1" x14ac:dyDescent="0.25">
      <c r="A15" s="27" t="s">
        <v>273</v>
      </c>
      <c r="B15" s="27" t="s">
        <v>256</v>
      </c>
      <c r="C15" s="27" t="s">
        <v>25</v>
      </c>
      <c r="D15" s="28" t="s">
        <v>90</v>
      </c>
      <c r="E15" s="28" t="s">
        <v>320</v>
      </c>
      <c r="F15" s="28" t="s">
        <v>91</v>
      </c>
      <c r="G15" s="28" t="s">
        <v>13</v>
      </c>
      <c r="H15" s="28" t="s">
        <v>92</v>
      </c>
      <c r="I15" s="28" t="s">
        <v>385</v>
      </c>
      <c r="J15" s="27" t="s">
        <v>216</v>
      </c>
      <c r="K15" s="27" t="s">
        <v>274</v>
      </c>
    </row>
    <row r="16" spans="1:11" ht="13.8" thickBot="1" x14ac:dyDescent="0.25">
      <c r="A16" s="27" t="s">
        <v>279</v>
      </c>
      <c r="B16" s="27" t="s">
        <v>256</v>
      </c>
      <c r="C16" s="27" t="s">
        <v>26</v>
      </c>
      <c r="D16" s="28" t="s">
        <v>132</v>
      </c>
      <c r="E16" s="28" t="s">
        <v>1226</v>
      </c>
      <c r="F16" s="28" t="s">
        <v>106</v>
      </c>
      <c r="G16" s="28" t="s">
        <v>73</v>
      </c>
      <c r="H16" s="28" t="s">
        <v>133</v>
      </c>
      <c r="I16" s="28" t="s">
        <v>422</v>
      </c>
      <c r="J16" s="27" t="s">
        <v>216</v>
      </c>
      <c r="K16" s="27" t="s">
        <v>257</v>
      </c>
    </row>
    <row r="17" spans="1:11" ht="13.8" thickBot="1" x14ac:dyDescent="0.25">
      <c r="A17" s="27" t="s">
        <v>277</v>
      </c>
      <c r="B17" s="27" t="s">
        <v>256</v>
      </c>
      <c r="C17" s="27" t="s">
        <v>27</v>
      </c>
      <c r="D17" s="28" t="s">
        <v>81</v>
      </c>
      <c r="E17" s="28" t="s">
        <v>320</v>
      </c>
      <c r="F17" s="28" t="s">
        <v>82</v>
      </c>
      <c r="G17" s="28" t="s">
        <v>13</v>
      </c>
      <c r="H17" s="28" t="s">
        <v>100</v>
      </c>
      <c r="I17" s="28" t="s">
        <v>386</v>
      </c>
      <c r="J17" s="27" t="s">
        <v>217</v>
      </c>
      <c r="K17" s="27" t="s">
        <v>278</v>
      </c>
    </row>
    <row r="18" spans="1:11" ht="13.8" thickBot="1" x14ac:dyDescent="0.25">
      <c r="A18" s="27" t="s">
        <v>307</v>
      </c>
      <c r="B18" s="27" t="s">
        <v>256</v>
      </c>
      <c r="C18" s="27" t="s">
        <v>28</v>
      </c>
      <c r="D18" s="28" t="s">
        <v>101</v>
      </c>
      <c r="E18" s="28" t="s">
        <v>308</v>
      </c>
      <c r="F18" s="28" t="s">
        <v>102</v>
      </c>
      <c r="G18" s="28" t="s">
        <v>37</v>
      </c>
      <c r="H18" s="28" t="s">
        <v>118</v>
      </c>
      <c r="I18" s="28" t="s">
        <v>309</v>
      </c>
      <c r="J18" s="27" t="s">
        <v>217</v>
      </c>
      <c r="K18" s="27" t="s">
        <v>257</v>
      </c>
    </row>
    <row r="19" spans="1:11" ht="13.8" thickBot="1" x14ac:dyDescent="0.25">
      <c r="A19" s="27" t="s">
        <v>275</v>
      </c>
      <c r="B19" s="27" t="s">
        <v>256</v>
      </c>
      <c r="C19" s="27" t="s">
        <v>29</v>
      </c>
      <c r="D19" s="28" t="s">
        <v>132</v>
      </c>
      <c r="E19" s="28" t="s">
        <v>12</v>
      </c>
      <c r="F19" s="28" t="s">
        <v>106</v>
      </c>
      <c r="G19" s="28" t="s">
        <v>73</v>
      </c>
      <c r="H19" s="28" t="s">
        <v>133</v>
      </c>
      <c r="I19" s="28" t="s">
        <v>473</v>
      </c>
      <c r="J19" s="27" t="s">
        <v>217</v>
      </c>
      <c r="K19" s="27" t="s">
        <v>270</v>
      </c>
    </row>
    <row r="20" spans="1:11" ht="13.8" thickBot="1" x14ac:dyDescent="0.25">
      <c r="A20" s="27" t="s">
        <v>280</v>
      </c>
      <c r="B20" s="27" t="s">
        <v>256</v>
      </c>
      <c r="C20" s="27" t="s">
        <v>31</v>
      </c>
      <c r="D20" s="28" t="s">
        <v>81</v>
      </c>
      <c r="E20" s="28" t="s">
        <v>320</v>
      </c>
      <c r="F20" s="28" t="s">
        <v>82</v>
      </c>
      <c r="G20" s="28" t="s">
        <v>13</v>
      </c>
      <c r="H20" s="28" t="s">
        <v>100</v>
      </c>
      <c r="I20" s="28" t="s">
        <v>387</v>
      </c>
      <c r="J20" s="27" t="s">
        <v>219</v>
      </c>
      <c r="K20" s="27" t="s">
        <v>281</v>
      </c>
    </row>
    <row r="21" spans="1:11" ht="13.8" thickBot="1" x14ac:dyDescent="0.25">
      <c r="A21" s="27" t="s">
        <v>282</v>
      </c>
      <c r="B21" s="27" t="s">
        <v>256</v>
      </c>
      <c r="C21" s="27" t="s">
        <v>32</v>
      </c>
      <c r="D21" s="28" t="s">
        <v>103</v>
      </c>
      <c r="E21" s="28" t="s">
        <v>33</v>
      </c>
      <c r="F21" s="28" t="s">
        <v>104</v>
      </c>
      <c r="G21" s="28" t="s">
        <v>37</v>
      </c>
      <c r="H21" s="28" t="s">
        <v>119</v>
      </c>
      <c r="I21" s="28"/>
      <c r="J21" s="27" t="s">
        <v>219</v>
      </c>
      <c r="K21" s="27" t="s">
        <v>274</v>
      </c>
    </row>
    <row r="22" spans="1:11" ht="13.8" thickBot="1" x14ac:dyDescent="0.25">
      <c r="A22" s="27" t="s">
        <v>283</v>
      </c>
      <c r="B22" s="27" t="s">
        <v>256</v>
      </c>
      <c r="C22" s="27" t="s">
        <v>34</v>
      </c>
      <c r="D22" s="28" t="s">
        <v>120</v>
      </c>
      <c r="E22" s="28" t="s">
        <v>12</v>
      </c>
      <c r="F22" s="28" t="s">
        <v>107</v>
      </c>
      <c r="G22" s="28" t="s">
        <v>73</v>
      </c>
      <c r="H22" s="28" t="s">
        <v>121</v>
      </c>
      <c r="I22" s="28" t="s">
        <v>474</v>
      </c>
      <c r="J22" s="27" t="s">
        <v>219</v>
      </c>
      <c r="K22" s="27" t="s">
        <v>284</v>
      </c>
    </row>
    <row r="23" spans="1:11" ht="13.8" thickBot="1" x14ac:dyDescent="0.25">
      <c r="A23" s="27" t="s">
        <v>161</v>
      </c>
      <c r="B23" s="27" t="s">
        <v>256</v>
      </c>
      <c r="C23" s="27" t="s">
        <v>35</v>
      </c>
      <c r="D23" s="28" t="s">
        <v>103</v>
      </c>
      <c r="E23" s="28" t="s">
        <v>145</v>
      </c>
      <c r="F23" s="28" t="s">
        <v>104</v>
      </c>
      <c r="G23" s="28" t="s">
        <v>13</v>
      </c>
      <c r="H23" s="28" t="s">
        <v>162</v>
      </c>
      <c r="I23" s="28"/>
      <c r="J23" s="27" t="s">
        <v>220</v>
      </c>
      <c r="K23" s="27" t="s">
        <v>330</v>
      </c>
    </row>
    <row r="24" spans="1:11" ht="13.8" thickBot="1" x14ac:dyDescent="0.25">
      <c r="A24" s="27" t="s">
        <v>306</v>
      </c>
      <c r="B24" s="27" t="s">
        <v>256</v>
      </c>
      <c r="C24" s="27" t="s">
        <v>36</v>
      </c>
      <c r="D24" s="28" t="s">
        <v>101</v>
      </c>
      <c r="E24" s="28" t="s">
        <v>33</v>
      </c>
      <c r="F24" s="28" t="s">
        <v>102</v>
      </c>
      <c r="G24" s="28" t="s">
        <v>37</v>
      </c>
      <c r="H24" s="28" t="s">
        <v>118</v>
      </c>
      <c r="I24" s="28"/>
      <c r="J24" s="27" t="s">
        <v>220</v>
      </c>
      <c r="K24" s="27" t="s">
        <v>284</v>
      </c>
    </row>
    <row r="25" spans="1:11" ht="13.8" thickBot="1" x14ac:dyDescent="0.25">
      <c r="A25" s="27" t="s">
        <v>286</v>
      </c>
      <c r="B25" s="27" t="s">
        <v>256</v>
      </c>
      <c r="C25" s="27" t="s">
        <v>38</v>
      </c>
      <c r="D25" s="28" t="s">
        <v>120</v>
      </c>
      <c r="E25" s="28" t="s">
        <v>12</v>
      </c>
      <c r="F25" s="28" t="s">
        <v>107</v>
      </c>
      <c r="G25" s="28" t="s">
        <v>73</v>
      </c>
      <c r="H25" s="28" t="s">
        <v>121</v>
      </c>
      <c r="I25" s="28" t="s">
        <v>475</v>
      </c>
      <c r="J25" s="27" t="s">
        <v>220</v>
      </c>
      <c r="K25" s="27" t="s">
        <v>278</v>
      </c>
    </row>
    <row r="26" spans="1:11" ht="13.8" thickBot="1" x14ac:dyDescent="0.25">
      <c r="A26" s="27" t="s">
        <v>287</v>
      </c>
      <c r="B26" s="27" t="s">
        <v>256</v>
      </c>
      <c r="C26" s="27" t="s">
        <v>39</v>
      </c>
      <c r="D26" s="28" t="s">
        <v>101</v>
      </c>
      <c r="E26" s="28" t="s">
        <v>476</v>
      </c>
      <c r="F26" s="28" t="s">
        <v>102</v>
      </c>
      <c r="G26" s="28" t="s">
        <v>37</v>
      </c>
      <c r="H26" s="28" t="s">
        <v>118</v>
      </c>
      <c r="I26" s="28" t="s">
        <v>477</v>
      </c>
      <c r="J26" s="27" t="s">
        <v>222</v>
      </c>
      <c r="K26" s="27" t="s">
        <v>288</v>
      </c>
    </row>
    <row r="27" spans="1:11" ht="13.8" thickBot="1" x14ac:dyDescent="0.25">
      <c r="A27" s="27" t="s">
        <v>373</v>
      </c>
      <c r="B27" s="27" t="s">
        <v>256</v>
      </c>
      <c r="C27" s="27" t="s">
        <v>40</v>
      </c>
      <c r="D27" s="28" t="s">
        <v>478</v>
      </c>
      <c r="E27" s="28" t="s">
        <v>479</v>
      </c>
      <c r="F27" s="28" t="s">
        <v>480</v>
      </c>
      <c r="G27" s="28" t="s">
        <v>13</v>
      </c>
      <c r="H27" s="28" t="s">
        <v>481</v>
      </c>
      <c r="I27" s="28" t="s">
        <v>482</v>
      </c>
      <c r="J27" s="27" t="s">
        <v>222</v>
      </c>
      <c r="K27" s="27" t="s">
        <v>289</v>
      </c>
    </row>
    <row r="28" spans="1:11" ht="13.8" thickBot="1" x14ac:dyDescent="0.25">
      <c r="A28" s="27" t="s">
        <v>290</v>
      </c>
      <c r="B28" s="27" t="s">
        <v>256</v>
      </c>
      <c r="C28" s="27" t="s">
        <v>41</v>
      </c>
      <c r="D28" s="28" t="s">
        <v>101</v>
      </c>
      <c r="E28" s="28" t="s">
        <v>33</v>
      </c>
      <c r="F28" s="28" t="s">
        <v>102</v>
      </c>
      <c r="G28" s="28" t="s">
        <v>37</v>
      </c>
      <c r="H28" s="28" t="s">
        <v>118</v>
      </c>
      <c r="I28" s="28"/>
      <c r="J28" s="27" t="s">
        <v>291</v>
      </c>
      <c r="K28" s="27" t="s">
        <v>281</v>
      </c>
    </row>
    <row r="29" spans="1:11" ht="13.8" thickBot="1" x14ac:dyDescent="0.25">
      <c r="A29" s="27" t="s">
        <v>292</v>
      </c>
      <c r="B29" s="27" t="s">
        <v>256</v>
      </c>
      <c r="C29" s="27" t="s">
        <v>65</v>
      </c>
      <c r="D29" s="28" t="s">
        <v>101</v>
      </c>
      <c r="E29" s="28" t="s">
        <v>33</v>
      </c>
      <c r="F29" s="28" t="s">
        <v>102</v>
      </c>
      <c r="G29" s="28" t="s">
        <v>37</v>
      </c>
      <c r="H29" s="28" t="s">
        <v>118</v>
      </c>
      <c r="I29" s="28"/>
      <c r="J29" s="27" t="s">
        <v>291</v>
      </c>
      <c r="K29" s="27" t="s">
        <v>281</v>
      </c>
    </row>
    <row r="30" spans="1:11" ht="13.8" thickBot="1" x14ac:dyDescent="0.25">
      <c r="A30" s="27" t="s">
        <v>293</v>
      </c>
      <c r="B30" s="27" t="s">
        <v>256</v>
      </c>
      <c r="C30" s="27" t="s">
        <v>66</v>
      </c>
      <c r="D30" s="28" t="s">
        <v>122</v>
      </c>
      <c r="E30" s="28" t="s">
        <v>12</v>
      </c>
      <c r="F30" s="28" t="s">
        <v>105</v>
      </c>
      <c r="G30" s="28" t="s">
        <v>13</v>
      </c>
      <c r="H30" s="28" t="s">
        <v>123</v>
      </c>
      <c r="I30" s="28" t="s">
        <v>423</v>
      </c>
      <c r="J30" s="27" t="s">
        <v>291</v>
      </c>
      <c r="K30" s="27" t="s">
        <v>294</v>
      </c>
    </row>
    <row r="31" spans="1:11" ht="13.8" thickBot="1" x14ac:dyDescent="0.25">
      <c r="A31" s="27" t="s">
        <v>295</v>
      </c>
      <c r="B31" s="27" t="s">
        <v>256</v>
      </c>
      <c r="C31" s="27" t="s">
        <v>67</v>
      </c>
      <c r="D31" s="28" t="s">
        <v>103</v>
      </c>
      <c r="E31" s="28" t="s">
        <v>33</v>
      </c>
      <c r="F31" s="28" t="s">
        <v>104</v>
      </c>
      <c r="G31" s="28" t="s">
        <v>37</v>
      </c>
      <c r="H31" s="28" t="s">
        <v>119</v>
      </c>
      <c r="I31" s="28"/>
      <c r="J31" s="27" t="s">
        <v>260</v>
      </c>
      <c r="K31" s="27" t="s">
        <v>296</v>
      </c>
    </row>
    <row r="32" spans="1:11" ht="13.8" thickBot="1" x14ac:dyDescent="0.25">
      <c r="A32" s="27" t="s">
        <v>297</v>
      </c>
      <c r="B32" s="27" t="s">
        <v>256</v>
      </c>
      <c r="C32" s="27" t="s">
        <v>68</v>
      </c>
      <c r="D32" s="28" t="s">
        <v>103</v>
      </c>
      <c r="E32" s="28" t="s">
        <v>33</v>
      </c>
      <c r="F32" s="28" t="s">
        <v>104</v>
      </c>
      <c r="G32" s="28" t="s">
        <v>37</v>
      </c>
      <c r="H32" s="28" t="s">
        <v>119</v>
      </c>
      <c r="I32" s="28"/>
      <c r="J32" s="27" t="s">
        <v>260</v>
      </c>
      <c r="K32" s="27" t="s">
        <v>296</v>
      </c>
    </row>
    <row r="33" spans="1:11" ht="13.8" thickBot="1" x14ac:dyDescent="0.25">
      <c r="A33" s="27" t="s">
        <v>374</v>
      </c>
      <c r="B33" s="27" t="s">
        <v>256</v>
      </c>
      <c r="C33" s="27" t="s">
        <v>69</v>
      </c>
      <c r="D33" s="28" t="s">
        <v>478</v>
      </c>
      <c r="E33" s="28" t="s">
        <v>483</v>
      </c>
      <c r="F33" s="28" t="s">
        <v>480</v>
      </c>
      <c r="G33" s="28" t="s">
        <v>13</v>
      </c>
      <c r="H33" s="28" t="s">
        <v>481</v>
      </c>
      <c r="I33" s="28" t="s">
        <v>484</v>
      </c>
      <c r="J33" s="27" t="s">
        <v>260</v>
      </c>
      <c r="K33" s="27" t="s">
        <v>298</v>
      </c>
    </row>
    <row r="34" spans="1:11" ht="13.8" thickBot="1" x14ac:dyDescent="0.25">
      <c r="A34" s="27" t="s">
        <v>299</v>
      </c>
      <c r="B34" s="27" t="s">
        <v>256</v>
      </c>
      <c r="C34" s="27" t="s">
        <v>70</v>
      </c>
      <c r="D34" s="28" t="s">
        <v>112</v>
      </c>
      <c r="E34" s="28" t="s">
        <v>12</v>
      </c>
      <c r="F34" s="28" t="s">
        <v>113</v>
      </c>
      <c r="G34" s="28" t="s">
        <v>73</v>
      </c>
      <c r="H34" s="28" t="s">
        <v>114</v>
      </c>
      <c r="I34" s="28" t="s">
        <v>485</v>
      </c>
      <c r="J34" s="27" t="s">
        <v>262</v>
      </c>
      <c r="K34" s="27" t="s">
        <v>300</v>
      </c>
    </row>
    <row r="35" spans="1:11" ht="13.8" thickBot="1" x14ac:dyDescent="0.25">
      <c r="A35" s="27" t="s">
        <v>301</v>
      </c>
      <c r="B35" s="27" t="s">
        <v>256</v>
      </c>
      <c r="C35" s="27" t="s">
        <v>71</v>
      </c>
      <c r="D35" s="28" t="s">
        <v>120</v>
      </c>
      <c r="E35" s="28" t="s">
        <v>12</v>
      </c>
      <c r="F35" s="28" t="s">
        <v>107</v>
      </c>
      <c r="G35" s="28" t="s">
        <v>73</v>
      </c>
      <c r="H35" s="28" t="s">
        <v>121</v>
      </c>
      <c r="I35" s="28" t="s">
        <v>486</v>
      </c>
      <c r="J35" s="27" t="s">
        <v>262</v>
      </c>
      <c r="K35" s="27" t="s">
        <v>300</v>
      </c>
    </row>
    <row r="36" spans="1:11" ht="13.8" thickBot="1" x14ac:dyDescent="0.25">
      <c r="A36" s="27" t="s">
        <v>271</v>
      </c>
      <c r="B36" s="27" t="s">
        <v>256</v>
      </c>
      <c r="C36" s="27" t="s">
        <v>72</v>
      </c>
      <c r="D36" s="28" t="s">
        <v>112</v>
      </c>
      <c r="E36" s="28" t="s">
        <v>12</v>
      </c>
      <c r="F36" s="28" t="s">
        <v>113</v>
      </c>
      <c r="G36" s="28" t="s">
        <v>73</v>
      </c>
      <c r="H36" s="28" t="s">
        <v>114</v>
      </c>
      <c r="I36" s="28" t="s">
        <v>487</v>
      </c>
      <c r="J36" s="27" t="s">
        <v>257</v>
      </c>
      <c r="K36" s="27" t="s">
        <v>298</v>
      </c>
    </row>
    <row r="37" spans="1:11" ht="13.8" thickBot="1" x14ac:dyDescent="0.25">
      <c r="A37" s="27" t="s">
        <v>305</v>
      </c>
      <c r="B37" s="27" t="s">
        <v>256</v>
      </c>
      <c r="C37" s="27" t="s">
        <v>74</v>
      </c>
      <c r="D37" s="28" t="s">
        <v>112</v>
      </c>
      <c r="E37" s="28" t="s">
        <v>12</v>
      </c>
      <c r="F37" s="28" t="s">
        <v>113</v>
      </c>
      <c r="G37" s="28" t="s">
        <v>73</v>
      </c>
      <c r="H37" s="28" t="s">
        <v>114</v>
      </c>
      <c r="I37" s="28" t="s">
        <v>488</v>
      </c>
      <c r="J37" s="27" t="s">
        <v>257</v>
      </c>
      <c r="K37" s="27" t="s">
        <v>298</v>
      </c>
    </row>
    <row r="38" spans="1:11" ht="13.8" thickBot="1" x14ac:dyDescent="0.25">
      <c r="A38" s="27" t="s">
        <v>285</v>
      </c>
      <c r="B38" s="27" t="s">
        <v>256</v>
      </c>
      <c r="C38" s="27" t="s">
        <v>75</v>
      </c>
      <c r="D38" s="28" t="s">
        <v>132</v>
      </c>
      <c r="E38" s="28" t="s">
        <v>12</v>
      </c>
      <c r="F38" s="28" t="s">
        <v>106</v>
      </c>
      <c r="G38" s="28" t="s">
        <v>73</v>
      </c>
      <c r="H38" s="28" t="s">
        <v>133</v>
      </c>
      <c r="I38" s="28" t="s">
        <v>489</v>
      </c>
      <c r="J38" s="27" t="s">
        <v>270</v>
      </c>
      <c r="K38" s="27" t="s">
        <v>330</v>
      </c>
    </row>
    <row r="39" spans="1:11" ht="13.8" thickBot="1" x14ac:dyDescent="0.25">
      <c r="A39" s="27" t="s">
        <v>276</v>
      </c>
      <c r="B39" s="27" t="s">
        <v>256</v>
      </c>
      <c r="C39" s="27" t="s">
        <v>76</v>
      </c>
      <c r="D39" s="28" t="s">
        <v>132</v>
      </c>
      <c r="E39" s="28" t="s">
        <v>78</v>
      </c>
      <c r="F39" s="28" t="s">
        <v>106</v>
      </c>
      <c r="G39" s="28" t="s">
        <v>73</v>
      </c>
      <c r="H39" s="28" t="s">
        <v>133</v>
      </c>
      <c r="I39" s="28" t="s">
        <v>521</v>
      </c>
      <c r="J39" s="27" t="s">
        <v>270</v>
      </c>
      <c r="K39" s="27" t="s">
        <v>330</v>
      </c>
    </row>
    <row r="40" spans="1:11" ht="13.8" thickBot="1" x14ac:dyDescent="0.25">
      <c r="A40" s="27" t="s">
        <v>424</v>
      </c>
      <c r="B40" s="27" t="s">
        <v>396</v>
      </c>
      <c r="C40" s="27" t="s">
        <v>11</v>
      </c>
      <c r="D40" s="28" t="s">
        <v>120</v>
      </c>
      <c r="E40" s="28" t="s">
        <v>425</v>
      </c>
      <c r="F40" s="28" t="s">
        <v>107</v>
      </c>
      <c r="G40" s="28" t="s">
        <v>73</v>
      </c>
      <c r="H40" s="28" t="s">
        <v>121</v>
      </c>
      <c r="I40" s="28" t="s">
        <v>426</v>
      </c>
      <c r="J40" s="27" t="s">
        <v>284</v>
      </c>
      <c r="K40" s="27" t="s">
        <v>330</v>
      </c>
    </row>
    <row r="41" spans="1:11" ht="13.8" thickBot="1" x14ac:dyDescent="0.25">
      <c r="A41" s="27" t="s">
        <v>522</v>
      </c>
      <c r="B41" s="27" t="s">
        <v>396</v>
      </c>
      <c r="C41" s="27" t="s">
        <v>14</v>
      </c>
      <c r="D41" s="28" t="s">
        <v>112</v>
      </c>
      <c r="E41" s="28" t="s">
        <v>12</v>
      </c>
      <c r="F41" s="28" t="s">
        <v>113</v>
      </c>
      <c r="G41" s="28" t="s">
        <v>73</v>
      </c>
      <c r="H41" s="28" t="s">
        <v>114</v>
      </c>
      <c r="I41" s="28" t="s">
        <v>669</v>
      </c>
      <c r="J41" s="27" t="s">
        <v>284</v>
      </c>
      <c r="K41" s="27" t="s">
        <v>400</v>
      </c>
    </row>
    <row r="42" spans="1:11" ht="13.8" thickBot="1" x14ac:dyDescent="0.25">
      <c r="A42" s="27" t="s">
        <v>562</v>
      </c>
      <c r="B42" s="27" t="s">
        <v>396</v>
      </c>
      <c r="C42" s="27" t="s">
        <v>15</v>
      </c>
      <c r="D42" s="28" t="s">
        <v>103</v>
      </c>
      <c r="E42" s="28" t="s">
        <v>692</v>
      </c>
      <c r="F42" s="28" t="s">
        <v>104</v>
      </c>
      <c r="G42" s="28" t="s">
        <v>37</v>
      </c>
      <c r="H42" s="28" t="s">
        <v>119</v>
      </c>
      <c r="I42" s="28" t="s">
        <v>693</v>
      </c>
      <c r="J42" s="27" t="s">
        <v>288</v>
      </c>
      <c r="K42" s="27" t="s">
        <v>399</v>
      </c>
    </row>
    <row r="43" spans="1:11" ht="13.8" thickBot="1" x14ac:dyDescent="0.25">
      <c r="A43" s="27" t="s">
        <v>550</v>
      </c>
      <c r="B43" s="27" t="s">
        <v>396</v>
      </c>
      <c r="C43" s="27" t="s">
        <v>16</v>
      </c>
      <c r="D43" s="28" t="s">
        <v>90</v>
      </c>
      <c r="E43" s="28" t="s">
        <v>33</v>
      </c>
      <c r="F43" s="28" t="s">
        <v>91</v>
      </c>
      <c r="G43" s="28" t="s">
        <v>13</v>
      </c>
      <c r="H43" s="28" t="s">
        <v>92</v>
      </c>
      <c r="I43" s="28"/>
      <c r="J43" s="27" t="s">
        <v>288</v>
      </c>
      <c r="K43" s="27" t="s">
        <v>411</v>
      </c>
    </row>
    <row r="44" spans="1:11" ht="13.8" thickBot="1" x14ac:dyDescent="0.25">
      <c r="A44" s="27" t="s">
        <v>523</v>
      </c>
      <c r="B44" s="27" t="s">
        <v>396</v>
      </c>
      <c r="C44" s="27" t="s">
        <v>17</v>
      </c>
      <c r="D44" s="28" t="s">
        <v>120</v>
      </c>
      <c r="E44" s="28" t="s">
        <v>921</v>
      </c>
      <c r="F44" s="28" t="s">
        <v>107</v>
      </c>
      <c r="G44" s="28" t="s">
        <v>73</v>
      </c>
      <c r="H44" s="28" t="s">
        <v>121</v>
      </c>
      <c r="I44" s="28" t="s">
        <v>922</v>
      </c>
      <c r="J44" s="27" t="s">
        <v>288</v>
      </c>
      <c r="K44" s="27" t="s">
        <v>399</v>
      </c>
    </row>
    <row r="45" spans="1:11" ht="13.8" thickBot="1" x14ac:dyDescent="0.25">
      <c r="A45" s="27" t="s">
        <v>491</v>
      </c>
      <c r="B45" s="27" t="s">
        <v>396</v>
      </c>
      <c r="C45" s="27" t="s">
        <v>18</v>
      </c>
      <c r="D45" s="28" t="s">
        <v>103</v>
      </c>
      <c r="E45" s="28" t="s">
        <v>33</v>
      </c>
      <c r="F45" s="28" t="s">
        <v>104</v>
      </c>
      <c r="G45" s="28" t="s">
        <v>37</v>
      </c>
      <c r="H45" s="28" t="s">
        <v>119</v>
      </c>
      <c r="I45" s="28"/>
      <c r="J45" s="27" t="s">
        <v>281</v>
      </c>
      <c r="K45" s="27" t="s">
        <v>408</v>
      </c>
    </row>
    <row r="46" spans="1:11" ht="13.8" thickBot="1" x14ac:dyDescent="0.25">
      <c r="A46" s="27" t="s">
        <v>524</v>
      </c>
      <c r="B46" s="27" t="s">
        <v>396</v>
      </c>
      <c r="C46" s="27" t="s">
        <v>19</v>
      </c>
      <c r="D46" s="28" t="s">
        <v>132</v>
      </c>
      <c r="E46" s="28" t="s">
        <v>12</v>
      </c>
      <c r="F46" s="28" t="s">
        <v>106</v>
      </c>
      <c r="G46" s="28" t="s">
        <v>73</v>
      </c>
      <c r="H46" s="28" t="s">
        <v>133</v>
      </c>
      <c r="I46" s="28" t="s">
        <v>967</v>
      </c>
      <c r="J46" s="27" t="s">
        <v>281</v>
      </c>
      <c r="K46" s="27" t="s">
        <v>410</v>
      </c>
    </row>
    <row r="47" spans="1:11" ht="13.8" thickBot="1" x14ac:dyDescent="0.25">
      <c r="A47" s="27" t="s">
        <v>526</v>
      </c>
      <c r="B47" s="27" t="s">
        <v>396</v>
      </c>
      <c r="C47" s="27" t="s">
        <v>20</v>
      </c>
      <c r="D47" s="28" t="s">
        <v>98</v>
      </c>
      <c r="E47" s="28" t="s">
        <v>140</v>
      </c>
      <c r="F47" s="28" t="s">
        <v>94</v>
      </c>
      <c r="G47" s="28" t="s">
        <v>13</v>
      </c>
      <c r="H47" s="28" t="s">
        <v>99</v>
      </c>
      <c r="I47" s="28" t="s">
        <v>670</v>
      </c>
      <c r="J47" s="27" t="s">
        <v>281</v>
      </c>
      <c r="K47" s="27" t="s">
        <v>406</v>
      </c>
    </row>
    <row r="48" spans="1:11" ht="13.8" thickBot="1" x14ac:dyDescent="0.25">
      <c r="A48" s="27" t="s">
        <v>554</v>
      </c>
      <c r="B48" s="27" t="s">
        <v>396</v>
      </c>
      <c r="C48" s="27" t="s">
        <v>21</v>
      </c>
      <c r="D48" s="28" t="s">
        <v>90</v>
      </c>
      <c r="E48" s="28" t="s">
        <v>1135</v>
      </c>
      <c r="F48" s="28" t="s">
        <v>91</v>
      </c>
      <c r="G48" s="28" t="s">
        <v>13</v>
      </c>
      <c r="H48" s="28" t="s">
        <v>92</v>
      </c>
      <c r="I48" s="28" t="s">
        <v>1136</v>
      </c>
      <c r="J48" s="27" t="s">
        <v>323</v>
      </c>
      <c r="K48" s="27" t="s">
        <v>406</v>
      </c>
    </row>
    <row r="49" spans="1:11" ht="13.8" thickBot="1" x14ac:dyDescent="0.25">
      <c r="A49" s="27" t="s">
        <v>528</v>
      </c>
      <c r="B49" s="27" t="s">
        <v>396</v>
      </c>
      <c r="C49" s="27" t="s">
        <v>22</v>
      </c>
      <c r="D49" s="28" t="s">
        <v>120</v>
      </c>
      <c r="E49" s="28" t="s">
        <v>968</v>
      </c>
      <c r="F49" s="28" t="s">
        <v>107</v>
      </c>
      <c r="G49" s="28" t="s">
        <v>73</v>
      </c>
      <c r="H49" s="28" t="s">
        <v>121</v>
      </c>
      <c r="I49" s="28" t="s">
        <v>969</v>
      </c>
      <c r="J49" s="27" t="s">
        <v>323</v>
      </c>
      <c r="K49" s="27" t="s">
        <v>410</v>
      </c>
    </row>
    <row r="50" spans="1:11" ht="13.8" thickBot="1" x14ac:dyDescent="0.25">
      <c r="A50" s="27" t="s">
        <v>530</v>
      </c>
      <c r="B50" s="27" t="s">
        <v>396</v>
      </c>
      <c r="C50" s="27" t="s">
        <v>23</v>
      </c>
      <c r="D50" s="28" t="s">
        <v>120</v>
      </c>
      <c r="E50" s="28" t="s">
        <v>140</v>
      </c>
      <c r="F50" s="28" t="s">
        <v>107</v>
      </c>
      <c r="G50" s="28" t="s">
        <v>73</v>
      </c>
      <c r="H50" s="28" t="s">
        <v>121</v>
      </c>
      <c r="I50" s="28" t="s">
        <v>671</v>
      </c>
      <c r="J50" s="27" t="s">
        <v>323</v>
      </c>
      <c r="K50" s="27" t="s">
        <v>410</v>
      </c>
    </row>
    <row r="51" spans="1:11" ht="13.8" thickBot="1" x14ac:dyDescent="0.25">
      <c r="A51" s="27" t="s">
        <v>559</v>
      </c>
      <c r="B51" s="27" t="s">
        <v>396</v>
      </c>
      <c r="C51" s="27" t="s">
        <v>24</v>
      </c>
      <c r="D51" s="28" t="s">
        <v>81</v>
      </c>
      <c r="E51" s="28" t="s">
        <v>33</v>
      </c>
      <c r="F51" s="28" t="s">
        <v>82</v>
      </c>
      <c r="G51" s="28" t="s">
        <v>13</v>
      </c>
      <c r="H51" s="28" t="s">
        <v>100</v>
      </c>
      <c r="I51" s="28"/>
      <c r="J51" s="27" t="s">
        <v>296</v>
      </c>
      <c r="K51" s="27" t="s">
        <v>419</v>
      </c>
    </row>
    <row r="52" spans="1:11" ht="13.8" thickBot="1" x14ac:dyDescent="0.25">
      <c r="A52" s="27" t="s">
        <v>533</v>
      </c>
      <c r="B52" s="27" t="s">
        <v>396</v>
      </c>
      <c r="C52" s="27" t="s">
        <v>25</v>
      </c>
      <c r="D52" s="28" t="s">
        <v>101</v>
      </c>
      <c r="E52" s="28" t="s">
        <v>673</v>
      </c>
      <c r="F52" s="28" t="s">
        <v>102</v>
      </c>
      <c r="G52" s="28" t="s">
        <v>37</v>
      </c>
      <c r="H52" s="28" t="s">
        <v>118</v>
      </c>
      <c r="I52" s="28" t="s">
        <v>674</v>
      </c>
      <c r="J52" s="27" t="s">
        <v>296</v>
      </c>
      <c r="K52" s="27" t="s">
        <v>411</v>
      </c>
    </row>
    <row r="53" spans="1:11" ht="13.8" thickBot="1" x14ac:dyDescent="0.25">
      <c r="A53" s="27" t="s">
        <v>534</v>
      </c>
      <c r="B53" s="27" t="s">
        <v>396</v>
      </c>
      <c r="C53" s="27" t="s">
        <v>26</v>
      </c>
      <c r="D53" s="28" t="s">
        <v>112</v>
      </c>
      <c r="E53" s="28" t="s">
        <v>140</v>
      </c>
      <c r="F53" s="28" t="s">
        <v>113</v>
      </c>
      <c r="G53" s="28" t="s">
        <v>73</v>
      </c>
      <c r="H53" s="28" t="s">
        <v>114</v>
      </c>
      <c r="I53" s="28" t="s">
        <v>970</v>
      </c>
      <c r="J53" s="27" t="s">
        <v>296</v>
      </c>
      <c r="K53" s="27" t="s">
        <v>402</v>
      </c>
    </row>
    <row r="54" spans="1:11" ht="13.8" thickBot="1" x14ac:dyDescent="0.25">
      <c r="A54" s="27" t="s">
        <v>430</v>
      </c>
      <c r="B54" s="27" t="s">
        <v>396</v>
      </c>
      <c r="C54" s="27" t="s">
        <v>27</v>
      </c>
      <c r="D54" s="28" t="s">
        <v>103</v>
      </c>
      <c r="E54" s="28" t="s">
        <v>223</v>
      </c>
      <c r="F54" s="28" t="s">
        <v>104</v>
      </c>
      <c r="G54" s="28" t="s">
        <v>37</v>
      </c>
      <c r="H54" s="28" t="s">
        <v>119</v>
      </c>
      <c r="I54" s="28" t="s">
        <v>431</v>
      </c>
      <c r="J54" s="27" t="s">
        <v>289</v>
      </c>
      <c r="K54" s="27" t="s">
        <v>411</v>
      </c>
    </row>
    <row r="55" spans="1:11" ht="13.8" thickBot="1" x14ac:dyDescent="0.25">
      <c r="A55" s="27" t="s">
        <v>537</v>
      </c>
      <c r="B55" s="27" t="s">
        <v>396</v>
      </c>
      <c r="C55" s="27" t="s">
        <v>28</v>
      </c>
      <c r="D55" s="28" t="s">
        <v>122</v>
      </c>
      <c r="E55" s="28" t="s">
        <v>140</v>
      </c>
      <c r="F55" s="28" t="s">
        <v>105</v>
      </c>
      <c r="G55" s="28" t="s">
        <v>13</v>
      </c>
      <c r="H55" s="28" t="s">
        <v>123</v>
      </c>
      <c r="I55" s="28" t="s">
        <v>677</v>
      </c>
      <c r="J55" s="27" t="s">
        <v>289</v>
      </c>
      <c r="K55" s="27" t="s">
        <v>412</v>
      </c>
    </row>
    <row r="56" spans="1:11" ht="13.8" thickBot="1" x14ac:dyDescent="0.25">
      <c r="A56" s="27" t="s">
        <v>535</v>
      </c>
      <c r="B56" s="27" t="s">
        <v>396</v>
      </c>
      <c r="C56" s="27" t="s">
        <v>29</v>
      </c>
      <c r="D56" s="28" t="s">
        <v>132</v>
      </c>
      <c r="E56" s="28" t="s">
        <v>675</v>
      </c>
      <c r="F56" s="28" t="s">
        <v>106</v>
      </c>
      <c r="G56" s="28" t="s">
        <v>73</v>
      </c>
      <c r="H56" s="28" t="s">
        <v>133</v>
      </c>
      <c r="I56" s="28" t="s">
        <v>676</v>
      </c>
      <c r="J56" s="27" t="s">
        <v>289</v>
      </c>
      <c r="K56" s="27" t="s">
        <v>402</v>
      </c>
    </row>
    <row r="57" spans="1:11" ht="13.8" thickBot="1" x14ac:dyDescent="0.25">
      <c r="A57" s="27" t="s">
        <v>565</v>
      </c>
      <c r="B57" s="27" t="s">
        <v>396</v>
      </c>
      <c r="C57" s="27" t="s">
        <v>31</v>
      </c>
      <c r="D57" s="28" t="s">
        <v>103</v>
      </c>
      <c r="E57" s="28" t="s">
        <v>695</v>
      </c>
      <c r="F57" s="28" t="s">
        <v>104</v>
      </c>
      <c r="G57" s="28" t="s">
        <v>37</v>
      </c>
      <c r="H57" s="28" t="s">
        <v>119</v>
      </c>
      <c r="I57" s="28" t="s">
        <v>696</v>
      </c>
      <c r="J57" s="27" t="s">
        <v>294</v>
      </c>
      <c r="K57" s="27" t="s">
        <v>402</v>
      </c>
    </row>
    <row r="58" spans="1:11" ht="13.8" thickBot="1" x14ac:dyDescent="0.25">
      <c r="A58" s="27" t="s">
        <v>536</v>
      </c>
      <c r="B58" s="27" t="s">
        <v>396</v>
      </c>
      <c r="C58" s="27" t="s">
        <v>32</v>
      </c>
      <c r="D58" s="28" t="s">
        <v>95</v>
      </c>
      <c r="E58" s="28" t="s">
        <v>971</v>
      </c>
      <c r="F58" s="28" t="s">
        <v>96</v>
      </c>
      <c r="G58" s="28" t="s">
        <v>37</v>
      </c>
      <c r="H58" s="28" t="s">
        <v>97</v>
      </c>
      <c r="I58" s="28" t="s">
        <v>972</v>
      </c>
      <c r="J58" s="27" t="s">
        <v>300</v>
      </c>
      <c r="K58" s="27" t="s">
        <v>419</v>
      </c>
    </row>
    <row r="59" spans="1:11" ht="13.8" thickBot="1" x14ac:dyDescent="0.25">
      <c r="A59" s="27" t="s">
        <v>539</v>
      </c>
      <c r="B59" s="27" t="s">
        <v>396</v>
      </c>
      <c r="C59" s="27" t="s">
        <v>34</v>
      </c>
      <c r="D59" s="28" t="s">
        <v>101</v>
      </c>
      <c r="E59" s="28" t="s">
        <v>673</v>
      </c>
      <c r="F59" s="28" t="s">
        <v>102</v>
      </c>
      <c r="G59" s="28" t="s">
        <v>37</v>
      </c>
      <c r="H59" s="28" t="s">
        <v>118</v>
      </c>
      <c r="I59" s="28" t="s">
        <v>679</v>
      </c>
      <c r="J59" s="27" t="s">
        <v>300</v>
      </c>
      <c r="K59" s="27" t="s">
        <v>406</v>
      </c>
    </row>
    <row r="60" spans="1:11" ht="13.8" thickBot="1" x14ac:dyDescent="0.25">
      <c r="A60" s="27" t="s">
        <v>540</v>
      </c>
      <c r="B60" s="27" t="s">
        <v>396</v>
      </c>
      <c r="C60" s="27" t="s">
        <v>35</v>
      </c>
      <c r="D60" s="28" t="s">
        <v>187</v>
      </c>
      <c r="E60" s="28" t="s">
        <v>680</v>
      </c>
      <c r="F60" s="28" t="s">
        <v>188</v>
      </c>
      <c r="G60" s="28" t="s">
        <v>13</v>
      </c>
      <c r="H60" s="28" t="s">
        <v>189</v>
      </c>
      <c r="I60" s="28" t="s">
        <v>681</v>
      </c>
      <c r="J60" s="27" t="s">
        <v>300</v>
      </c>
      <c r="K60" s="27" t="s">
        <v>548</v>
      </c>
    </row>
    <row r="61" spans="1:11" ht="13.8" thickBot="1" x14ac:dyDescent="0.25">
      <c r="A61" s="27" t="s">
        <v>490</v>
      </c>
      <c r="B61" s="27" t="s">
        <v>396</v>
      </c>
      <c r="C61" s="27" t="s">
        <v>36</v>
      </c>
      <c r="D61" s="28" t="s">
        <v>81</v>
      </c>
      <c r="E61" s="28" t="s">
        <v>541</v>
      </c>
      <c r="F61" s="28" t="s">
        <v>82</v>
      </c>
      <c r="G61" s="28" t="s">
        <v>13</v>
      </c>
      <c r="H61" s="28" t="s">
        <v>100</v>
      </c>
      <c r="I61" s="28" t="s">
        <v>542</v>
      </c>
      <c r="J61" s="27" t="s">
        <v>298</v>
      </c>
      <c r="K61" s="27" t="s">
        <v>429</v>
      </c>
    </row>
    <row r="62" spans="1:11" ht="13.8" thickBot="1" x14ac:dyDescent="0.25">
      <c r="A62" s="27" t="s">
        <v>544</v>
      </c>
      <c r="B62" s="27" t="s">
        <v>396</v>
      </c>
      <c r="C62" s="27" t="s">
        <v>38</v>
      </c>
      <c r="D62" s="28" t="s">
        <v>98</v>
      </c>
      <c r="E62" s="28" t="s">
        <v>12</v>
      </c>
      <c r="F62" s="28" t="s">
        <v>94</v>
      </c>
      <c r="G62" s="28" t="s">
        <v>13</v>
      </c>
      <c r="H62" s="28" t="s">
        <v>99</v>
      </c>
      <c r="I62" s="28" t="s">
        <v>682</v>
      </c>
      <c r="J62" s="27" t="s">
        <v>298</v>
      </c>
      <c r="K62" s="27" t="s">
        <v>429</v>
      </c>
    </row>
    <row r="63" spans="1:11" ht="13.8" thickBot="1" x14ac:dyDescent="0.25">
      <c r="A63" s="27" t="s">
        <v>572</v>
      </c>
      <c r="B63" s="27" t="s">
        <v>396</v>
      </c>
      <c r="C63" s="27" t="s">
        <v>39</v>
      </c>
      <c r="D63" s="28" t="s">
        <v>101</v>
      </c>
      <c r="E63" s="28" t="s">
        <v>1137</v>
      </c>
      <c r="F63" s="28" t="s">
        <v>102</v>
      </c>
      <c r="G63" s="28" t="s">
        <v>37</v>
      </c>
      <c r="H63" s="28" t="s">
        <v>118</v>
      </c>
      <c r="I63" s="28" t="s">
        <v>698</v>
      </c>
      <c r="J63" s="27" t="s">
        <v>298</v>
      </c>
      <c r="K63" s="27" t="s">
        <v>419</v>
      </c>
    </row>
    <row r="64" spans="1:11" ht="13.8" thickBot="1" x14ac:dyDescent="0.25">
      <c r="A64" s="27" t="s">
        <v>154</v>
      </c>
      <c r="B64" s="27" t="s">
        <v>396</v>
      </c>
      <c r="C64" s="27" t="s">
        <v>40</v>
      </c>
      <c r="D64" s="28" t="s">
        <v>155</v>
      </c>
      <c r="E64" s="28" t="s">
        <v>156</v>
      </c>
      <c r="F64" s="28" t="s">
        <v>157</v>
      </c>
      <c r="G64" s="28" t="s">
        <v>13</v>
      </c>
      <c r="H64" s="28" t="s">
        <v>158</v>
      </c>
      <c r="I64" s="28" t="s">
        <v>147</v>
      </c>
      <c r="J64" s="27" t="s">
        <v>400</v>
      </c>
      <c r="K64" s="27" t="s">
        <v>419</v>
      </c>
    </row>
    <row r="65" spans="1:11" ht="13.8" thickBot="1" x14ac:dyDescent="0.25">
      <c r="A65" s="27" t="s">
        <v>547</v>
      </c>
      <c r="B65" s="27" t="s">
        <v>396</v>
      </c>
      <c r="C65" s="27" t="s">
        <v>41</v>
      </c>
      <c r="D65" s="28" t="s">
        <v>81</v>
      </c>
      <c r="E65" s="28" t="s">
        <v>33</v>
      </c>
      <c r="F65" s="28" t="s">
        <v>82</v>
      </c>
      <c r="G65" s="28" t="s">
        <v>13</v>
      </c>
      <c r="H65" s="28" t="s">
        <v>100</v>
      </c>
      <c r="I65" s="28"/>
      <c r="J65" s="27" t="s">
        <v>400</v>
      </c>
      <c r="K65" s="27" t="s">
        <v>543</v>
      </c>
    </row>
    <row r="66" spans="1:11" ht="13.8" thickBot="1" x14ac:dyDescent="0.25">
      <c r="A66" s="27" t="s">
        <v>549</v>
      </c>
      <c r="B66" s="27" t="s">
        <v>396</v>
      </c>
      <c r="C66" s="27" t="s">
        <v>65</v>
      </c>
      <c r="D66" s="28" t="s">
        <v>101</v>
      </c>
      <c r="E66" s="28" t="s">
        <v>684</v>
      </c>
      <c r="F66" s="28" t="s">
        <v>102</v>
      </c>
      <c r="G66" s="28" t="s">
        <v>37</v>
      </c>
      <c r="H66" s="28" t="s">
        <v>118</v>
      </c>
      <c r="I66" s="28" t="s">
        <v>685</v>
      </c>
      <c r="J66" s="27" t="s">
        <v>400</v>
      </c>
      <c r="K66" s="27" t="s">
        <v>428</v>
      </c>
    </row>
    <row r="67" spans="1:11" ht="13.8" thickBot="1" x14ac:dyDescent="0.25">
      <c r="A67" s="27" t="s">
        <v>545</v>
      </c>
      <c r="B67" s="27" t="s">
        <v>396</v>
      </c>
      <c r="C67" s="27" t="s">
        <v>66</v>
      </c>
      <c r="D67" s="28" t="s">
        <v>122</v>
      </c>
      <c r="E67" s="28" t="s">
        <v>12</v>
      </c>
      <c r="F67" s="28" t="s">
        <v>105</v>
      </c>
      <c r="G67" s="28" t="s">
        <v>13</v>
      </c>
      <c r="H67" s="28" t="s">
        <v>123</v>
      </c>
      <c r="I67" s="28" t="s">
        <v>683</v>
      </c>
      <c r="J67" s="27" t="s">
        <v>400</v>
      </c>
      <c r="K67" s="27" t="s">
        <v>543</v>
      </c>
    </row>
    <row r="68" spans="1:11" ht="13.8" thickBot="1" x14ac:dyDescent="0.25">
      <c r="A68" s="27" t="s">
        <v>427</v>
      </c>
      <c r="B68" s="27" t="s">
        <v>396</v>
      </c>
      <c r="C68" s="27" t="s">
        <v>67</v>
      </c>
      <c r="D68" s="28" t="s">
        <v>122</v>
      </c>
      <c r="E68" s="28" t="s">
        <v>414</v>
      </c>
      <c r="F68" s="28" t="s">
        <v>105</v>
      </c>
      <c r="G68" s="28" t="s">
        <v>13</v>
      </c>
      <c r="H68" s="28" t="s">
        <v>123</v>
      </c>
      <c r="I68" s="28" t="s">
        <v>923</v>
      </c>
      <c r="J68" s="27" t="s">
        <v>408</v>
      </c>
      <c r="K68" s="27" t="s">
        <v>548</v>
      </c>
    </row>
    <row r="69" spans="1:11" ht="13.8" thickBot="1" x14ac:dyDescent="0.25">
      <c r="A69" s="27" t="s">
        <v>552</v>
      </c>
      <c r="B69" s="27" t="s">
        <v>396</v>
      </c>
      <c r="C69" s="27" t="s">
        <v>68</v>
      </c>
      <c r="D69" s="28" t="s">
        <v>120</v>
      </c>
      <c r="E69" s="28" t="s">
        <v>12</v>
      </c>
      <c r="F69" s="28" t="s">
        <v>107</v>
      </c>
      <c r="G69" s="28" t="s">
        <v>73</v>
      </c>
      <c r="H69" s="28" t="s">
        <v>121</v>
      </c>
      <c r="I69" s="28" t="s">
        <v>687</v>
      </c>
      <c r="J69" s="27" t="s">
        <v>408</v>
      </c>
      <c r="K69" s="27" t="s">
        <v>512</v>
      </c>
    </row>
    <row r="70" spans="1:11" ht="13.8" thickBot="1" x14ac:dyDescent="0.25">
      <c r="A70" s="27" t="s">
        <v>553</v>
      </c>
      <c r="B70" s="27" t="s">
        <v>396</v>
      </c>
      <c r="C70" s="27" t="s">
        <v>69</v>
      </c>
      <c r="D70" s="28" t="s">
        <v>122</v>
      </c>
      <c r="E70" s="28" t="s">
        <v>78</v>
      </c>
      <c r="F70" s="28" t="s">
        <v>105</v>
      </c>
      <c r="G70" s="28" t="s">
        <v>13</v>
      </c>
      <c r="H70" s="28" t="s">
        <v>123</v>
      </c>
      <c r="I70" s="28" t="s">
        <v>688</v>
      </c>
      <c r="J70" s="27" t="s">
        <v>408</v>
      </c>
      <c r="K70" s="27" t="s">
        <v>548</v>
      </c>
    </row>
    <row r="71" spans="1:11" ht="13.8" thickBot="1" x14ac:dyDescent="0.25">
      <c r="A71" s="27" t="s">
        <v>555</v>
      </c>
      <c r="B71" s="27" t="s">
        <v>396</v>
      </c>
      <c r="C71" s="27" t="s">
        <v>70</v>
      </c>
      <c r="D71" s="28" t="s">
        <v>101</v>
      </c>
      <c r="E71" s="28" t="s">
        <v>673</v>
      </c>
      <c r="F71" s="28" t="s">
        <v>102</v>
      </c>
      <c r="G71" s="28" t="s">
        <v>37</v>
      </c>
      <c r="H71" s="28" t="s">
        <v>118</v>
      </c>
      <c r="I71" s="28" t="s">
        <v>689</v>
      </c>
      <c r="J71" s="27" t="s">
        <v>410</v>
      </c>
      <c r="K71" s="27" t="s">
        <v>512</v>
      </c>
    </row>
    <row r="72" spans="1:11" ht="13.8" thickBot="1" x14ac:dyDescent="0.25">
      <c r="A72" s="27" t="s">
        <v>531</v>
      </c>
      <c r="B72" s="27" t="s">
        <v>396</v>
      </c>
      <c r="C72" s="27" t="s">
        <v>71</v>
      </c>
      <c r="D72" s="28" t="s">
        <v>98</v>
      </c>
      <c r="E72" s="28" t="s">
        <v>12</v>
      </c>
      <c r="F72" s="28" t="s">
        <v>94</v>
      </c>
      <c r="G72" s="28" t="s">
        <v>13</v>
      </c>
      <c r="H72" s="28" t="s">
        <v>99</v>
      </c>
      <c r="I72" s="28" t="s">
        <v>672</v>
      </c>
      <c r="J72" s="27" t="s">
        <v>410</v>
      </c>
      <c r="K72" s="27" t="s">
        <v>505</v>
      </c>
    </row>
    <row r="73" spans="1:11" ht="13.8" thickBot="1" x14ac:dyDescent="0.25">
      <c r="A73" s="27" t="s">
        <v>570</v>
      </c>
      <c r="B73" s="27" t="s">
        <v>396</v>
      </c>
      <c r="C73" s="27" t="s">
        <v>72</v>
      </c>
      <c r="D73" s="28" t="s">
        <v>101</v>
      </c>
      <c r="E73" s="28" t="s">
        <v>33</v>
      </c>
      <c r="F73" s="28" t="s">
        <v>102</v>
      </c>
      <c r="G73" s="28" t="s">
        <v>37</v>
      </c>
      <c r="H73" s="28" t="s">
        <v>118</v>
      </c>
      <c r="I73" s="28"/>
      <c r="J73" s="27" t="s">
        <v>410</v>
      </c>
      <c r="K73" s="27" t="s">
        <v>512</v>
      </c>
    </row>
    <row r="74" spans="1:11" ht="13.8" thickBot="1" x14ac:dyDescent="0.25">
      <c r="A74" s="27" t="s">
        <v>556</v>
      </c>
      <c r="B74" s="27" t="s">
        <v>396</v>
      </c>
      <c r="C74" s="27" t="s">
        <v>74</v>
      </c>
      <c r="D74" s="28" t="s">
        <v>90</v>
      </c>
      <c r="E74" s="28" t="s">
        <v>33</v>
      </c>
      <c r="F74" s="28" t="s">
        <v>91</v>
      </c>
      <c r="G74" s="28" t="s">
        <v>13</v>
      </c>
      <c r="H74" s="28" t="s">
        <v>92</v>
      </c>
      <c r="I74" s="28"/>
      <c r="J74" s="27" t="s">
        <v>411</v>
      </c>
      <c r="K74" s="27" t="s">
        <v>505</v>
      </c>
    </row>
    <row r="75" spans="1:11" ht="13.8" thickBot="1" x14ac:dyDescent="0.25">
      <c r="A75" s="27" t="s">
        <v>538</v>
      </c>
      <c r="B75" s="27" t="s">
        <v>396</v>
      </c>
      <c r="C75" s="27" t="s">
        <v>75</v>
      </c>
      <c r="D75" s="28" t="s">
        <v>101</v>
      </c>
      <c r="E75" s="28" t="s">
        <v>673</v>
      </c>
      <c r="F75" s="28" t="s">
        <v>102</v>
      </c>
      <c r="G75" s="28" t="s">
        <v>37</v>
      </c>
      <c r="H75" s="28" t="s">
        <v>118</v>
      </c>
      <c r="I75" s="28" t="s">
        <v>678</v>
      </c>
      <c r="J75" s="27" t="s">
        <v>411</v>
      </c>
      <c r="K75" s="27" t="s">
        <v>543</v>
      </c>
    </row>
    <row r="76" spans="1:11" ht="13.8" thickBot="1" x14ac:dyDescent="0.25">
      <c r="A76" s="27" t="s">
        <v>558</v>
      </c>
      <c r="B76" s="27" t="s">
        <v>396</v>
      </c>
      <c r="C76" s="27" t="s">
        <v>76</v>
      </c>
      <c r="D76" s="28" t="s">
        <v>132</v>
      </c>
      <c r="E76" s="28" t="s">
        <v>12</v>
      </c>
      <c r="F76" s="28" t="s">
        <v>106</v>
      </c>
      <c r="G76" s="28" t="s">
        <v>73</v>
      </c>
      <c r="H76" s="28" t="s">
        <v>133</v>
      </c>
      <c r="I76" s="28" t="s">
        <v>691</v>
      </c>
      <c r="J76" s="27" t="s">
        <v>411</v>
      </c>
      <c r="K76" s="27" t="s">
        <v>546</v>
      </c>
    </row>
    <row r="77" spans="1:11" ht="13.8" thickBot="1" x14ac:dyDescent="0.25">
      <c r="A77" s="27" t="s">
        <v>532</v>
      </c>
      <c r="B77" s="27" t="s">
        <v>396</v>
      </c>
      <c r="C77" s="27" t="s">
        <v>77</v>
      </c>
      <c r="D77" s="28" t="s">
        <v>81</v>
      </c>
      <c r="E77" s="28" t="s">
        <v>1138</v>
      </c>
      <c r="F77" s="28" t="s">
        <v>82</v>
      </c>
      <c r="G77" s="28" t="s">
        <v>13</v>
      </c>
      <c r="H77" s="28" t="s">
        <v>100</v>
      </c>
      <c r="I77" s="28" t="s">
        <v>1139</v>
      </c>
      <c r="J77" s="27" t="s">
        <v>402</v>
      </c>
      <c r="K77" s="27" t="s">
        <v>508</v>
      </c>
    </row>
    <row r="78" spans="1:11" ht="13.8" thickBot="1" x14ac:dyDescent="0.25">
      <c r="A78" s="27" t="s">
        <v>560</v>
      </c>
      <c r="B78" s="27" t="s">
        <v>396</v>
      </c>
      <c r="C78" s="27" t="s">
        <v>185</v>
      </c>
      <c r="D78" s="28" t="s">
        <v>103</v>
      </c>
      <c r="E78" s="28" t="s">
        <v>33</v>
      </c>
      <c r="F78" s="28" t="s">
        <v>104</v>
      </c>
      <c r="G78" s="28" t="s">
        <v>37</v>
      </c>
      <c r="H78" s="28" t="s">
        <v>119</v>
      </c>
      <c r="I78" s="28"/>
      <c r="J78" s="27" t="s">
        <v>402</v>
      </c>
      <c r="K78" s="27" t="s">
        <v>546</v>
      </c>
    </row>
    <row r="79" spans="1:11" ht="13.8" thickBot="1" x14ac:dyDescent="0.25">
      <c r="A79" s="27" t="s">
        <v>561</v>
      </c>
      <c r="B79" s="27" t="s">
        <v>396</v>
      </c>
      <c r="C79" s="27" t="s">
        <v>186</v>
      </c>
      <c r="D79" s="28" t="s">
        <v>112</v>
      </c>
      <c r="E79" s="28" t="s">
        <v>12</v>
      </c>
      <c r="F79" s="28" t="s">
        <v>113</v>
      </c>
      <c r="G79" s="28" t="s">
        <v>73</v>
      </c>
      <c r="H79" s="28" t="s">
        <v>114</v>
      </c>
      <c r="I79" s="28" t="s">
        <v>973</v>
      </c>
      <c r="J79" s="27" t="s">
        <v>402</v>
      </c>
      <c r="K79" s="27" t="s">
        <v>505</v>
      </c>
    </row>
    <row r="80" spans="1:11" ht="13.8" thickBot="1" x14ac:dyDescent="0.25">
      <c r="A80" s="27" t="s">
        <v>525</v>
      </c>
      <c r="B80" s="27" t="s">
        <v>396</v>
      </c>
      <c r="C80" s="27" t="s">
        <v>199</v>
      </c>
      <c r="D80" s="28" t="s">
        <v>132</v>
      </c>
      <c r="E80" s="28" t="s">
        <v>78</v>
      </c>
      <c r="F80" s="28" t="s">
        <v>106</v>
      </c>
      <c r="G80" s="28" t="s">
        <v>73</v>
      </c>
      <c r="H80" s="28" t="s">
        <v>133</v>
      </c>
      <c r="I80" s="28" t="s">
        <v>974</v>
      </c>
      <c r="J80" s="27" t="s">
        <v>406</v>
      </c>
      <c r="K80" s="27" t="s">
        <v>505</v>
      </c>
    </row>
    <row r="81" spans="1:11" ht="13.8" thickBot="1" x14ac:dyDescent="0.25">
      <c r="A81" s="27" t="s">
        <v>563</v>
      </c>
      <c r="B81" s="27" t="s">
        <v>396</v>
      </c>
      <c r="C81" s="27" t="s">
        <v>251</v>
      </c>
      <c r="D81" s="28" t="s">
        <v>122</v>
      </c>
      <c r="E81" s="28" t="s">
        <v>195</v>
      </c>
      <c r="F81" s="28" t="s">
        <v>105</v>
      </c>
      <c r="G81" s="28" t="s">
        <v>13</v>
      </c>
      <c r="H81" s="28" t="s">
        <v>123</v>
      </c>
      <c r="I81" s="28" t="s">
        <v>694</v>
      </c>
      <c r="J81" s="27" t="s">
        <v>406</v>
      </c>
      <c r="K81" s="27" t="s">
        <v>513</v>
      </c>
    </row>
    <row r="82" spans="1:11" ht="13.8" thickBot="1" x14ac:dyDescent="0.25">
      <c r="A82" s="27" t="s">
        <v>564</v>
      </c>
      <c r="B82" s="27" t="s">
        <v>396</v>
      </c>
      <c r="C82" s="27" t="s">
        <v>252</v>
      </c>
      <c r="D82" s="28" t="s">
        <v>132</v>
      </c>
      <c r="E82" s="28" t="s">
        <v>140</v>
      </c>
      <c r="F82" s="28" t="s">
        <v>106</v>
      </c>
      <c r="G82" s="28" t="s">
        <v>73</v>
      </c>
      <c r="H82" s="28" t="s">
        <v>133</v>
      </c>
      <c r="I82" s="28" t="s">
        <v>975</v>
      </c>
      <c r="J82" s="27" t="s">
        <v>406</v>
      </c>
      <c r="K82" s="27" t="s">
        <v>505</v>
      </c>
    </row>
    <row r="83" spans="1:11" ht="13.8" thickBot="1" x14ac:dyDescent="0.25">
      <c r="A83" s="27" t="s">
        <v>492</v>
      </c>
      <c r="B83" s="27" t="s">
        <v>396</v>
      </c>
      <c r="C83" s="27" t="s">
        <v>253</v>
      </c>
      <c r="D83" s="28" t="s">
        <v>103</v>
      </c>
      <c r="E83" s="28" t="s">
        <v>493</v>
      </c>
      <c r="F83" s="28" t="s">
        <v>104</v>
      </c>
      <c r="G83" s="28" t="s">
        <v>37</v>
      </c>
      <c r="H83" s="28" t="s">
        <v>119</v>
      </c>
      <c r="I83" s="28" t="s">
        <v>494</v>
      </c>
      <c r="J83" s="27" t="s">
        <v>412</v>
      </c>
      <c r="K83" s="27" t="s">
        <v>451</v>
      </c>
    </row>
    <row r="84" spans="1:11" ht="13.8" thickBot="1" x14ac:dyDescent="0.25">
      <c r="A84" s="27" t="s">
        <v>567</v>
      </c>
      <c r="B84" s="27" t="s">
        <v>396</v>
      </c>
      <c r="C84" s="27" t="s">
        <v>569</v>
      </c>
      <c r="D84" s="28" t="s">
        <v>120</v>
      </c>
      <c r="E84" s="28" t="s">
        <v>195</v>
      </c>
      <c r="F84" s="28" t="s">
        <v>107</v>
      </c>
      <c r="G84" s="28" t="s">
        <v>73</v>
      </c>
      <c r="H84" s="28" t="s">
        <v>121</v>
      </c>
      <c r="I84" s="28" t="s">
        <v>924</v>
      </c>
      <c r="J84" s="27" t="s">
        <v>412</v>
      </c>
      <c r="K84" s="27" t="s">
        <v>508</v>
      </c>
    </row>
    <row r="85" spans="1:11" ht="13.8" thickBot="1" x14ac:dyDescent="0.25">
      <c r="A85" s="27" t="s">
        <v>551</v>
      </c>
      <c r="B85" s="27" t="s">
        <v>396</v>
      </c>
      <c r="C85" s="27" t="s">
        <v>571</v>
      </c>
      <c r="D85" s="28" t="s">
        <v>120</v>
      </c>
      <c r="E85" s="28" t="s">
        <v>12</v>
      </c>
      <c r="F85" s="28" t="s">
        <v>107</v>
      </c>
      <c r="G85" s="28" t="s">
        <v>73</v>
      </c>
      <c r="H85" s="28" t="s">
        <v>121</v>
      </c>
      <c r="I85" s="28" t="s">
        <v>686</v>
      </c>
      <c r="J85" s="27" t="s">
        <v>418</v>
      </c>
      <c r="K85" s="27" t="s">
        <v>510</v>
      </c>
    </row>
    <row r="86" spans="1:11" ht="13.8" thickBot="1" x14ac:dyDescent="0.25">
      <c r="A86" s="27" t="s">
        <v>557</v>
      </c>
      <c r="B86" s="27" t="s">
        <v>396</v>
      </c>
      <c r="C86" s="27" t="s">
        <v>573</v>
      </c>
      <c r="D86" s="28" t="s">
        <v>112</v>
      </c>
      <c r="E86" s="28" t="s">
        <v>12</v>
      </c>
      <c r="F86" s="28" t="s">
        <v>113</v>
      </c>
      <c r="G86" s="28" t="s">
        <v>73</v>
      </c>
      <c r="H86" s="28" t="s">
        <v>114</v>
      </c>
      <c r="I86" s="28" t="s">
        <v>690</v>
      </c>
      <c r="J86" s="27" t="s">
        <v>418</v>
      </c>
      <c r="K86" s="27" t="s">
        <v>513</v>
      </c>
    </row>
    <row r="87" spans="1:11" ht="13.8" thickBot="1" x14ac:dyDescent="0.25">
      <c r="A87" s="27" t="s">
        <v>568</v>
      </c>
      <c r="B87" s="27" t="s">
        <v>396</v>
      </c>
      <c r="C87" s="27" t="s">
        <v>925</v>
      </c>
      <c r="D87" s="28" t="s">
        <v>132</v>
      </c>
      <c r="E87" s="28" t="s">
        <v>140</v>
      </c>
      <c r="F87" s="28" t="s">
        <v>106</v>
      </c>
      <c r="G87" s="28" t="s">
        <v>73</v>
      </c>
      <c r="H87" s="28" t="s">
        <v>133</v>
      </c>
      <c r="I87" s="28" t="s">
        <v>976</v>
      </c>
      <c r="J87" s="27" t="s">
        <v>418</v>
      </c>
      <c r="K87" s="27" t="s">
        <v>510</v>
      </c>
    </row>
    <row r="88" spans="1:11" ht="13.8" thickBot="1" x14ac:dyDescent="0.25">
      <c r="A88" s="27" t="s">
        <v>699</v>
      </c>
      <c r="B88" s="27" t="s">
        <v>574</v>
      </c>
      <c r="C88" s="27" t="s">
        <v>11</v>
      </c>
      <c r="D88" s="28" t="s">
        <v>98</v>
      </c>
      <c r="E88" s="28" t="s">
        <v>12</v>
      </c>
      <c r="F88" s="28" t="s">
        <v>94</v>
      </c>
      <c r="G88" s="28" t="s">
        <v>13</v>
      </c>
      <c r="H88" s="28" t="s">
        <v>99</v>
      </c>
      <c r="I88" s="28" t="s">
        <v>926</v>
      </c>
      <c r="J88" s="27" t="s">
        <v>419</v>
      </c>
      <c r="K88" s="27" t="s">
        <v>510</v>
      </c>
    </row>
    <row r="89" spans="1:11" ht="13.8" thickBot="1" x14ac:dyDescent="0.25">
      <c r="A89" s="27" t="s">
        <v>701</v>
      </c>
      <c r="B89" s="27" t="s">
        <v>574</v>
      </c>
      <c r="C89" s="27" t="s">
        <v>14</v>
      </c>
      <c r="D89" s="28" t="s">
        <v>98</v>
      </c>
      <c r="E89" s="28" t="s">
        <v>140</v>
      </c>
      <c r="F89" s="28" t="s">
        <v>94</v>
      </c>
      <c r="G89" s="28" t="s">
        <v>13</v>
      </c>
      <c r="H89" s="28" t="s">
        <v>99</v>
      </c>
      <c r="I89" s="28" t="s">
        <v>977</v>
      </c>
      <c r="J89" s="27" t="s">
        <v>412</v>
      </c>
      <c r="K89" s="27" t="s">
        <v>513</v>
      </c>
    </row>
    <row r="90" spans="1:11" ht="13.8" thickBot="1" x14ac:dyDescent="0.25">
      <c r="A90" s="27" t="s">
        <v>700</v>
      </c>
      <c r="B90" s="27" t="s">
        <v>574</v>
      </c>
      <c r="C90" s="27" t="s">
        <v>15</v>
      </c>
      <c r="D90" s="28" t="s">
        <v>187</v>
      </c>
      <c r="E90" s="28" t="s">
        <v>12</v>
      </c>
      <c r="F90" s="28" t="s">
        <v>188</v>
      </c>
      <c r="G90" s="28" t="s">
        <v>13</v>
      </c>
      <c r="H90" s="28" t="s">
        <v>189</v>
      </c>
      <c r="I90" s="28" t="s">
        <v>927</v>
      </c>
      <c r="J90" s="27" t="s">
        <v>429</v>
      </c>
      <c r="K90" s="27" t="s">
        <v>587</v>
      </c>
    </row>
    <row r="91" spans="1:11" ht="13.8" thickBot="1" x14ac:dyDescent="0.25">
      <c r="A91" s="27" t="s">
        <v>590</v>
      </c>
      <c r="B91" s="27" t="s">
        <v>574</v>
      </c>
      <c r="C91" s="27" t="s">
        <v>16</v>
      </c>
      <c r="D91" s="28" t="s">
        <v>120</v>
      </c>
      <c r="E91" s="28" t="s">
        <v>591</v>
      </c>
      <c r="F91" s="28" t="s">
        <v>107</v>
      </c>
      <c r="G91" s="28" t="s">
        <v>73</v>
      </c>
      <c r="H91" s="28" t="s">
        <v>592</v>
      </c>
      <c r="I91" s="28" t="s">
        <v>593</v>
      </c>
      <c r="J91" s="27" t="s">
        <v>429</v>
      </c>
      <c r="K91" s="27" t="s">
        <v>980</v>
      </c>
    </row>
    <row r="92" spans="1:11" ht="13.8" thickBot="1" x14ac:dyDescent="0.25">
      <c r="A92" s="27" t="s">
        <v>702</v>
      </c>
      <c r="B92" s="27" t="s">
        <v>574</v>
      </c>
      <c r="C92" s="27" t="s">
        <v>17</v>
      </c>
      <c r="D92" s="28" t="s">
        <v>122</v>
      </c>
      <c r="E92" s="28" t="s">
        <v>12</v>
      </c>
      <c r="F92" s="28" t="s">
        <v>105</v>
      </c>
      <c r="G92" s="28" t="s">
        <v>13</v>
      </c>
      <c r="H92" s="28" t="s">
        <v>123</v>
      </c>
      <c r="I92" s="28" t="s">
        <v>979</v>
      </c>
      <c r="J92" s="27" t="s">
        <v>429</v>
      </c>
      <c r="K92" s="27" t="s">
        <v>578</v>
      </c>
    </row>
    <row r="93" spans="1:11" ht="13.8" thickBot="1" x14ac:dyDescent="0.25">
      <c r="A93" s="27" t="s">
        <v>703</v>
      </c>
      <c r="B93" s="27" t="s">
        <v>574</v>
      </c>
      <c r="C93" s="27" t="s">
        <v>18</v>
      </c>
      <c r="D93" s="28" t="s">
        <v>81</v>
      </c>
      <c r="E93" s="28" t="s">
        <v>981</v>
      </c>
      <c r="F93" s="28" t="s">
        <v>82</v>
      </c>
      <c r="G93" s="28" t="s">
        <v>13</v>
      </c>
      <c r="H93" s="28" t="s">
        <v>100</v>
      </c>
      <c r="I93" s="28" t="s">
        <v>982</v>
      </c>
      <c r="J93" s="27" t="s">
        <v>512</v>
      </c>
      <c r="K93" s="27" t="s">
        <v>575</v>
      </c>
    </row>
    <row r="94" spans="1:11" ht="13.8" thickBot="1" x14ac:dyDescent="0.25">
      <c r="A94" s="27" t="s">
        <v>712</v>
      </c>
      <c r="B94" s="27" t="s">
        <v>574</v>
      </c>
      <c r="C94" s="27" t="s">
        <v>19</v>
      </c>
      <c r="D94" s="28" t="s">
        <v>103</v>
      </c>
      <c r="E94" s="28" t="s">
        <v>713</v>
      </c>
      <c r="F94" s="28" t="s">
        <v>104</v>
      </c>
      <c r="G94" s="28" t="s">
        <v>37</v>
      </c>
      <c r="H94" s="28" t="s">
        <v>119</v>
      </c>
      <c r="I94" s="28" t="s">
        <v>714</v>
      </c>
      <c r="J94" s="27" t="s">
        <v>512</v>
      </c>
      <c r="K94" s="27" t="s">
        <v>513</v>
      </c>
    </row>
    <row r="95" spans="1:11" ht="13.8" thickBot="1" x14ac:dyDescent="0.25">
      <c r="A95" s="27" t="s">
        <v>704</v>
      </c>
      <c r="B95" s="27" t="s">
        <v>574</v>
      </c>
      <c r="C95" s="27" t="s">
        <v>20</v>
      </c>
      <c r="D95" s="28" t="s">
        <v>120</v>
      </c>
      <c r="E95" s="28" t="s">
        <v>195</v>
      </c>
      <c r="F95" s="28" t="s">
        <v>107</v>
      </c>
      <c r="G95" s="28" t="s">
        <v>73</v>
      </c>
      <c r="H95" s="28" t="s">
        <v>121</v>
      </c>
      <c r="I95" s="28" t="s">
        <v>978</v>
      </c>
      <c r="J95" s="27" t="s">
        <v>512</v>
      </c>
      <c r="K95" s="27" t="s">
        <v>576</v>
      </c>
    </row>
    <row r="96" spans="1:11" ht="13.8" thickBot="1" x14ac:dyDescent="0.25">
      <c r="A96" s="27" t="s">
        <v>718</v>
      </c>
      <c r="B96" s="27" t="s">
        <v>574</v>
      </c>
      <c r="C96" s="27" t="s">
        <v>21</v>
      </c>
      <c r="D96" s="28" t="s">
        <v>101</v>
      </c>
      <c r="E96" s="28" t="s">
        <v>719</v>
      </c>
      <c r="F96" s="28" t="s">
        <v>102</v>
      </c>
      <c r="G96" s="28" t="s">
        <v>37</v>
      </c>
      <c r="H96" s="28" t="s">
        <v>118</v>
      </c>
      <c r="I96" s="28" t="s">
        <v>720</v>
      </c>
      <c r="J96" s="27" t="s">
        <v>543</v>
      </c>
      <c r="K96" s="27" t="s">
        <v>576</v>
      </c>
    </row>
    <row r="97" spans="1:11" ht="13.8" thickBot="1" x14ac:dyDescent="0.25">
      <c r="A97" s="27" t="s">
        <v>705</v>
      </c>
      <c r="B97" s="27" t="s">
        <v>574</v>
      </c>
      <c r="C97" s="27" t="s">
        <v>22</v>
      </c>
      <c r="D97" s="28" t="s">
        <v>120</v>
      </c>
      <c r="E97" s="28" t="s">
        <v>1140</v>
      </c>
      <c r="F97" s="28" t="s">
        <v>107</v>
      </c>
      <c r="G97" s="28" t="s">
        <v>73</v>
      </c>
      <c r="H97" s="28" t="s">
        <v>121</v>
      </c>
      <c r="I97" s="28" t="s">
        <v>1141</v>
      </c>
      <c r="J97" s="27" t="s">
        <v>543</v>
      </c>
      <c r="K97" s="27" t="s">
        <v>577</v>
      </c>
    </row>
    <row r="98" spans="1:11" ht="13.8" thickBot="1" x14ac:dyDescent="0.25">
      <c r="A98" s="27" t="s">
        <v>709</v>
      </c>
      <c r="B98" s="27" t="s">
        <v>574</v>
      </c>
      <c r="C98" s="27" t="s">
        <v>23</v>
      </c>
      <c r="D98" s="28" t="s">
        <v>122</v>
      </c>
      <c r="E98" s="28" t="s">
        <v>12</v>
      </c>
      <c r="F98" s="28" t="s">
        <v>105</v>
      </c>
      <c r="G98" s="28" t="s">
        <v>13</v>
      </c>
      <c r="H98" s="28" t="s">
        <v>123</v>
      </c>
      <c r="I98" s="28" t="s">
        <v>985</v>
      </c>
      <c r="J98" s="27" t="s">
        <v>543</v>
      </c>
      <c r="K98" s="27" t="s">
        <v>980</v>
      </c>
    </row>
    <row r="99" spans="1:11" ht="13.8" thickBot="1" x14ac:dyDescent="0.25">
      <c r="A99" s="27" t="s">
        <v>579</v>
      </c>
      <c r="B99" s="27" t="s">
        <v>574</v>
      </c>
      <c r="C99" s="27" t="s">
        <v>24</v>
      </c>
      <c r="D99" s="28" t="s">
        <v>112</v>
      </c>
      <c r="E99" s="28" t="s">
        <v>12</v>
      </c>
      <c r="F99" s="28" t="s">
        <v>113</v>
      </c>
      <c r="G99" s="28" t="s">
        <v>73</v>
      </c>
      <c r="H99" s="28" t="s">
        <v>114</v>
      </c>
      <c r="I99" s="28" t="s">
        <v>983</v>
      </c>
      <c r="J99" s="27" t="s">
        <v>546</v>
      </c>
      <c r="K99" s="27" t="s">
        <v>575</v>
      </c>
    </row>
    <row r="100" spans="1:11" ht="13.8" thickBot="1" x14ac:dyDescent="0.25">
      <c r="A100" s="27" t="s">
        <v>743</v>
      </c>
      <c r="B100" s="27" t="s">
        <v>574</v>
      </c>
      <c r="C100" s="27" t="s">
        <v>25</v>
      </c>
      <c r="D100" s="28" t="s">
        <v>122</v>
      </c>
      <c r="E100" s="28" t="s">
        <v>175</v>
      </c>
      <c r="F100" s="28" t="s">
        <v>105</v>
      </c>
      <c r="G100" s="28" t="s">
        <v>13</v>
      </c>
      <c r="H100" s="28" t="s">
        <v>123</v>
      </c>
      <c r="I100" s="28" t="s">
        <v>744</v>
      </c>
      <c r="J100" s="27" t="s">
        <v>546</v>
      </c>
      <c r="K100" s="27" t="s">
        <v>581</v>
      </c>
    </row>
    <row r="101" spans="1:11" ht="13.8" thickBot="1" x14ac:dyDescent="0.25">
      <c r="A101" s="27" t="s">
        <v>722</v>
      </c>
      <c r="B101" s="27" t="s">
        <v>574</v>
      </c>
      <c r="C101" s="27" t="s">
        <v>26</v>
      </c>
      <c r="D101" s="28" t="s">
        <v>120</v>
      </c>
      <c r="E101" s="28" t="s">
        <v>1140</v>
      </c>
      <c r="F101" s="28" t="s">
        <v>107</v>
      </c>
      <c r="G101" s="28" t="s">
        <v>73</v>
      </c>
      <c r="H101" s="28" t="s">
        <v>121</v>
      </c>
      <c r="I101" s="28" t="s">
        <v>1142</v>
      </c>
      <c r="J101" s="27" t="s">
        <v>546</v>
      </c>
      <c r="K101" s="27" t="s">
        <v>578</v>
      </c>
    </row>
    <row r="102" spans="1:11" ht="13.8" thickBot="1" x14ac:dyDescent="0.25">
      <c r="A102" s="27" t="s">
        <v>715</v>
      </c>
      <c r="B102" s="27" t="s">
        <v>574</v>
      </c>
      <c r="C102" s="27" t="s">
        <v>27</v>
      </c>
      <c r="D102" s="28" t="s">
        <v>90</v>
      </c>
      <c r="E102" s="28" t="s">
        <v>986</v>
      </c>
      <c r="F102" s="28" t="s">
        <v>91</v>
      </c>
      <c r="G102" s="28" t="s">
        <v>13</v>
      </c>
      <c r="H102" s="28" t="s">
        <v>92</v>
      </c>
      <c r="I102" s="28" t="s">
        <v>987</v>
      </c>
      <c r="J102" s="27" t="s">
        <v>505</v>
      </c>
      <c r="K102" s="27" t="s">
        <v>585</v>
      </c>
    </row>
    <row r="103" spans="1:11" ht="13.8" thickBot="1" x14ac:dyDescent="0.25">
      <c r="A103" s="27" t="s">
        <v>586</v>
      </c>
      <c r="B103" s="27" t="s">
        <v>574</v>
      </c>
      <c r="C103" s="27" t="s">
        <v>28</v>
      </c>
      <c r="D103" s="28" t="s">
        <v>95</v>
      </c>
      <c r="E103" s="28" t="s">
        <v>1143</v>
      </c>
      <c r="F103" s="28" t="s">
        <v>96</v>
      </c>
      <c r="G103" s="28" t="s">
        <v>37</v>
      </c>
      <c r="H103" s="28" t="s">
        <v>97</v>
      </c>
      <c r="I103" s="28" t="s">
        <v>1144</v>
      </c>
      <c r="J103" s="27" t="s">
        <v>505</v>
      </c>
      <c r="K103" s="27" t="s">
        <v>980</v>
      </c>
    </row>
    <row r="104" spans="1:11" ht="13.8" thickBot="1" x14ac:dyDescent="0.25">
      <c r="A104" s="27" t="s">
        <v>580</v>
      </c>
      <c r="B104" s="27" t="s">
        <v>574</v>
      </c>
      <c r="C104" s="27" t="s">
        <v>29</v>
      </c>
      <c r="D104" s="28" t="s">
        <v>112</v>
      </c>
      <c r="E104" s="28" t="s">
        <v>12</v>
      </c>
      <c r="F104" s="28" t="s">
        <v>113</v>
      </c>
      <c r="G104" s="28" t="s">
        <v>73</v>
      </c>
      <c r="H104" s="28" t="s">
        <v>114</v>
      </c>
      <c r="I104" s="28" t="s">
        <v>984</v>
      </c>
      <c r="J104" s="27" t="s">
        <v>505</v>
      </c>
      <c r="K104" s="27" t="s">
        <v>581</v>
      </c>
    </row>
    <row r="105" spans="1:11" ht="13.8" thickBot="1" x14ac:dyDescent="0.25">
      <c r="A105" s="27" t="s">
        <v>711</v>
      </c>
      <c r="B105" s="27" t="s">
        <v>574</v>
      </c>
      <c r="C105" s="27" t="s">
        <v>31</v>
      </c>
      <c r="D105" s="28" t="s">
        <v>98</v>
      </c>
      <c r="E105" s="28" t="s">
        <v>12</v>
      </c>
      <c r="F105" s="28" t="s">
        <v>94</v>
      </c>
      <c r="G105" s="28" t="s">
        <v>13</v>
      </c>
      <c r="H105" s="28" t="s">
        <v>99</v>
      </c>
      <c r="I105" s="28" t="s">
        <v>928</v>
      </c>
      <c r="J105" s="27" t="s">
        <v>451</v>
      </c>
      <c r="K105" s="27" t="s">
        <v>587</v>
      </c>
    </row>
    <row r="106" spans="1:11" ht="13.8" thickBot="1" x14ac:dyDescent="0.25">
      <c r="A106" s="27" t="s">
        <v>708</v>
      </c>
      <c r="B106" s="27" t="s">
        <v>574</v>
      </c>
      <c r="C106" s="27" t="s">
        <v>32</v>
      </c>
      <c r="D106" s="28" t="s">
        <v>132</v>
      </c>
      <c r="E106" s="28" t="s">
        <v>1145</v>
      </c>
      <c r="F106" s="28" t="s">
        <v>106</v>
      </c>
      <c r="G106" s="28" t="s">
        <v>73</v>
      </c>
      <c r="H106" s="28" t="s">
        <v>133</v>
      </c>
      <c r="I106" s="28" t="s">
        <v>1146</v>
      </c>
      <c r="J106" s="27" t="s">
        <v>451</v>
      </c>
      <c r="K106" s="27" t="s">
        <v>581</v>
      </c>
    </row>
    <row r="107" spans="1:11" ht="13.8" thickBot="1" x14ac:dyDescent="0.25">
      <c r="A107" s="27" t="s">
        <v>594</v>
      </c>
      <c r="B107" s="27" t="s">
        <v>574</v>
      </c>
      <c r="C107" s="27" t="s">
        <v>34</v>
      </c>
      <c r="D107" s="28" t="s">
        <v>95</v>
      </c>
      <c r="E107" s="28" t="s">
        <v>541</v>
      </c>
      <c r="F107" s="28" t="s">
        <v>96</v>
      </c>
      <c r="G107" s="28" t="s">
        <v>37</v>
      </c>
      <c r="H107" s="28" t="s">
        <v>97</v>
      </c>
      <c r="I107" s="28" t="s">
        <v>741</v>
      </c>
      <c r="J107" s="27" t="s">
        <v>451</v>
      </c>
      <c r="K107" s="27" t="s">
        <v>581</v>
      </c>
    </row>
    <row r="108" spans="1:11" ht="13.8" thickBot="1" x14ac:dyDescent="0.25">
      <c r="A108" s="27" t="s">
        <v>706</v>
      </c>
      <c r="B108" s="27" t="s">
        <v>574</v>
      </c>
      <c r="C108" s="27" t="s">
        <v>35</v>
      </c>
      <c r="D108" s="28" t="s">
        <v>81</v>
      </c>
      <c r="E108" s="28" t="s">
        <v>1147</v>
      </c>
      <c r="F108" s="28" t="s">
        <v>82</v>
      </c>
      <c r="G108" s="28" t="s">
        <v>13</v>
      </c>
      <c r="H108" s="28" t="s">
        <v>100</v>
      </c>
      <c r="I108" s="28" t="s">
        <v>1148</v>
      </c>
      <c r="J108" s="27" t="s">
        <v>566</v>
      </c>
      <c r="K108" s="27" t="s">
        <v>596</v>
      </c>
    </row>
    <row r="109" spans="1:11" ht="13.8" thickBot="1" x14ac:dyDescent="0.25">
      <c r="A109" s="27" t="s">
        <v>729</v>
      </c>
      <c r="B109" s="27" t="s">
        <v>574</v>
      </c>
      <c r="C109" s="27" t="s">
        <v>36</v>
      </c>
      <c r="D109" s="28" t="s">
        <v>103</v>
      </c>
      <c r="E109" s="28" t="s">
        <v>33</v>
      </c>
      <c r="F109" s="28" t="s">
        <v>104</v>
      </c>
      <c r="G109" s="28" t="s">
        <v>37</v>
      </c>
      <c r="H109" s="28" t="s">
        <v>119</v>
      </c>
      <c r="I109" s="28"/>
      <c r="J109" s="27" t="s">
        <v>566</v>
      </c>
      <c r="K109" s="27" t="s">
        <v>585</v>
      </c>
    </row>
    <row r="110" spans="1:11" ht="13.8" thickBot="1" x14ac:dyDescent="0.25">
      <c r="A110" s="27" t="s">
        <v>730</v>
      </c>
      <c r="B110" s="27" t="s">
        <v>574</v>
      </c>
      <c r="C110" s="27" t="s">
        <v>38</v>
      </c>
      <c r="D110" s="28" t="s">
        <v>103</v>
      </c>
      <c r="E110" s="28" t="s">
        <v>989</v>
      </c>
      <c r="F110" s="28" t="s">
        <v>104</v>
      </c>
      <c r="G110" s="28" t="s">
        <v>37</v>
      </c>
      <c r="H110" s="28" t="s">
        <v>119</v>
      </c>
      <c r="I110" s="28" t="s">
        <v>990</v>
      </c>
      <c r="J110" s="27" t="s">
        <v>566</v>
      </c>
      <c r="K110" s="27" t="s">
        <v>585</v>
      </c>
    </row>
    <row r="111" spans="1:11" ht="13.8" thickBot="1" x14ac:dyDescent="0.25">
      <c r="A111" s="27" t="s">
        <v>723</v>
      </c>
      <c r="B111" s="27" t="s">
        <v>574</v>
      </c>
      <c r="C111" s="27" t="s">
        <v>39</v>
      </c>
      <c r="D111" s="28" t="s">
        <v>103</v>
      </c>
      <c r="E111" s="28" t="s">
        <v>33</v>
      </c>
      <c r="F111" s="28" t="s">
        <v>104</v>
      </c>
      <c r="G111" s="28" t="s">
        <v>37</v>
      </c>
      <c r="H111" s="28" t="s">
        <v>119</v>
      </c>
      <c r="I111" s="28"/>
      <c r="J111" s="27" t="s">
        <v>513</v>
      </c>
      <c r="K111" s="27" t="s">
        <v>588</v>
      </c>
    </row>
    <row r="112" spans="1:11" ht="13.8" thickBot="1" x14ac:dyDescent="0.25">
      <c r="A112" s="27" t="s">
        <v>724</v>
      </c>
      <c r="B112" s="27" t="s">
        <v>574</v>
      </c>
      <c r="C112" s="27" t="s">
        <v>40</v>
      </c>
      <c r="D112" s="28" t="s">
        <v>101</v>
      </c>
      <c r="E112" s="28" t="s">
        <v>725</v>
      </c>
      <c r="F112" s="28" t="s">
        <v>102</v>
      </c>
      <c r="G112" s="28" t="s">
        <v>37</v>
      </c>
      <c r="H112" s="28" t="s">
        <v>118</v>
      </c>
      <c r="I112" s="28" t="s">
        <v>726</v>
      </c>
      <c r="J112" s="27" t="s">
        <v>513</v>
      </c>
      <c r="K112" s="27" t="s">
        <v>588</v>
      </c>
    </row>
    <row r="113" spans="1:11" ht="13.8" thickBot="1" x14ac:dyDescent="0.25">
      <c r="A113" s="27" t="s">
        <v>721</v>
      </c>
      <c r="B113" s="27" t="s">
        <v>574</v>
      </c>
      <c r="C113" s="27" t="s">
        <v>41</v>
      </c>
      <c r="D113" s="28" t="s">
        <v>122</v>
      </c>
      <c r="E113" s="28" t="s">
        <v>12</v>
      </c>
      <c r="F113" s="28" t="s">
        <v>105</v>
      </c>
      <c r="G113" s="28" t="s">
        <v>13</v>
      </c>
      <c r="H113" s="28" t="s">
        <v>123</v>
      </c>
      <c r="I113" s="28" t="s">
        <v>991</v>
      </c>
      <c r="J113" s="27" t="s">
        <v>513</v>
      </c>
      <c r="K113" s="27" t="s">
        <v>598</v>
      </c>
    </row>
    <row r="114" spans="1:11" ht="13.8" thickBot="1" x14ac:dyDescent="0.25">
      <c r="A114" s="27" t="s">
        <v>737</v>
      </c>
      <c r="B114" s="27" t="s">
        <v>574</v>
      </c>
      <c r="C114" s="27" t="s">
        <v>65</v>
      </c>
      <c r="D114" s="28" t="s">
        <v>90</v>
      </c>
      <c r="E114" s="28" t="s">
        <v>992</v>
      </c>
      <c r="F114" s="28" t="s">
        <v>91</v>
      </c>
      <c r="G114" s="28" t="s">
        <v>13</v>
      </c>
      <c r="H114" s="28" t="s">
        <v>92</v>
      </c>
      <c r="I114" s="28" t="s">
        <v>993</v>
      </c>
      <c r="J114" s="27" t="s">
        <v>577</v>
      </c>
      <c r="K114" s="27" t="s">
        <v>620</v>
      </c>
    </row>
    <row r="115" spans="1:11" ht="13.8" thickBot="1" x14ac:dyDescent="0.25">
      <c r="A115" s="27" t="s">
        <v>584</v>
      </c>
      <c r="B115" s="27" t="s">
        <v>574</v>
      </c>
      <c r="C115" s="27" t="s">
        <v>66</v>
      </c>
      <c r="D115" s="28" t="s">
        <v>95</v>
      </c>
      <c r="E115" s="28" t="s">
        <v>697</v>
      </c>
      <c r="F115" s="28" t="s">
        <v>96</v>
      </c>
      <c r="G115" s="28" t="s">
        <v>37</v>
      </c>
      <c r="H115" s="28" t="s">
        <v>97</v>
      </c>
      <c r="I115" s="28" t="s">
        <v>739</v>
      </c>
      <c r="J115" s="27" t="s">
        <v>577</v>
      </c>
      <c r="K115" s="27" t="s">
        <v>597</v>
      </c>
    </row>
    <row r="116" spans="1:11" ht="13.8" thickBot="1" x14ac:dyDescent="0.25">
      <c r="A116" s="27" t="s">
        <v>740</v>
      </c>
      <c r="B116" s="27" t="s">
        <v>574</v>
      </c>
      <c r="C116" s="27" t="s">
        <v>67</v>
      </c>
      <c r="D116" s="28" t="s">
        <v>132</v>
      </c>
      <c r="E116" s="28" t="s">
        <v>12</v>
      </c>
      <c r="F116" s="28" t="s">
        <v>106</v>
      </c>
      <c r="G116" s="28" t="s">
        <v>73</v>
      </c>
      <c r="H116" s="28" t="s">
        <v>133</v>
      </c>
      <c r="I116" s="28" t="s">
        <v>994</v>
      </c>
      <c r="J116" s="27" t="s">
        <v>577</v>
      </c>
      <c r="K116" s="27" t="s">
        <v>597</v>
      </c>
    </row>
    <row r="117" spans="1:11" ht="13.8" thickBot="1" x14ac:dyDescent="0.25">
      <c r="A117" s="27" t="s">
        <v>731</v>
      </c>
      <c r="B117" s="27" t="s">
        <v>574</v>
      </c>
      <c r="C117" s="27" t="s">
        <v>68</v>
      </c>
      <c r="D117" s="28" t="s">
        <v>90</v>
      </c>
      <c r="E117" s="28" t="s">
        <v>995</v>
      </c>
      <c r="F117" s="28" t="s">
        <v>91</v>
      </c>
      <c r="G117" s="28" t="s">
        <v>13</v>
      </c>
      <c r="H117" s="28" t="s">
        <v>92</v>
      </c>
      <c r="I117" s="28" t="s">
        <v>996</v>
      </c>
      <c r="J117" s="27" t="s">
        <v>578</v>
      </c>
      <c r="K117" s="27" t="s">
        <v>621</v>
      </c>
    </row>
    <row r="118" spans="1:11" ht="13.8" thickBot="1" x14ac:dyDescent="0.25">
      <c r="A118" s="27" t="s">
        <v>710</v>
      </c>
      <c r="B118" s="27" t="s">
        <v>574</v>
      </c>
      <c r="C118" s="27" t="s">
        <v>69</v>
      </c>
      <c r="D118" s="28" t="s">
        <v>120</v>
      </c>
      <c r="E118" s="28" t="s">
        <v>140</v>
      </c>
      <c r="F118" s="28" t="s">
        <v>107</v>
      </c>
      <c r="G118" s="28" t="s">
        <v>73</v>
      </c>
      <c r="H118" s="28" t="s">
        <v>121</v>
      </c>
      <c r="I118" s="28" t="s">
        <v>997</v>
      </c>
      <c r="J118" s="27" t="s">
        <v>578</v>
      </c>
      <c r="K118" s="27" t="s">
        <v>598</v>
      </c>
    </row>
    <row r="119" spans="1:11" ht="13.8" thickBot="1" x14ac:dyDescent="0.25">
      <c r="A119" s="27" t="s">
        <v>589</v>
      </c>
      <c r="B119" s="27" t="s">
        <v>574</v>
      </c>
      <c r="C119" s="27" t="s">
        <v>70</v>
      </c>
      <c r="D119" s="28" t="s">
        <v>112</v>
      </c>
      <c r="E119" s="28" t="s">
        <v>12</v>
      </c>
      <c r="F119" s="28" t="s">
        <v>113</v>
      </c>
      <c r="G119" s="28" t="s">
        <v>73</v>
      </c>
      <c r="H119" s="28" t="s">
        <v>114</v>
      </c>
      <c r="I119" s="28" t="s">
        <v>988</v>
      </c>
      <c r="J119" s="27" t="s">
        <v>578</v>
      </c>
      <c r="K119" s="27" t="s">
        <v>728</v>
      </c>
    </row>
    <row r="120" spans="1:11" ht="13.8" thickBot="1" x14ac:dyDescent="0.25">
      <c r="A120" s="27" t="s">
        <v>716</v>
      </c>
      <c r="B120" s="27" t="s">
        <v>574</v>
      </c>
      <c r="C120" s="27" t="s">
        <v>71</v>
      </c>
      <c r="D120" s="28" t="s">
        <v>81</v>
      </c>
      <c r="E120" s="28" t="s">
        <v>998</v>
      </c>
      <c r="F120" s="28" t="s">
        <v>82</v>
      </c>
      <c r="G120" s="28" t="s">
        <v>13</v>
      </c>
      <c r="H120" s="28" t="s">
        <v>100</v>
      </c>
      <c r="I120" s="28" t="s">
        <v>999</v>
      </c>
      <c r="J120" s="27" t="s">
        <v>575</v>
      </c>
      <c r="K120" s="27" t="s">
        <v>738</v>
      </c>
    </row>
    <row r="121" spans="1:11" ht="13.8" thickBot="1" x14ac:dyDescent="0.25">
      <c r="A121" s="27" t="s">
        <v>727</v>
      </c>
      <c r="B121" s="27" t="s">
        <v>574</v>
      </c>
      <c r="C121" s="27" t="s">
        <v>72</v>
      </c>
      <c r="D121" s="28" t="s">
        <v>81</v>
      </c>
      <c r="E121" s="28" t="s">
        <v>1000</v>
      </c>
      <c r="F121" s="28" t="s">
        <v>82</v>
      </c>
      <c r="G121" s="28" t="s">
        <v>13</v>
      </c>
      <c r="H121" s="28" t="s">
        <v>100</v>
      </c>
      <c r="I121" s="28" t="s">
        <v>1001</v>
      </c>
      <c r="J121" s="27" t="s">
        <v>575</v>
      </c>
      <c r="K121" s="27" t="s">
        <v>738</v>
      </c>
    </row>
    <row r="122" spans="1:11" ht="13.8" thickBot="1" x14ac:dyDescent="0.25">
      <c r="A122" s="27" t="s">
        <v>707</v>
      </c>
      <c r="B122" s="27" t="s">
        <v>574</v>
      </c>
      <c r="C122" s="27" t="s">
        <v>74</v>
      </c>
      <c r="D122" s="28" t="s">
        <v>132</v>
      </c>
      <c r="E122" s="28" t="s">
        <v>1145</v>
      </c>
      <c r="F122" s="28" t="s">
        <v>106</v>
      </c>
      <c r="G122" s="28" t="s">
        <v>73</v>
      </c>
      <c r="H122" s="28" t="s">
        <v>133</v>
      </c>
      <c r="I122" s="28" t="s">
        <v>1149</v>
      </c>
      <c r="J122" s="27" t="s">
        <v>575</v>
      </c>
      <c r="K122" s="27" t="s">
        <v>728</v>
      </c>
    </row>
    <row r="123" spans="1:11" ht="13.8" thickBot="1" x14ac:dyDescent="0.25">
      <c r="A123" s="27" t="s">
        <v>735</v>
      </c>
      <c r="B123" s="27" t="s">
        <v>574</v>
      </c>
      <c r="C123" s="27" t="s">
        <v>75</v>
      </c>
      <c r="D123" s="28" t="s">
        <v>122</v>
      </c>
      <c r="E123" s="28" t="s">
        <v>12</v>
      </c>
      <c r="F123" s="28" t="s">
        <v>105</v>
      </c>
      <c r="G123" s="28" t="s">
        <v>13</v>
      </c>
      <c r="H123" s="28" t="s">
        <v>123</v>
      </c>
      <c r="I123" s="28" t="s">
        <v>1002</v>
      </c>
      <c r="J123" s="27" t="s">
        <v>980</v>
      </c>
      <c r="K123" s="27" t="s">
        <v>631</v>
      </c>
    </row>
    <row r="124" spans="1:11" ht="13.8" thickBot="1" x14ac:dyDescent="0.25">
      <c r="A124" s="27" t="s">
        <v>595</v>
      </c>
      <c r="B124" s="27" t="s">
        <v>574</v>
      </c>
      <c r="C124" s="27" t="s">
        <v>76</v>
      </c>
      <c r="D124" s="28" t="s">
        <v>95</v>
      </c>
      <c r="E124" s="28" t="s">
        <v>1003</v>
      </c>
      <c r="F124" s="28" t="s">
        <v>96</v>
      </c>
      <c r="G124" s="28" t="s">
        <v>37</v>
      </c>
      <c r="H124" s="28" t="s">
        <v>97</v>
      </c>
      <c r="I124" s="28" t="s">
        <v>1004</v>
      </c>
      <c r="J124" s="27" t="s">
        <v>980</v>
      </c>
      <c r="K124" s="27" t="s">
        <v>620</v>
      </c>
    </row>
    <row r="125" spans="1:11" ht="13.8" thickBot="1" x14ac:dyDescent="0.25">
      <c r="A125" s="27" t="s">
        <v>742</v>
      </c>
      <c r="B125" s="27" t="s">
        <v>574</v>
      </c>
      <c r="C125" s="27" t="s">
        <v>77</v>
      </c>
      <c r="D125" s="28" t="s">
        <v>132</v>
      </c>
      <c r="E125" s="28" t="s">
        <v>140</v>
      </c>
      <c r="F125" s="28" t="s">
        <v>106</v>
      </c>
      <c r="G125" s="28" t="s">
        <v>73</v>
      </c>
      <c r="H125" s="28" t="s">
        <v>133</v>
      </c>
      <c r="I125" s="28" t="s">
        <v>1005</v>
      </c>
      <c r="J125" s="27" t="s">
        <v>980</v>
      </c>
      <c r="K125" s="27" t="s">
        <v>620</v>
      </c>
    </row>
    <row r="126" spans="1:11" ht="13.8" thickBot="1" x14ac:dyDescent="0.25">
      <c r="A126" s="27" t="s">
        <v>732</v>
      </c>
      <c r="B126" s="27" t="s">
        <v>574</v>
      </c>
      <c r="C126" s="27" t="s">
        <v>185</v>
      </c>
      <c r="D126" s="28" t="s">
        <v>101</v>
      </c>
      <c r="E126" s="28" t="s">
        <v>33</v>
      </c>
      <c r="F126" s="28" t="s">
        <v>102</v>
      </c>
      <c r="G126" s="28" t="s">
        <v>37</v>
      </c>
      <c r="H126" s="28" t="s">
        <v>118</v>
      </c>
      <c r="I126" s="28"/>
      <c r="J126" s="27" t="s">
        <v>583</v>
      </c>
      <c r="K126" s="27" t="s">
        <v>621</v>
      </c>
    </row>
    <row r="127" spans="1:11" ht="13.8" thickBot="1" x14ac:dyDescent="0.25">
      <c r="A127" s="27" t="s">
        <v>582</v>
      </c>
      <c r="B127" s="27" t="s">
        <v>574</v>
      </c>
      <c r="C127" s="27" t="s">
        <v>186</v>
      </c>
      <c r="D127" s="28" t="s">
        <v>95</v>
      </c>
      <c r="E127" s="28" t="s">
        <v>1007</v>
      </c>
      <c r="F127" s="28" t="s">
        <v>96</v>
      </c>
      <c r="G127" s="28" t="s">
        <v>73</v>
      </c>
      <c r="H127" s="28" t="s">
        <v>97</v>
      </c>
      <c r="I127" s="28" t="s">
        <v>1008</v>
      </c>
      <c r="J127" s="27" t="s">
        <v>583</v>
      </c>
      <c r="K127" s="27" t="s">
        <v>631</v>
      </c>
    </row>
    <row r="128" spans="1:11" ht="13.8" thickBot="1" x14ac:dyDescent="0.25">
      <c r="A128" s="27" t="s">
        <v>734</v>
      </c>
      <c r="B128" s="27" t="s">
        <v>574</v>
      </c>
      <c r="C128" s="27" t="s">
        <v>199</v>
      </c>
      <c r="D128" s="28" t="s">
        <v>101</v>
      </c>
      <c r="E128" s="28" t="s">
        <v>1009</v>
      </c>
      <c r="F128" s="28" t="s">
        <v>102</v>
      </c>
      <c r="G128" s="28" t="s">
        <v>37</v>
      </c>
      <c r="H128" s="28" t="s">
        <v>118</v>
      </c>
      <c r="I128" s="28" t="s">
        <v>1010</v>
      </c>
      <c r="J128" s="27" t="s">
        <v>585</v>
      </c>
      <c r="K128" s="27" t="s">
        <v>738</v>
      </c>
    </row>
    <row r="129" spans="1:11" ht="13.8" thickBot="1" x14ac:dyDescent="0.25">
      <c r="A129" s="27" t="s">
        <v>736</v>
      </c>
      <c r="B129" s="27" t="s">
        <v>574</v>
      </c>
      <c r="C129" s="27" t="s">
        <v>251</v>
      </c>
      <c r="D129" s="28" t="s">
        <v>132</v>
      </c>
      <c r="E129" s="28" t="s">
        <v>12</v>
      </c>
      <c r="F129" s="28" t="s">
        <v>106</v>
      </c>
      <c r="G129" s="28" t="s">
        <v>73</v>
      </c>
      <c r="H129" s="28" t="s">
        <v>133</v>
      </c>
      <c r="I129" s="28" t="s">
        <v>1006</v>
      </c>
      <c r="J129" s="27" t="s">
        <v>585</v>
      </c>
      <c r="K129" s="27" t="s">
        <v>631</v>
      </c>
    </row>
    <row r="130" spans="1:11" ht="13.8" thickBot="1" x14ac:dyDescent="0.25">
      <c r="A130" s="27" t="s">
        <v>733</v>
      </c>
      <c r="B130" s="27" t="s">
        <v>574</v>
      </c>
      <c r="C130" s="27" t="s">
        <v>252</v>
      </c>
      <c r="D130" s="28" t="s">
        <v>132</v>
      </c>
      <c r="E130" s="28" t="s">
        <v>12</v>
      </c>
      <c r="F130" s="28" t="s">
        <v>106</v>
      </c>
      <c r="G130" s="28" t="s">
        <v>37</v>
      </c>
      <c r="H130" s="28" t="s">
        <v>133</v>
      </c>
      <c r="I130" s="28" t="s">
        <v>1011</v>
      </c>
      <c r="J130" s="27" t="s">
        <v>587</v>
      </c>
      <c r="K130" s="27" t="s">
        <v>631</v>
      </c>
    </row>
    <row r="131" spans="1:11" ht="13.8" thickBot="1" x14ac:dyDescent="0.25">
      <c r="A131" s="27" t="s">
        <v>717</v>
      </c>
      <c r="B131" s="27" t="s">
        <v>574</v>
      </c>
      <c r="C131" s="27" t="s">
        <v>253</v>
      </c>
      <c r="D131" s="28" t="s">
        <v>103</v>
      </c>
      <c r="E131" s="28" t="s">
        <v>33</v>
      </c>
      <c r="F131" s="28" t="s">
        <v>104</v>
      </c>
      <c r="G131" s="28" t="s">
        <v>37</v>
      </c>
      <c r="H131" s="28" t="s">
        <v>119</v>
      </c>
      <c r="I131" s="28"/>
      <c r="J131" s="27" t="s">
        <v>588</v>
      </c>
      <c r="K131" s="27" t="s">
        <v>665</v>
      </c>
    </row>
    <row r="132" spans="1:11" ht="13.8" thickBot="1" x14ac:dyDescent="0.25">
      <c r="A132" s="27" t="s">
        <v>769</v>
      </c>
      <c r="B132" s="27" t="s">
        <v>746</v>
      </c>
      <c r="C132" s="27" t="s">
        <v>11</v>
      </c>
      <c r="D132" s="28" t="s">
        <v>90</v>
      </c>
      <c r="E132" s="28" t="s">
        <v>986</v>
      </c>
      <c r="F132" s="28" t="s">
        <v>91</v>
      </c>
      <c r="G132" s="28" t="s">
        <v>13</v>
      </c>
      <c r="H132" s="28" t="s">
        <v>92</v>
      </c>
      <c r="I132" s="28" t="s">
        <v>1019</v>
      </c>
      <c r="J132" s="27" t="s">
        <v>583</v>
      </c>
      <c r="K132" s="27" t="s">
        <v>665</v>
      </c>
    </row>
    <row r="133" spans="1:11" ht="13.8" thickBot="1" x14ac:dyDescent="0.25">
      <c r="A133" s="27" t="s">
        <v>763</v>
      </c>
      <c r="B133" s="27" t="s">
        <v>746</v>
      </c>
      <c r="C133" s="27" t="s">
        <v>14</v>
      </c>
      <c r="D133" s="28" t="s">
        <v>122</v>
      </c>
      <c r="E133" s="28" t="s">
        <v>78</v>
      </c>
      <c r="F133" s="28" t="s">
        <v>105</v>
      </c>
      <c r="G133" s="28" t="s">
        <v>13</v>
      </c>
      <c r="H133" s="28" t="s">
        <v>123</v>
      </c>
      <c r="I133" s="28" t="s">
        <v>1150</v>
      </c>
      <c r="J133" s="27" t="s">
        <v>585</v>
      </c>
      <c r="K133" s="27" t="s">
        <v>751</v>
      </c>
    </row>
    <row r="134" spans="1:11" ht="13.8" thickBot="1" x14ac:dyDescent="0.25">
      <c r="A134" s="27" t="s">
        <v>752</v>
      </c>
      <c r="B134" s="27" t="s">
        <v>746</v>
      </c>
      <c r="C134" s="27" t="s">
        <v>15</v>
      </c>
      <c r="D134" s="28" t="s">
        <v>98</v>
      </c>
      <c r="E134" s="28" t="s">
        <v>12</v>
      </c>
      <c r="F134" s="28" t="s">
        <v>94</v>
      </c>
      <c r="G134" s="28" t="s">
        <v>13</v>
      </c>
      <c r="H134" s="28" t="s">
        <v>99</v>
      </c>
      <c r="I134" s="28" t="s">
        <v>1014</v>
      </c>
      <c r="J134" s="27" t="s">
        <v>588</v>
      </c>
      <c r="K134" s="27" t="s">
        <v>754</v>
      </c>
    </row>
    <row r="135" spans="1:11" ht="13.8" thickBot="1" x14ac:dyDescent="0.25">
      <c r="A135" s="27" t="s">
        <v>745</v>
      </c>
      <c r="B135" s="27" t="s">
        <v>746</v>
      </c>
      <c r="C135" s="27" t="s">
        <v>16</v>
      </c>
      <c r="D135" s="28" t="s">
        <v>79</v>
      </c>
      <c r="E135" s="28" t="s">
        <v>1151</v>
      </c>
      <c r="F135" s="28" t="s">
        <v>80</v>
      </c>
      <c r="G135" s="28" t="s">
        <v>13</v>
      </c>
      <c r="H135" s="28" t="s">
        <v>124</v>
      </c>
      <c r="I135" s="28" t="s">
        <v>1152</v>
      </c>
      <c r="J135" s="27" t="s">
        <v>588</v>
      </c>
      <c r="K135" s="27" t="s">
        <v>801</v>
      </c>
    </row>
    <row r="136" spans="1:11" ht="13.8" thickBot="1" x14ac:dyDescent="0.25">
      <c r="A136" s="27" t="s">
        <v>804</v>
      </c>
      <c r="B136" s="27" t="s">
        <v>746</v>
      </c>
      <c r="C136" s="27" t="s">
        <v>17</v>
      </c>
      <c r="D136" s="28" t="s">
        <v>122</v>
      </c>
      <c r="E136" s="28" t="s">
        <v>12</v>
      </c>
      <c r="F136" s="28" t="s">
        <v>105</v>
      </c>
      <c r="G136" s="28" t="s">
        <v>13</v>
      </c>
      <c r="H136" s="28" t="s">
        <v>123</v>
      </c>
      <c r="I136" s="28" t="s">
        <v>1028</v>
      </c>
      <c r="J136" s="27" t="s">
        <v>596</v>
      </c>
      <c r="K136" s="27" t="s">
        <v>756</v>
      </c>
    </row>
    <row r="137" spans="1:11" ht="13.8" thickBot="1" x14ac:dyDescent="0.25">
      <c r="A137" s="27" t="s">
        <v>767</v>
      </c>
      <c r="B137" s="27" t="s">
        <v>746</v>
      </c>
      <c r="C137" s="27" t="s">
        <v>18</v>
      </c>
      <c r="D137" s="28" t="s">
        <v>120</v>
      </c>
      <c r="E137" s="28" t="s">
        <v>1227</v>
      </c>
      <c r="F137" s="28" t="s">
        <v>107</v>
      </c>
      <c r="G137" s="28" t="s">
        <v>73</v>
      </c>
      <c r="H137" s="28" t="s">
        <v>121</v>
      </c>
      <c r="I137" s="28" t="s">
        <v>1228</v>
      </c>
      <c r="J137" s="27" t="s">
        <v>596</v>
      </c>
      <c r="K137" s="27" t="s">
        <v>751</v>
      </c>
    </row>
    <row r="138" spans="1:11" ht="13.8" thickBot="1" x14ac:dyDescent="0.25">
      <c r="A138" s="27" t="s">
        <v>774</v>
      </c>
      <c r="B138" s="27" t="s">
        <v>746</v>
      </c>
      <c r="C138" s="27" t="s">
        <v>19</v>
      </c>
      <c r="D138" s="28" t="s">
        <v>132</v>
      </c>
      <c r="E138" s="28" t="s">
        <v>1229</v>
      </c>
      <c r="F138" s="28" t="s">
        <v>106</v>
      </c>
      <c r="G138" s="28" t="s">
        <v>73</v>
      </c>
      <c r="H138" s="28" t="s">
        <v>133</v>
      </c>
      <c r="I138" s="28" t="s">
        <v>1230</v>
      </c>
      <c r="J138" s="27" t="s">
        <v>596</v>
      </c>
      <c r="K138" s="27" t="s">
        <v>751</v>
      </c>
    </row>
    <row r="139" spans="1:11" ht="13.8" thickBot="1" x14ac:dyDescent="0.25">
      <c r="A139" s="27" t="s">
        <v>791</v>
      </c>
      <c r="B139" s="27" t="s">
        <v>746</v>
      </c>
      <c r="C139" s="27" t="s">
        <v>20</v>
      </c>
      <c r="D139" s="28" t="s">
        <v>120</v>
      </c>
      <c r="E139" s="28" t="s">
        <v>140</v>
      </c>
      <c r="F139" s="28" t="s">
        <v>107</v>
      </c>
      <c r="G139" s="28" t="s">
        <v>73</v>
      </c>
      <c r="H139" s="28" t="s">
        <v>121</v>
      </c>
      <c r="I139" s="28" t="s">
        <v>1029</v>
      </c>
      <c r="J139" s="27" t="s">
        <v>597</v>
      </c>
      <c r="K139" s="27" t="s">
        <v>747</v>
      </c>
    </row>
    <row r="140" spans="1:11" ht="13.8" thickBot="1" x14ac:dyDescent="0.25">
      <c r="A140" s="27" t="s">
        <v>750</v>
      </c>
      <c r="B140" s="27" t="s">
        <v>746</v>
      </c>
      <c r="C140" s="27" t="s">
        <v>21</v>
      </c>
      <c r="D140" s="28" t="s">
        <v>98</v>
      </c>
      <c r="E140" s="28" t="s">
        <v>12</v>
      </c>
      <c r="F140" s="28" t="s">
        <v>94</v>
      </c>
      <c r="G140" s="28" t="s">
        <v>13</v>
      </c>
      <c r="H140" s="28" t="s">
        <v>99</v>
      </c>
      <c r="I140" s="28" t="s">
        <v>1013</v>
      </c>
      <c r="J140" s="27" t="s">
        <v>597</v>
      </c>
      <c r="K140" s="27" t="s">
        <v>760</v>
      </c>
    </row>
    <row r="141" spans="1:11" ht="13.8" thickBot="1" x14ac:dyDescent="0.25">
      <c r="A141" s="27" t="s">
        <v>939</v>
      </c>
      <c r="B141" s="27" t="s">
        <v>746</v>
      </c>
      <c r="C141" s="27" t="s">
        <v>22</v>
      </c>
      <c r="D141" s="28" t="s">
        <v>95</v>
      </c>
      <c r="E141" s="28" t="s">
        <v>145</v>
      </c>
      <c r="F141" s="28" t="s">
        <v>96</v>
      </c>
      <c r="G141" s="28" t="s">
        <v>73</v>
      </c>
      <c r="H141" s="28" t="s">
        <v>97</v>
      </c>
      <c r="I141" s="28"/>
      <c r="J141" s="27" t="s">
        <v>597</v>
      </c>
      <c r="K141" s="27" t="s">
        <v>754</v>
      </c>
    </row>
    <row r="142" spans="1:11" ht="13.8" thickBot="1" x14ac:dyDescent="0.25">
      <c r="A142" s="27" t="s">
        <v>771</v>
      </c>
      <c r="B142" s="27" t="s">
        <v>746</v>
      </c>
      <c r="C142" s="27" t="s">
        <v>23</v>
      </c>
      <c r="D142" s="28" t="s">
        <v>90</v>
      </c>
      <c r="E142" s="28" t="s">
        <v>1153</v>
      </c>
      <c r="F142" s="28" t="s">
        <v>91</v>
      </c>
      <c r="G142" s="28" t="s">
        <v>13</v>
      </c>
      <c r="H142" s="28" t="s">
        <v>92</v>
      </c>
      <c r="I142" s="28" t="s">
        <v>1154</v>
      </c>
      <c r="J142" s="27" t="s">
        <v>728</v>
      </c>
      <c r="K142" s="27" t="s">
        <v>749</v>
      </c>
    </row>
    <row r="143" spans="1:11" ht="13.8" thickBot="1" x14ac:dyDescent="0.25">
      <c r="A143" s="27" t="s">
        <v>748</v>
      </c>
      <c r="B143" s="27" t="s">
        <v>746</v>
      </c>
      <c r="C143" s="27" t="s">
        <v>24</v>
      </c>
      <c r="D143" s="28" t="s">
        <v>187</v>
      </c>
      <c r="E143" s="28" t="s">
        <v>12</v>
      </c>
      <c r="F143" s="28" t="s">
        <v>188</v>
      </c>
      <c r="G143" s="28" t="s">
        <v>13</v>
      </c>
      <c r="H143" s="28" t="s">
        <v>189</v>
      </c>
      <c r="I143" s="28" t="s">
        <v>1012</v>
      </c>
      <c r="J143" s="27" t="s">
        <v>728</v>
      </c>
      <c r="K143" s="27" t="s">
        <v>799</v>
      </c>
    </row>
    <row r="144" spans="1:11" ht="13.8" thickBot="1" x14ac:dyDescent="0.25">
      <c r="A144" s="27" t="s">
        <v>762</v>
      </c>
      <c r="B144" s="27" t="s">
        <v>746</v>
      </c>
      <c r="C144" s="27" t="s">
        <v>25</v>
      </c>
      <c r="D144" s="28" t="s">
        <v>120</v>
      </c>
      <c r="E144" s="28" t="s">
        <v>12</v>
      </c>
      <c r="F144" s="28" t="s">
        <v>107</v>
      </c>
      <c r="G144" s="28" t="s">
        <v>73</v>
      </c>
      <c r="H144" s="28" t="s">
        <v>121</v>
      </c>
      <c r="I144" s="28" t="s">
        <v>1017</v>
      </c>
      <c r="J144" s="27" t="s">
        <v>728</v>
      </c>
      <c r="K144" s="27" t="s">
        <v>756</v>
      </c>
    </row>
    <row r="145" spans="1:11" ht="13.8" thickBot="1" x14ac:dyDescent="0.25">
      <c r="A145" s="27" t="s">
        <v>775</v>
      </c>
      <c r="B145" s="27" t="s">
        <v>746</v>
      </c>
      <c r="C145" s="27" t="s">
        <v>26</v>
      </c>
      <c r="D145" s="28" t="s">
        <v>90</v>
      </c>
      <c r="E145" s="28" t="s">
        <v>1231</v>
      </c>
      <c r="F145" s="28" t="s">
        <v>91</v>
      </c>
      <c r="G145" s="28" t="s">
        <v>13</v>
      </c>
      <c r="H145" s="28" t="s">
        <v>92</v>
      </c>
      <c r="I145" s="28" t="s">
        <v>1232</v>
      </c>
      <c r="J145" s="27" t="s">
        <v>620</v>
      </c>
      <c r="K145" s="27" t="s">
        <v>772</v>
      </c>
    </row>
    <row r="146" spans="1:11" ht="13.8" thickBot="1" x14ac:dyDescent="0.25">
      <c r="A146" s="27" t="s">
        <v>761</v>
      </c>
      <c r="B146" s="27" t="s">
        <v>746</v>
      </c>
      <c r="C146" s="27" t="s">
        <v>27</v>
      </c>
      <c r="D146" s="28" t="s">
        <v>120</v>
      </c>
      <c r="E146" s="28" t="s">
        <v>12</v>
      </c>
      <c r="F146" s="28" t="s">
        <v>107</v>
      </c>
      <c r="G146" s="28" t="s">
        <v>73</v>
      </c>
      <c r="H146" s="28" t="s">
        <v>121</v>
      </c>
      <c r="I146" s="28" t="s">
        <v>1155</v>
      </c>
      <c r="J146" s="27" t="s">
        <v>620</v>
      </c>
      <c r="K146" s="27" t="s">
        <v>760</v>
      </c>
    </row>
    <row r="147" spans="1:11" ht="13.8" thickBot="1" x14ac:dyDescent="0.25">
      <c r="A147" s="27" t="s">
        <v>792</v>
      </c>
      <c r="B147" s="27" t="s">
        <v>746</v>
      </c>
      <c r="C147" s="27" t="s">
        <v>28</v>
      </c>
      <c r="D147" s="28" t="s">
        <v>120</v>
      </c>
      <c r="E147" s="28" t="s">
        <v>12</v>
      </c>
      <c r="F147" s="28" t="s">
        <v>107</v>
      </c>
      <c r="G147" s="28" t="s">
        <v>37</v>
      </c>
      <c r="H147" s="28" t="s">
        <v>121</v>
      </c>
      <c r="I147" s="28" t="s">
        <v>1031</v>
      </c>
      <c r="J147" s="27" t="s">
        <v>620</v>
      </c>
      <c r="K147" s="27" t="s">
        <v>756</v>
      </c>
    </row>
    <row r="148" spans="1:11" ht="13.8" thickBot="1" x14ac:dyDescent="0.25">
      <c r="A148" s="27" t="s">
        <v>786</v>
      </c>
      <c r="B148" s="27" t="s">
        <v>746</v>
      </c>
      <c r="C148" s="27" t="s">
        <v>29</v>
      </c>
      <c r="D148" s="28" t="s">
        <v>122</v>
      </c>
      <c r="E148" s="28" t="s">
        <v>12</v>
      </c>
      <c r="F148" s="28" t="s">
        <v>105</v>
      </c>
      <c r="G148" s="28" t="s">
        <v>13</v>
      </c>
      <c r="H148" s="28" t="s">
        <v>123</v>
      </c>
      <c r="I148" s="28" t="s">
        <v>1021</v>
      </c>
      <c r="J148" s="27" t="s">
        <v>738</v>
      </c>
      <c r="K148" s="27" t="s">
        <v>787</v>
      </c>
    </row>
    <row r="149" spans="1:11" ht="13.8" thickBot="1" x14ac:dyDescent="0.25">
      <c r="A149" s="27" t="s">
        <v>784</v>
      </c>
      <c r="B149" s="27" t="s">
        <v>746</v>
      </c>
      <c r="C149" s="27" t="s">
        <v>31</v>
      </c>
      <c r="D149" s="28" t="s">
        <v>132</v>
      </c>
      <c r="E149" s="28" t="s">
        <v>140</v>
      </c>
      <c r="F149" s="28" t="s">
        <v>106</v>
      </c>
      <c r="G149" s="28" t="s">
        <v>73</v>
      </c>
      <c r="H149" s="28" t="s">
        <v>133</v>
      </c>
      <c r="I149" s="28" t="s">
        <v>1026</v>
      </c>
      <c r="J149" s="27" t="s">
        <v>738</v>
      </c>
      <c r="K149" s="27" t="s">
        <v>772</v>
      </c>
    </row>
    <row r="150" spans="1:11" ht="13.8" thickBot="1" x14ac:dyDescent="0.25">
      <c r="A150" s="27" t="s">
        <v>777</v>
      </c>
      <c r="B150" s="27" t="s">
        <v>746</v>
      </c>
      <c r="C150" s="27" t="s">
        <v>32</v>
      </c>
      <c r="D150" s="28" t="s">
        <v>95</v>
      </c>
      <c r="E150" s="28" t="s">
        <v>778</v>
      </c>
      <c r="F150" s="28" t="s">
        <v>96</v>
      </c>
      <c r="G150" s="28" t="s">
        <v>37</v>
      </c>
      <c r="H150" s="28" t="s">
        <v>1035</v>
      </c>
      <c r="I150" s="28" t="s">
        <v>779</v>
      </c>
      <c r="J150" s="27" t="s">
        <v>738</v>
      </c>
      <c r="K150" s="27" t="s">
        <v>772</v>
      </c>
    </row>
    <row r="151" spans="1:11" ht="13.8" thickBot="1" x14ac:dyDescent="0.25">
      <c r="A151" s="27" t="s">
        <v>794</v>
      </c>
      <c r="B151" s="27" t="s">
        <v>746</v>
      </c>
      <c r="C151" s="27" t="s">
        <v>34</v>
      </c>
      <c r="D151" s="28" t="s">
        <v>103</v>
      </c>
      <c r="E151" s="28" t="s">
        <v>929</v>
      </c>
      <c r="F151" s="28" t="s">
        <v>104</v>
      </c>
      <c r="G151" s="28" t="s">
        <v>37</v>
      </c>
      <c r="H151" s="28" t="s">
        <v>119</v>
      </c>
      <c r="I151" s="28" t="s">
        <v>930</v>
      </c>
      <c r="J151" s="27" t="s">
        <v>631</v>
      </c>
      <c r="K151" s="27" t="s">
        <v>772</v>
      </c>
    </row>
    <row r="152" spans="1:11" ht="13.8" thickBot="1" x14ac:dyDescent="0.25">
      <c r="A152" s="27" t="s">
        <v>938</v>
      </c>
      <c r="B152" s="27" t="s">
        <v>746</v>
      </c>
      <c r="C152" s="27" t="s">
        <v>35</v>
      </c>
      <c r="D152" s="28" t="s">
        <v>112</v>
      </c>
      <c r="E152" s="28" t="s">
        <v>12</v>
      </c>
      <c r="F152" s="28" t="s">
        <v>113</v>
      </c>
      <c r="G152" s="28" t="s">
        <v>73</v>
      </c>
      <c r="H152" s="28" t="s">
        <v>114</v>
      </c>
      <c r="I152" s="28" t="s">
        <v>1034</v>
      </c>
      <c r="J152" s="27" t="s">
        <v>631</v>
      </c>
      <c r="K152" s="27" t="s">
        <v>801</v>
      </c>
    </row>
    <row r="153" spans="1:11" ht="13.8" thickBot="1" x14ac:dyDescent="0.25">
      <c r="A153" s="27" t="s">
        <v>931</v>
      </c>
      <c r="B153" s="27" t="s">
        <v>746</v>
      </c>
      <c r="C153" s="27" t="s">
        <v>36</v>
      </c>
      <c r="D153" s="28" t="s">
        <v>90</v>
      </c>
      <c r="E153" s="28" t="s">
        <v>145</v>
      </c>
      <c r="F153" s="28" t="s">
        <v>91</v>
      </c>
      <c r="G153" s="28" t="s">
        <v>13</v>
      </c>
      <c r="H153" s="28" t="s">
        <v>92</v>
      </c>
      <c r="I153" s="28"/>
      <c r="J153" s="27" t="s">
        <v>631</v>
      </c>
      <c r="K153" s="27" t="s">
        <v>790</v>
      </c>
    </row>
    <row r="154" spans="1:11" ht="13.8" thickBot="1" x14ac:dyDescent="0.25">
      <c r="A154" s="27" t="s">
        <v>789</v>
      </c>
      <c r="B154" s="27" t="s">
        <v>746</v>
      </c>
      <c r="C154" s="27" t="s">
        <v>38</v>
      </c>
      <c r="D154" s="28" t="s">
        <v>122</v>
      </c>
      <c r="E154" s="28" t="s">
        <v>12</v>
      </c>
      <c r="F154" s="28" t="s">
        <v>105</v>
      </c>
      <c r="G154" s="28" t="s">
        <v>13</v>
      </c>
      <c r="H154" s="28" t="s">
        <v>123</v>
      </c>
      <c r="I154" s="28" t="s">
        <v>1024</v>
      </c>
      <c r="J154" s="27" t="s">
        <v>668</v>
      </c>
      <c r="K154" s="27" t="s">
        <v>805</v>
      </c>
    </row>
    <row r="155" spans="1:11" ht="13.8" thickBot="1" x14ac:dyDescent="0.25">
      <c r="A155" s="27" t="s">
        <v>783</v>
      </c>
      <c r="B155" s="27" t="s">
        <v>746</v>
      </c>
      <c r="C155" s="27" t="s">
        <v>39</v>
      </c>
      <c r="D155" s="28" t="s">
        <v>132</v>
      </c>
      <c r="E155" s="28" t="s">
        <v>12</v>
      </c>
      <c r="F155" s="28" t="s">
        <v>106</v>
      </c>
      <c r="G155" s="28" t="s">
        <v>73</v>
      </c>
      <c r="H155" s="28" t="s">
        <v>133</v>
      </c>
      <c r="I155" s="28" t="s">
        <v>1025</v>
      </c>
      <c r="J155" s="27" t="s">
        <v>668</v>
      </c>
      <c r="K155" s="27" t="s">
        <v>787</v>
      </c>
    </row>
    <row r="156" spans="1:11" ht="13.8" thickBot="1" x14ac:dyDescent="0.25">
      <c r="A156" s="27" t="s">
        <v>800</v>
      </c>
      <c r="B156" s="27" t="s">
        <v>746</v>
      </c>
      <c r="C156" s="27" t="s">
        <v>40</v>
      </c>
      <c r="D156" s="28" t="s">
        <v>132</v>
      </c>
      <c r="E156" s="28" t="s">
        <v>12</v>
      </c>
      <c r="F156" s="28" t="s">
        <v>106</v>
      </c>
      <c r="G156" s="28" t="s">
        <v>73</v>
      </c>
      <c r="H156" s="28" t="s">
        <v>133</v>
      </c>
      <c r="I156" s="28" t="s">
        <v>1030</v>
      </c>
      <c r="J156" s="27" t="s">
        <v>668</v>
      </c>
      <c r="K156" s="27" t="s">
        <v>787</v>
      </c>
    </row>
    <row r="157" spans="1:11" ht="13.8" thickBot="1" x14ac:dyDescent="0.25">
      <c r="A157" s="27" t="s">
        <v>795</v>
      </c>
      <c r="B157" s="27" t="s">
        <v>746</v>
      </c>
      <c r="C157" s="27" t="s">
        <v>41</v>
      </c>
      <c r="D157" s="28" t="s">
        <v>101</v>
      </c>
      <c r="E157" s="28" t="s">
        <v>796</v>
      </c>
      <c r="F157" s="28" t="s">
        <v>102</v>
      </c>
      <c r="G157" s="28" t="s">
        <v>37</v>
      </c>
      <c r="H157" s="28" t="s">
        <v>118</v>
      </c>
      <c r="I157" s="28" t="s">
        <v>797</v>
      </c>
      <c r="J157" s="27" t="s">
        <v>751</v>
      </c>
      <c r="K157" s="27" t="s">
        <v>787</v>
      </c>
    </row>
    <row r="158" spans="1:11" ht="13.8" thickBot="1" x14ac:dyDescent="0.25">
      <c r="A158" s="27" t="s">
        <v>793</v>
      </c>
      <c r="B158" s="27" t="s">
        <v>746</v>
      </c>
      <c r="C158" s="27" t="s">
        <v>65</v>
      </c>
      <c r="D158" s="28" t="s">
        <v>120</v>
      </c>
      <c r="E158" s="28" t="s">
        <v>12</v>
      </c>
      <c r="F158" s="28" t="s">
        <v>107</v>
      </c>
      <c r="G158" s="28" t="s">
        <v>37</v>
      </c>
      <c r="H158" s="28" t="s">
        <v>121</v>
      </c>
      <c r="I158" s="28" t="s">
        <v>1033</v>
      </c>
      <c r="J158" s="27" t="s">
        <v>751</v>
      </c>
      <c r="K158" s="27" t="s">
        <v>787</v>
      </c>
    </row>
    <row r="159" spans="1:11" ht="13.8" thickBot="1" x14ac:dyDescent="0.25">
      <c r="A159" s="27" t="s">
        <v>933</v>
      </c>
      <c r="B159" s="27" t="s">
        <v>746</v>
      </c>
      <c r="C159" s="27" t="s">
        <v>66</v>
      </c>
      <c r="D159" s="28" t="s">
        <v>90</v>
      </c>
      <c r="E159" s="28" t="s">
        <v>145</v>
      </c>
      <c r="F159" s="28" t="s">
        <v>91</v>
      </c>
      <c r="G159" s="28" t="s">
        <v>13</v>
      </c>
      <c r="H159" s="28" t="s">
        <v>92</v>
      </c>
      <c r="I159" s="28"/>
      <c r="J159" s="27" t="s">
        <v>751</v>
      </c>
      <c r="K159" s="27" t="s">
        <v>805</v>
      </c>
    </row>
    <row r="160" spans="1:11" ht="13.8" thickBot="1" x14ac:dyDescent="0.25">
      <c r="A160" s="27" t="s">
        <v>798</v>
      </c>
      <c r="B160" s="27" t="s">
        <v>746</v>
      </c>
      <c r="C160" s="27" t="s">
        <v>67</v>
      </c>
      <c r="D160" s="28" t="s">
        <v>122</v>
      </c>
      <c r="E160" s="28" t="s">
        <v>12</v>
      </c>
      <c r="F160" s="28" t="s">
        <v>105</v>
      </c>
      <c r="G160" s="28" t="s">
        <v>13</v>
      </c>
      <c r="H160" s="28" t="s">
        <v>123</v>
      </c>
      <c r="I160" s="28" t="s">
        <v>1027</v>
      </c>
      <c r="J160" s="27" t="s">
        <v>754</v>
      </c>
      <c r="K160" s="27" t="s">
        <v>846</v>
      </c>
    </row>
    <row r="161" spans="1:11" ht="13.8" thickBot="1" x14ac:dyDescent="0.25">
      <c r="A161" s="27" t="s">
        <v>758</v>
      </c>
      <c r="B161" s="27" t="s">
        <v>746</v>
      </c>
      <c r="C161" s="27" t="s">
        <v>68</v>
      </c>
      <c r="D161" s="28" t="s">
        <v>112</v>
      </c>
      <c r="E161" s="28" t="s">
        <v>140</v>
      </c>
      <c r="F161" s="28" t="s">
        <v>113</v>
      </c>
      <c r="G161" s="28" t="s">
        <v>73</v>
      </c>
      <c r="H161" s="28" t="s">
        <v>114</v>
      </c>
      <c r="I161" s="28" t="s">
        <v>1016</v>
      </c>
      <c r="J161" s="27" t="s">
        <v>754</v>
      </c>
      <c r="K161" s="27" t="s">
        <v>844</v>
      </c>
    </row>
    <row r="162" spans="1:11" ht="13.8" thickBot="1" x14ac:dyDescent="0.25">
      <c r="A162" s="27" t="s">
        <v>781</v>
      </c>
      <c r="B162" s="27" t="s">
        <v>746</v>
      </c>
      <c r="C162" s="27" t="s">
        <v>69</v>
      </c>
      <c r="D162" s="28" t="s">
        <v>112</v>
      </c>
      <c r="E162" s="28" t="s">
        <v>140</v>
      </c>
      <c r="F162" s="28" t="s">
        <v>113</v>
      </c>
      <c r="G162" s="28" t="s">
        <v>73</v>
      </c>
      <c r="H162" s="28" t="s">
        <v>114</v>
      </c>
      <c r="I162" s="28" t="s">
        <v>1022</v>
      </c>
      <c r="J162" s="27" t="s">
        <v>754</v>
      </c>
      <c r="K162" s="27" t="s">
        <v>844</v>
      </c>
    </row>
    <row r="163" spans="1:11" ht="13.8" thickBot="1" x14ac:dyDescent="0.25">
      <c r="A163" s="27" t="s">
        <v>802</v>
      </c>
      <c r="B163" s="27" t="s">
        <v>746</v>
      </c>
      <c r="C163" s="27" t="s">
        <v>70</v>
      </c>
      <c r="D163" s="28" t="s">
        <v>103</v>
      </c>
      <c r="E163" s="28" t="s">
        <v>145</v>
      </c>
      <c r="F163" s="28" t="s">
        <v>104</v>
      </c>
      <c r="G163" s="28" t="s">
        <v>37</v>
      </c>
      <c r="H163" s="28" t="s">
        <v>119</v>
      </c>
      <c r="I163" s="28"/>
      <c r="J163" s="27" t="s">
        <v>756</v>
      </c>
      <c r="K163" s="27" t="s">
        <v>805</v>
      </c>
    </row>
    <row r="164" spans="1:11" ht="13.8" thickBot="1" x14ac:dyDescent="0.25">
      <c r="A164" s="27" t="s">
        <v>770</v>
      </c>
      <c r="B164" s="27" t="s">
        <v>746</v>
      </c>
      <c r="C164" s="27" t="s">
        <v>71</v>
      </c>
      <c r="D164" s="28" t="s">
        <v>112</v>
      </c>
      <c r="E164" s="28" t="s">
        <v>140</v>
      </c>
      <c r="F164" s="28" t="s">
        <v>113</v>
      </c>
      <c r="G164" s="28" t="s">
        <v>73</v>
      </c>
      <c r="H164" s="28" t="s">
        <v>114</v>
      </c>
      <c r="I164" s="28" t="s">
        <v>1020</v>
      </c>
      <c r="J164" s="27" t="s">
        <v>756</v>
      </c>
      <c r="K164" s="27" t="s">
        <v>1032</v>
      </c>
    </row>
    <row r="165" spans="1:11" ht="13.8" thickBot="1" x14ac:dyDescent="0.25">
      <c r="A165" s="27" t="s">
        <v>935</v>
      </c>
      <c r="B165" s="27" t="s">
        <v>746</v>
      </c>
      <c r="C165" s="27" t="s">
        <v>72</v>
      </c>
      <c r="D165" s="28" t="s">
        <v>90</v>
      </c>
      <c r="E165" s="28" t="s">
        <v>145</v>
      </c>
      <c r="F165" s="28" t="s">
        <v>91</v>
      </c>
      <c r="G165" s="28" t="s">
        <v>13</v>
      </c>
      <c r="H165" s="28" t="s">
        <v>92</v>
      </c>
      <c r="I165" s="28"/>
      <c r="J165" s="27" t="s">
        <v>756</v>
      </c>
      <c r="K165" s="27" t="s">
        <v>846</v>
      </c>
    </row>
    <row r="166" spans="1:11" ht="13.8" thickBot="1" x14ac:dyDescent="0.25">
      <c r="A166" s="27" t="s">
        <v>785</v>
      </c>
      <c r="B166" s="27" t="s">
        <v>746</v>
      </c>
      <c r="C166" s="27" t="s">
        <v>74</v>
      </c>
      <c r="D166" s="28" t="s">
        <v>95</v>
      </c>
      <c r="E166" s="28" t="s">
        <v>145</v>
      </c>
      <c r="F166" s="28" t="s">
        <v>96</v>
      </c>
      <c r="G166" s="28" t="s">
        <v>37</v>
      </c>
      <c r="H166" s="28" t="s">
        <v>97</v>
      </c>
      <c r="I166" s="28"/>
      <c r="J166" s="27" t="s">
        <v>749</v>
      </c>
      <c r="K166" s="27" t="s">
        <v>846</v>
      </c>
    </row>
    <row r="167" spans="1:11" ht="13.8" thickBot="1" x14ac:dyDescent="0.25">
      <c r="A167" s="27" t="s">
        <v>768</v>
      </c>
      <c r="B167" s="27" t="s">
        <v>746</v>
      </c>
      <c r="C167" s="27" t="s">
        <v>75</v>
      </c>
      <c r="D167" s="28" t="s">
        <v>122</v>
      </c>
      <c r="E167" s="28" t="s">
        <v>12</v>
      </c>
      <c r="F167" s="28" t="s">
        <v>105</v>
      </c>
      <c r="G167" s="28" t="s">
        <v>13</v>
      </c>
      <c r="H167" s="28" t="s">
        <v>123</v>
      </c>
      <c r="I167" s="28" t="s">
        <v>1018</v>
      </c>
      <c r="J167" s="27" t="s">
        <v>749</v>
      </c>
      <c r="K167" s="27" t="s">
        <v>934</v>
      </c>
    </row>
    <row r="168" spans="1:11" ht="13.8" thickBot="1" x14ac:dyDescent="0.25">
      <c r="A168" s="27" t="s">
        <v>936</v>
      </c>
      <c r="B168" s="27" t="s">
        <v>746</v>
      </c>
      <c r="C168" s="27" t="s">
        <v>76</v>
      </c>
      <c r="D168" s="28" t="s">
        <v>90</v>
      </c>
      <c r="E168" s="28" t="s">
        <v>1233</v>
      </c>
      <c r="F168" s="28" t="s">
        <v>91</v>
      </c>
      <c r="G168" s="28" t="s">
        <v>13</v>
      </c>
      <c r="H168" s="28" t="s">
        <v>92</v>
      </c>
      <c r="I168" s="28" t="s">
        <v>1234</v>
      </c>
      <c r="J168" s="27" t="s">
        <v>749</v>
      </c>
      <c r="K168" s="27" t="s">
        <v>932</v>
      </c>
    </row>
    <row r="169" spans="1:11" ht="13.8" thickBot="1" x14ac:dyDescent="0.25">
      <c r="A169" s="27" t="s">
        <v>788</v>
      </c>
      <c r="B169" s="27" t="s">
        <v>746</v>
      </c>
      <c r="C169" s="27" t="s">
        <v>77</v>
      </c>
      <c r="D169" s="28" t="s">
        <v>103</v>
      </c>
      <c r="E169" s="28" t="s">
        <v>145</v>
      </c>
      <c r="F169" s="28" t="s">
        <v>104</v>
      </c>
      <c r="G169" s="28" t="s">
        <v>37</v>
      </c>
      <c r="H169" s="28" t="s">
        <v>119</v>
      </c>
      <c r="I169" s="28"/>
      <c r="J169" s="27" t="s">
        <v>772</v>
      </c>
      <c r="K169" s="27" t="s">
        <v>846</v>
      </c>
    </row>
    <row r="170" spans="1:11" ht="13.8" thickBot="1" x14ac:dyDescent="0.25">
      <c r="A170" s="27" t="s">
        <v>757</v>
      </c>
      <c r="B170" s="27" t="s">
        <v>746</v>
      </c>
      <c r="C170" s="27" t="s">
        <v>185</v>
      </c>
      <c r="D170" s="28" t="s">
        <v>112</v>
      </c>
      <c r="E170" s="28" t="s">
        <v>140</v>
      </c>
      <c r="F170" s="28" t="s">
        <v>113</v>
      </c>
      <c r="G170" s="28" t="s">
        <v>73</v>
      </c>
      <c r="H170" s="28" t="s">
        <v>114</v>
      </c>
      <c r="I170" s="28" t="s">
        <v>1015</v>
      </c>
      <c r="J170" s="27" t="s">
        <v>772</v>
      </c>
      <c r="K170" s="27" t="s">
        <v>932</v>
      </c>
    </row>
    <row r="171" spans="1:11" ht="13.8" thickBot="1" x14ac:dyDescent="0.25">
      <c r="A171" s="27" t="s">
        <v>773</v>
      </c>
      <c r="B171" s="27" t="s">
        <v>746</v>
      </c>
      <c r="C171" s="27" t="s">
        <v>186</v>
      </c>
      <c r="D171" s="28" t="s">
        <v>132</v>
      </c>
      <c r="E171" s="28" t="s">
        <v>78</v>
      </c>
      <c r="F171" s="28" t="s">
        <v>106</v>
      </c>
      <c r="G171" s="28" t="s">
        <v>73</v>
      </c>
      <c r="H171" s="28" t="s">
        <v>133</v>
      </c>
      <c r="I171" s="28" t="s">
        <v>1235</v>
      </c>
      <c r="J171" s="27" t="s">
        <v>772</v>
      </c>
      <c r="K171" s="27" t="s">
        <v>1050</v>
      </c>
    </row>
    <row r="172" spans="1:11" ht="13.8" thickBot="1" x14ac:dyDescent="0.25">
      <c r="A172" s="27" t="s">
        <v>764</v>
      </c>
      <c r="B172" s="27" t="s">
        <v>746</v>
      </c>
      <c r="C172" s="27" t="s">
        <v>199</v>
      </c>
      <c r="D172" s="28" t="s">
        <v>95</v>
      </c>
      <c r="E172" s="28" t="s">
        <v>527</v>
      </c>
      <c r="F172" s="28" t="s">
        <v>96</v>
      </c>
      <c r="G172" s="28" t="s">
        <v>37</v>
      </c>
      <c r="H172" s="28" t="s">
        <v>97</v>
      </c>
      <c r="I172" s="28"/>
      <c r="J172" s="27" t="s">
        <v>801</v>
      </c>
      <c r="K172" s="27" t="s">
        <v>934</v>
      </c>
    </row>
    <row r="173" spans="1:11" ht="13.8" thickBot="1" x14ac:dyDescent="0.25">
      <c r="A173" s="27" t="s">
        <v>782</v>
      </c>
      <c r="B173" s="27" t="s">
        <v>746</v>
      </c>
      <c r="C173" s="27" t="s">
        <v>251</v>
      </c>
      <c r="D173" s="28" t="s">
        <v>112</v>
      </c>
      <c r="E173" s="28" t="s">
        <v>140</v>
      </c>
      <c r="F173" s="28" t="s">
        <v>113</v>
      </c>
      <c r="G173" s="28" t="s">
        <v>73</v>
      </c>
      <c r="H173" s="28" t="s">
        <v>114</v>
      </c>
      <c r="I173" s="28" t="s">
        <v>1023</v>
      </c>
      <c r="J173" s="27" t="s">
        <v>801</v>
      </c>
      <c r="K173" s="27" t="s">
        <v>937</v>
      </c>
    </row>
    <row r="174" spans="1:11" ht="13.8" thickBot="1" x14ac:dyDescent="0.25">
      <c r="A174" s="27" t="s">
        <v>940</v>
      </c>
      <c r="B174" s="27" t="s">
        <v>746</v>
      </c>
      <c r="C174" s="27" t="s">
        <v>252</v>
      </c>
      <c r="D174" s="28" t="s">
        <v>95</v>
      </c>
      <c r="E174" s="28" t="s">
        <v>145</v>
      </c>
      <c r="F174" s="28" t="s">
        <v>96</v>
      </c>
      <c r="G174" s="28" t="s">
        <v>37</v>
      </c>
      <c r="H174" s="28" t="s">
        <v>97</v>
      </c>
      <c r="I174" s="28"/>
      <c r="J174" s="27" t="s">
        <v>801</v>
      </c>
      <c r="K174" s="27" t="s">
        <v>934</v>
      </c>
    </row>
    <row r="175" spans="1:11" ht="13.8" thickBot="1" x14ac:dyDescent="0.25">
      <c r="A175" s="27" t="s">
        <v>806</v>
      </c>
      <c r="B175" s="27" t="s">
        <v>746</v>
      </c>
      <c r="C175" s="27" t="s">
        <v>253</v>
      </c>
      <c r="D175" s="28" t="s">
        <v>103</v>
      </c>
      <c r="E175" s="28" t="s">
        <v>145</v>
      </c>
      <c r="F175" s="28" t="s">
        <v>104</v>
      </c>
      <c r="G175" s="28" t="s">
        <v>37</v>
      </c>
      <c r="H175" s="28" t="s">
        <v>119</v>
      </c>
      <c r="I175" s="28"/>
      <c r="J175" s="27" t="s">
        <v>787</v>
      </c>
      <c r="K175" s="27" t="s">
        <v>934</v>
      </c>
    </row>
    <row r="176" spans="1:11" ht="13.8" thickBot="1" x14ac:dyDescent="0.25">
      <c r="A176" s="27" t="s">
        <v>765</v>
      </c>
      <c r="B176" s="27" t="s">
        <v>746</v>
      </c>
      <c r="C176" s="27" t="s">
        <v>569</v>
      </c>
      <c r="D176" s="28" t="s">
        <v>95</v>
      </c>
      <c r="E176" s="28" t="s">
        <v>527</v>
      </c>
      <c r="F176" s="28" t="s">
        <v>96</v>
      </c>
      <c r="G176" s="28" t="s">
        <v>37</v>
      </c>
      <c r="H176" s="28" t="s">
        <v>97</v>
      </c>
      <c r="I176" s="28"/>
      <c r="J176" s="27" t="s">
        <v>787</v>
      </c>
      <c r="K176" s="27" t="s">
        <v>937</v>
      </c>
    </row>
    <row r="177" spans="1:11" ht="13.8" thickBot="1" x14ac:dyDescent="0.25">
      <c r="A177" s="27" t="s">
        <v>941</v>
      </c>
      <c r="B177" s="27" t="s">
        <v>746</v>
      </c>
      <c r="C177" s="27" t="s">
        <v>571</v>
      </c>
      <c r="D177" s="28" t="s">
        <v>95</v>
      </c>
      <c r="E177" s="28" t="s">
        <v>145</v>
      </c>
      <c r="F177" s="28" t="s">
        <v>96</v>
      </c>
      <c r="G177" s="28" t="s">
        <v>37</v>
      </c>
      <c r="H177" s="28" t="s">
        <v>97</v>
      </c>
      <c r="I177" s="28"/>
      <c r="J177" s="27" t="s">
        <v>787</v>
      </c>
      <c r="K177" s="27" t="s">
        <v>937</v>
      </c>
    </row>
    <row r="178" spans="1:11" ht="13.8" thickBot="1" x14ac:dyDescent="0.25">
      <c r="A178" s="27" t="s">
        <v>1156</v>
      </c>
      <c r="B178" s="27" t="s">
        <v>1036</v>
      </c>
      <c r="C178" s="27" t="s">
        <v>11</v>
      </c>
      <c r="D178" s="28" t="s">
        <v>79</v>
      </c>
      <c r="E178" s="28" t="s">
        <v>1236</v>
      </c>
      <c r="F178" s="28" t="s">
        <v>80</v>
      </c>
      <c r="G178" s="28" t="s">
        <v>13</v>
      </c>
      <c r="H178" s="28" t="s">
        <v>124</v>
      </c>
      <c r="I178" s="28" t="s">
        <v>1237</v>
      </c>
      <c r="J178" s="27" t="s">
        <v>747</v>
      </c>
      <c r="K178" s="27" t="s">
        <v>863</v>
      </c>
    </row>
    <row r="179" spans="1:11" ht="13.8" thickBot="1" x14ac:dyDescent="0.25">
      <c r="A179" s="27" t="s">
        <v>1037</v>
      </c>
      <c r="B179" s="27" t="s">
        <v>1036</v>
      </c>
      <c r="C179" s="27" t="s">
        <v>14</v>
      </c>
      <c r="D179" s="28" t="s">
        <v>187</v>
      </c>
      <c r="E179" s="28" t="s">
        <v>1238</v>
      </c>
      <c r="F179" s="28" t="s">
        <v>188</v>
      </c>
      <c r="G179" s="28" t="s">
        <v>13</v>
      </c>
      <c r="H179" s="28" t="s">
        <v>189</v>
      </c>
      <c r="I179" s="28" t="s">
        <v>1239</v>
      </c>
      <c r="J179" s="27" t="s">
        <v>754</v>
      </c>
      <c r="K179" s="27" t="s">
        <v>1038</v>
      </c>
    </row>
    <row r="180" spans="1:11" ht="13.8" thickBot="1" x14ac:dyDescent="0.25">
      <c r="A180" s="27" t="s">
        <v>1157</v>
      </c>
      <c r="B180" s="27" t="s">
        <v>1036</v>
      </c>
      <c r="C180" s="27" t="s">
        <v>15</v>
      </c>
      <c r="D180" s="28" t="s">
        <v>98</v>
      </c>
      <c r="E180" s="28" t="s">
        <v>1240</v>
      </c>
      <c r="F180" s="28" t="s">
        <v>94</v>
      </c>
      <c r="G180" s="28" t="s">
        <v>13</v>
      </c>
      <c r="H180" s="28" t="s">
        <v>99</v>
      </c>
      <c r="I180" s="28" t="s">
        <v>1241</v>
      </c>
      <c r="J180" s="27" t="s">
        <v>756</v>
      </c>
      <c r="K180" s="27" t="s">
        <v>1050</v>
      </c>
    </row>
    <row r="181" spans="1:11" ht="13.8" thickBot="1" x14ac:dyDescent="0.25">
      <c r="A181" s="27" t="s">
        <v>1039</v>
      </c>
      <c r="B181" s="27" t="s">
        <v>1036</v>
      </c>
      <c r="C181" s="27" t="s">
        <v>16</v>
      </c>
      <c r="D181" s="28" t="s">
        <v>187</v>
      </c>
      <c r="E181" s="28" t="s">
        <v>1242</v>
      </c>
      <c r="F181" s="28" t="s">
        <v>188</v>
      </c>
      <c r="G181" s="28" t="s">
        <v>13</v>
      </c>
      <c r="H181" s="28" t="s">
        <v>189</v>
      </c>
      <c r="I181" s="28" t="s">
        <v>1243</v>
      </c>
      <c r="J181" s="27" t="s">
        <v>756</v>
      </c>
      <c r="K181" s="27" t="s">
        <v>1038</v>
      </c>
    </row>
    <row r="182" spans="1:11" ht="13.8" thickBot="1" x14ac:dyDescent="0.25">
      <c r="A182" s="27" t="s">
        <v>1158</v>
      </c>
      <c r="B182" s="27" t="s">
        <v>1036</v>
      </c>
      <c r="C182" s="27" t="s">
        <v>17</v>
      </c>
      <c r="D182" s="28" t="s">
        <v>98</v>
      </c>
      <c r="E182" s="28" t="s">
        <v>78</v>
      </c>
      <c r="F182" s="28" t="s">
        <v>94</v>
      </c>
      <c r="G182" s="28" t="s">
        <v>13</v>
      </c>
      <c r="H182" s="28" t="s">
        <v>99</v>
      </c>
      <c r="I182" s="28" t="s">
        <v>1244</v>
      </c>
      <c r="J182" s="27" t="s">
        <v>760</v>
      </c>
      <c r="K182" s="27" t="s">
        <v>932</v>
      </c>
    </row>
    <row r="183" spans="1:11" ht="13.8" thickBot="1" x14ac:dyDescent="0.25">
      <c r="A183" s="27" t="s">
        <v>753</v>
      </c>
      <c r="B183" s="27" t="s">
        <v>1036</v>
      </c>
      <c r="C183" s="27" t="s">
        <v>18</v>
      </c>
      <c r="D183" s="28" t="s">
        <v>81</v>
      </c>
      <c r="E183" s="28" t="s">
        <v>145</v>
      </c>
      <c r="F183" s="28" t="s">
        <v>82</v>
      </c>
      <c r="G183" s="28" t="s">
        <v>13</v>
      </c>
      <c r="H183" s="28" t="s">
        <v>100</v>
      </c>
      <c r="I183" s="28"/>
      <c r="J183" s="27" t="s">
        <v>749</v>
      </c>
      <c r="K183" s="27" t="s">
        <v>934</v>
      </c>
    </row>
    <row r="184" spans="1:11" ht="13.8" thickBot="1" x14ac:dyDescent="0.25">
      <c r="A184" s="27" t="s">
        <v>755</v>
      </c>
      <c r="B184" s="27" t="s">
        <v>1036</v>
      </c>
      <c r="C184" s="27" t="s">
        <v>19</v>
      </c>
      <c r="D184" s="28" t="s">
        <v>81</v>
      </c>
      <c r="E184" s="28" t="s">
        <v>145</v>
      </c>
      <c r="F184" s="28" t="s">
        <v>82</v>
      </c>
      <c r="G184" s="28" t="s">
        <v>13</v>
      </c>
      <c r="H184" s="28" t="s">
        <v>100</v>
      </c>
      <c r="I184" s="28"/>
      <c r="J184" s="27" t="s">
        <v>749</v>
      </c>
      <c r="K184" s="27" t="s">
        <v>934</v>
      </c>
    </row>
    <row r="185" spans="1:11" ht="13.8" thickBot="1" x14ac:dyDescent="0.25">
      <c r="A185" s="27" t="s">
        <v>759</v>
      </c>
      <c r="B185" s="27" t="s">
        <v>1036</v>
      </c>
      <c r="C185" s="27" t="s">
        <v>20</v>
      </c>
      <c r="D185" s="28" t="s">
        <v>81</v>
      </c>
      <c r="E185" s="28" t="s">
        <v>145</v>
      </c>
      <c r="F185" s="28" t="s">
        <v>82</v>
      </c>
      <c r="G185" s="28" t="s">
        <v>13</v>
      </c>
      <c r="H185" s="28" t="s">
        <v>100</v>
      </c>
      <c r="I185" s="28"/>
      <c r="J185" s="27" t="s">
        <v>772</v>
      </c>
      <c r="K185" s="27" t="s">
        <v>937</v>
      </c>
    </row>
    <row r="186" spans="1:11" ht="13.8" thickBot="1" x14ac:dyDescent="0.25">
      <c r="A186" s="27" t="s">
        <v>766</v>
      </c>
      <c r="B186" s="27" t="s">
        <v>1036</v>
      </c>
      <c r="C186" s="27" t="s">
        <v>21</v>
      </c>
      <c r="D186" s="28" t="s">
        <v>81</v>
      </c>
      <c r="E186" s="28" t="s">
        <v>145</v>
      </c>
      <c r="F186" s="28" t="s">
        <v>82</v>
      </c>
      <c r="G186" s="28" t="s">
        <v>13</v>
      </c>
      <c r="H186" s="28" t="s">
        <v>100</v>
      </c>
      <c r="I186" s="28"/>
      <c r="J186" s="27" t="s">
        <v>776</v>
      </c>
      <c r="K186" s="27" t="s">
        <v>863</v>
      </c>
    </row>
    <row r="187" spans="1:11" ht="13.8" thickBot="1" x14ac:dyDescent="0.25">
      <c r="A187" s="27" t="s">
        <v>1042</v>
      </c>
      <c r="B187" s="27" t="s">
        <v>1036</v>
      </c>
      <c r="C187" s="27" t="s">
        <v>22</v>
      </c>
      <c r="D187" s="28" t="s">
        <v>122</v>
      </c>
      <c r="E187" s="28" t="s">
        <v>1245</v>
      </c>
      <c r="F187" s="28" t="s">
        <v>105</v>
      </c>
      <c r="G187" s="28" t="s">
        <v>13</v>
      </c>
      <c r="H187" s="28" t="s">
        <v>123</v>
      </c>
      <c r="I187" s="28" t="s">
        <v>1246</v>
      </c>
      <c r="J187" s="27" t="s">
        <v>801</v>
      </c>
      <c r="K187" s="27" t="s">
        <v>1038</v>
      </c>
    </row>
    <row r="188" spans="1:11" ht="13.8" thickBot="1" x14ac:dyDescent="0.25">
      <c r="A188" s="27" t="s">
        <v>1043</v>
      </c>
      <c r="B188" s="27" t="s">
        <v>1036</v>
      </c>
      <c r="C188" s="27" t="s">
        <v>23</v>
      </c>
      <c r="D188" s="28" t="s">
        <v>122</v>
      </c>
      <c r="E188" s="28" t="s">
        <v>1247</v>
      </c>
      <c r="F188" s="28" t="s">
        <v>105</v>
      </c>
      <c r="G188" s="28" t="s">
        <v>13</v>
      </c>
      <c r="H188" s="28" t="s">
        <v>123</v>
      </c>
      <c r="I188" s="28" t="s">
        <v>1248</v>
      </c>
      <c r="J188" s="27" t="s">
        <v>801</v>
      </c>
      <c r="K188" s="27" t="s">
        <v>1038</v>
      </c>
    </row>
    <row r="189" spans="1:11" ht="13.8" thickBot="1" x14ac:dyDescent="0.25">
      <c r="A189" s="27" t="s">
        <v>1159</v>
      </c>
      <c r="B189" s="27" t="s">
        <v>1036</v>
      </c>
      <c r="C189" s="27" t="s">
        <v>24</v>
      </c>
      <c r="D189" s="28" t="s">
        <v>122</v>
      </c>
      <c r="E189" s="28" t="s">
        <v>12</v>
      </c>
      <c r="F189" s="28" t="s">
        <v>105</v>
      </c>
      <c r="G189" s="28" t="s">
        <v>13</v>
      </c>
      <c r="H189" s="28" t="s">
        <v>123</v>
      </c>
      <c r="I189" s="28" t="s">
        <v>1249</v>
      </c>
      <c r="J189" s="27" t="s">
        <v>787</v>
      </c>
      <c r="K189" s="27" t="s">
        <v>1040</v>
      </c>
    </row>
    <row r="190" spans="1:11" ht="13.8" thickBot="1" x14ac:dyDescent="0.25">
      <c r="A190" s="27" t="s">
        <v>1161</v>
      </c>
      <c r="B190" s="27" t="s">
        <v>1036</v>
      </c>
      <c r="C190" s="27" t="s">
        <v>25</v>
      </c>
      <c r="D190" s="28" t="s">
        <v>122</v>
      </c>
      <c r="E190" s="28" t="s">
        <v>140</v>
      </c>
      <c r="F190" s="28" t="s">
        <v>105</v>
      </c>
      <c r="G190" s="28" t="s">
        <v>13</v>
      </c>
      <c r="H190" s="28" t="s">
        <v>123</v>
      </c>
      <c r="I190" s="28" t="s">
        <v>1250</v>
      </c>
      <c r="J190" s="27" t="s">
        <v>790</v>
      </c>
      <c r="K190" s="27" t="s">
        <v>1041</v>
      </c>
    </row>
    <row r="191" spans="1:11" ht="13.8" thickBot="1" x14ac:dyDescent="0.25">
      <c r="A191" s="27" t="s">
        <v>1251</v>
      </c>
      <c r="B191" s="27" t="s">
        <v>1036</v>
      </c>
      <c r="C191" s="27" t="s">
        <v>26</v>
      </c>
      <c r="D191" s="28" t="s">
        <v>81</v>
      </c>
      <c r="E191" s="28" t="s">
        <v>145</v>
      </c>
      <c r="F191" s="28" t="s">
        <v>82</v>
      </c>
      <c r="G191" s="28" t="s">
        <v>13</v>
      </c>
      <c r="H191" s="28" t="s">
        <v>100</v>
      </c>
      <c r="I191" s="28"/>
      <c r="J191" s="27" t="s">
        <v>790</v>
      </c>
      <c r="K191" s="27" t="s">
        <v>1041</v>
      </c>
    </row>
    <row r="192" spans="1:11" ht="13.8" thickBot="1" x14ac:dyDescent="0.25">
      <c r="A192" s="27" t="s">
        <v>1160</v>
      </c>
      <c r="B192" s="27" t="s">
        <v>1036</v>
      </c>
      <c r="C192" s="27" t="s">
        <v>27</v>
      </c>
      <c r="D192" s="28" t="s">
        <v>90</v>
      </c>
      <c r="E192" s="28" t="s">
        <v>145</v>
      </c>
      <c r="F192" s="28" t="s">
        <v>91</v>
      </c>
      <c r="G192" s="28" t="s">
        <v>13</v>
      </c>
      <c r="H192" s="28" t="s">
        <v>92</v>
      </c>
      <c r="I192" s="28"/>
      <c r="J192" s="27" t="s">
        <v>799</v>
      </c>
      <c r="K192" s="27" t="s">
        <v>1041</v>
      </c>
    </row>
    <row r="193" spans="1:11" ht="13.8" thickBot="1" x14ac:dyDescent="0.25">
      <c r="A193" s="27" t="s">
        <v>1162</v>
      </c>
      <c r="B193" s="27" t="s">
        <v>1036</v>
      </c>
      <c r="C193" s="27" t="s">
        <v>28</v>
      </c>
      <c r="D193" s="28" t="s">
        <v>90</v>
      </c>
      <c r="E193" s="28" t="s">
        <v>145</v>
      </c>
      <c r="F193" s="28" t="s">
        <v>91</v>
      </c>
      <c r="G193" s="28" t="s">
        <v>13</v>
      </c>
      <c r="H193" s="28" t="s">
        <v>92</v>
      </c>
      <c r="I193" s="28"/>
      <c r="J193" s="27" t="s">
        <v>805</v>
      </c>
      <c r="K193" s="27" t="s">
        <v>1045</v>
      </c>
    </row>
    <row r="194" spans="1:11" ht="13.8" thickBot="1" x14ac:dyDescent="0.25">
      <c r="A194" s="27" t="s">
        <v>1163</v>
      </c>
      <c r="B194" s="27" t="s">
        <v>1036</v>
      </c>
      <c r="C194" s="27" t="s">
        <v>29</v>
      </c>
      <c r="D194" s="28" t="s">
        <v>90</v>
      </c>
      <c r="E194" s="28" t="s">
        <v>145</v>
      </c>
      <c r="F194" s="28" t="s">
        <v>91</v>
      </c>
      <c r="G194" s="28" t="s">
        <v>13</v>
      </c>
      <c r="H194" s="28" t="s">
        <v>92</v>
      </c>
      <c r="I194" s="28"/>
      <c r="J194" s="27" t="s">
        <v>805</v>
      </c>
      <c r="K194" s="27" t="s">
        <v>1045</v>
      </c>
    </row>
    <row r="195" spans="1:11" ht="13.8" thickBot="1" x14ac:dyDescent="0.25">
      <c r="A195" s="27" t="s">
        <v>1164</v>
      </c>
      <c r="B195" s="27" t="s">
        <v>1036</v>
      </c>
      <c r="C195" s="27" t="s">
        <v>31</v>
      </c>
      <c r="D195" s="28" t="s">
        <v>90</v>
      </c>
      <c r="E195" s="28" t="s">
        <v>145</v>
      </c>
      <c r="F195" s="28" t="s">
        <v>91</v>
      </c>
      <c r="G195" s="28" t="s">
        <v>13</v>
      </c>
      <c r="H195" s="28" t="s">
        <v>92</v>
      </c>
      <c r="I195" s="28"/>
      <c r="J195" s="27" t="s">
        <v>844</v>
      </c>
      <c r="K195" s="27" t="s">
        <v>1045</v>
      </c>
    </row>
    <row r="196" spans="1:11" ht="13.8" thickBot="1" x14ac:dyDescent="0.25">
      <c r="A196" s="27" t="s">
        <v>1048</v>
      </c>
      <c r="B196" s="27" t="s">
        <v>1036</v>
      </c>
      <c r="C196" s="27" t="s">
        <v>32</v>
      </c>
      <c r="D196" s="28" t="s">
        <v>112</v>
      </c>
      <c r="E196" s="28" t="s">
        <v>1252</v>
      </c>
      <c r="F196" s="28" t="s">
        <v>113</v>
      </c>
      <c r="G196" s="28" t="s">
        <v>73</v>
      </c>
      <c r="H196" s="28" t="s">
        <v>114</v>
      </c>
      <c r="I196" s="28" t="s">
        <v>1253</v>
      </c>
      <c r="J196" s="27" t="s">
        <v>1032</v>
      </c>
      <c r="K196" s="27" t="s">
        <v>1045</v>
      </c>
    </row>
    <row r="197" spans="1:11" ht="13.8" thickBot="1" x14ac:dyDescent="0.25">
      <c r="A197" s="27" t="s">
        <v>1254</v>
      </c>
      <c r="B197" s="27" t="s">
        <v>1036</v>
      </c>
      <c r="C197" s="27" t="s">
        <v>34</v>
      </c>
      <c r="D197" s="28" t="s">
        <v>90</v>
      </c>
      <c r="E197" s="28" t="s">
        <v>145</v>
      </c>
      <c r="F197" s="28" t="s">
        <v>91</v>
      </c>
      <c r="G197" s="28" t="s">
        <v>13</v>
      </c>
      <c r="H197" s="28" t="s">
        <v>92</v>
      </c>
      <c r="I197" s="28"/>
      <c r="J197" s="27" t="s">
        <v>1032</v>
      </c>
      <c r="K197" s="27" t="s">
        <v>1046</v>
      </c>
    </row>
    <row r="198" spans="1:11" ht="13.8" thickBot="1" x14ac:dyDescent="0.25">
      <c r="A198" s="27" t="s">
        <v>1049</v>
      </c>
      <c r="B198" s="27" t="s">
        <v>1036</v>
      </c>
      <c r="C198" s="27" t="s">
        <v>35</v>
      </c>
      <c r="D198" s="28" t="s">
        <v>112</v>
      </c>
      <c r="E198" s="28" t="s">
        <v>1252</v>
      </c>
      <c r="F198" s="28" t="s">
        <v>113</v>
      </c>
      <c r="G198" s="28" t="s">
        <v>73</v>
      </c>
      <c r="H198" s="28" t="s">
        <v>114</v>
      </c>
      <c r="I198" s="28" t="s">
        <v>1255</v>
      </c>
      <c r="J198" s="27" t="s">
        <v>846</v>
      </c>
      <c r="K198" s="27" t="s">
        <v>1046</v>
      </c>
    </row>
    <row r="199" spans="1:11" ht="13.8" thickBot="1" x14ac:dyDescent="0.25">
      <c r="A199" s="27" t="s">
        <v>1165</v>
      </c>
      <c r="B199" s="27" t="s">
        <v>1036</v>
      </c>
      <c r="C199" s="27" t="s">
        <v>36</v>
      </c>
      <c r="D199" s="28" t="s">
        <v>112</v>
      </c>
      <c r="E199" s="28" t="s">
        <v>181</v>
      </c>
      <c r="F199" s="28" t="s">
        <v>113</v>
      </c>
      <c r="G199" s="28" t="s">
        <v>73</v>
      </c>
      <c r="H199" s="28" t="s">
        <v>114</v>
      </c>
      <c r="I199" s="28"/>
      <c r="J199" s="27" t="s">
        <v>1050</v>
      </c>
      <c r="K199" s="27" t="s">
        <v>1047</v>
      </c>
    </row>
    <row r="200" spans="1:11" ht="13.8" thickBot="1" x14ac:dyDescent="0.25">
      <c r="A200" s="27" t="s">
        <v>1166</v>
      </c>
      <c r="B200" s="27" t="s">
        <v>1036</v>
      </c>
      <c r="C200" s="27" t="s">
        <v>38</v>
      </c>
      <c r="D200" s="28" t="s">
        <v>112</v>
      </c>
      <c r="E200" s="28" t="s">
        <v>529</v>
      </c>
      <c r="F200" s="28" t="s">
        <v>113</v>
      </c>
      <c r="G200" s="28" t="s">
        <v>73</v>
      </c>
      <c r="H200" s="28" t="s">
        <v>114</v>
      </c>
      <c r="I200" s="28"/>
      <c r="J200" s="27" t="s">
        <v>1050</v>
      </c>
      <c r="K200" s="27" t="s">
        <v>1047</v>
      </c>
    </row>
    <row r="201" spans="1:11" ht="13.8" thickBot="1" x14ac:dyDescent="0.25">
      <c r="A201" s="27" t="s">
        <v>1170</v>
      </c>
      <c r="B201" s="27" t="s">
        <v>1036</v>
      </c>
      <c r="C201" s="27" t="s">
        <v>39</v>
      </c>
      <c r="D201" s="28" t="s">
        <v>120</v>
      </c>
      <c r="E201" s="28" t="s">
        <v>181</v>
      </c>
      <c r="F201" s="28" t="s">
        <v>107</v>
      </c>
      <c r="G201" s="28" t="s">
        <v>73</v>
      </c>
      <c r="H201" s="28" t="s">
        <v>121</v>
      </c>
      <c r="I201" s="28"/>
      <c r="J201" s="27" t="s">
        <v>932</v>
      </c>
      <c r="K201" s="27" t="s">
        <v>1047</v>
      </c>
    </row>
    <row r="202" spans="1:11" ht="13.8" thickBot="1" x14ac:dyDescent="0.25">
      <c r="A202" s="27" t="s">
        <v>1167</v>
      </c>
      <c r="B202" s="27" t="s">
        <v>1036</v>
      </c>
      <c r="C202" s="27" t="s">
        <v>40</v>
      </c>
      <c r="D202" s="28" t="s">
        <v>95</v>
      </c>
      <c r="E202" s="28" t="s">
        <v>1168</v>
      </c>
      <c r="F202" s="28" t="s">
        <v>96</v>
      </c>
      <c r="G202" s="28" t="s">
        <v>73</v>
      </c>
      <c r="H202" s="28" t="s">
        <v>97</v>
      </c>
      <c r="I202" s="28" t="s">
        <v>1169</v>
      </c>
      <c r="J202" s="27" t="s">
        <v>932</v>
      </c>
      <c r="K202" s="27" t="s">
        <v>1051</v>
      </c>
    </row>
    <row r="203" spans="1:11" ht="13.8" thickBot="1" x14ac:dyDescent="0.25">
      <c r="A203" s="27" t="s">
        <v>1171</v>
      </c>
      <c r="B203" s="27" t="s">
        <v>1036</v>
      </c>
      <c r="C203" s="27" t="s">
        <v>41</v>
      </c>
      <c r="D203" s="28" t="s">
        <v>120</v>
      </c>
      <c r="E203" s="28" t="s">
        <v>181</v>
      </c>
      <c r="F203" s="28" t="s">
        <v>107</v>
      </c>
      <c r="G203" s="28" t="s">
        <v>73</v>
      </c>
      <c r="H203" s="28" t="s">
        <v>121</v>
      </c>
      <c r="I203" s="28"/>
      <c r="J203" s="27" t="s">
        <v>934</v>
      </c>
      <c r="K203" s="27" t="s">
        <v>1051</v>
      </c>
    </row>
    <row r="204" spans="1:11" ht="13.8" thickBot="1" x14ac:dyDescent="0.25">
      <c r="A204" s="27" t="s">
        <v>1172</v>
      </c>
      <c r="B204" s="27" t="s">
        <v>1036</v>
      </c>
      <c r="C204" s="27" t="s">
        <v>65</v>
      </c>
      <c r="D204" s="28" t="s">
        <v>120</v>
      </c>
      <c r="E204" s="28" t="s">
        <v>183</v>
      </c>
      <c r="F204" s="28" t="s">
        <v>107</v>
      </c>
      <c r="G204" s="28" t="s">
        <v>73</v>
      </c>
      <c r="H204" s="28" t="s">
        <v>121</v>
      </c>
      <c r="I204" s="28"/>
      <c r="J204" s="27" t="s">
        <v>934</v>
      </c>
      <c r="K204" s="27" t="s">
        <v>1051</v>
      </c>
    </row>
    <row r="205" spans="1:11" ht="13.8" thickBot="1" x14ac:dyDescent="0.25">
      <c r="A205" s="27" t="s">
        <v>1053</v>
      </c>
      <c r="B205" s="27" t="s">
        <v>1036</v>
      </c>
      <c r="C205" s="27" t="s">
        <v>66</v>
      </c>
      <c r="D205" s="28" t="s">
        <v>132</v>
      </c>
      <c r="E205" s="28" t="s">
        <v>1238</v>
      </c>
      <c r="F205" s="28" t="s">
        <v>106</v>
      </c>
      <c r="G205" s="28" t="s">
        <v>73</v>
      </c>
      <c r="H205" s="28" t="s">
        <v>133</v>
      </c>
      <c r="I205" s="28" t="s">
        <v>1256</v>
      </c>
      <c r="J205" s="27" t="s">
        <v>937</v>
      </c>
      <c r="K205" s="27" t="s">
        <v>1052</v>
      </c>
    </row>
    <row r="206" spans="1:11" ht="13.8" thickBot="1" x14ac:dyDescent="0.25">
      <c r="A206" s="27" t="s">
        <v>1055</v>
      </c>
      <c r="B206" s="27" t="s">
        <v>1036</v>
      </c>
      <c r="C206" s="27" t="s">
        <v>67</v>
      </c>
      <c r="D206" s="28" t="s">
        <v>132</v>
      </c>
      <c r="E206" s="28" t="s">
        <v>1238</v>
      </c>
      <c r="F206" s="28" t="s">
        <v>106</v>
      </c>
      <c r="G206" s="28" t="s">
        <v>73</v>
      </c>
      <c r="H206" s="28" t="s">
        <v>133</v>
      </c>
      <c r="I206" s="28" t="s">
        <v>1257</v>
      </c>
      <c r="J206" s="27" t="s">
        <v>863</v>
      </c>
      <c r="K206" s="27" t="s">
        <v>1054</v>
      </c>
    </row>
    <row r="207" spans="1:11" ht="13.8" thickBot="1" x14ac:dyDescent="0.25">
      <c r="A207" s="27" t="s">
        <v>780</v>
      </c>
      <c r="B207" s="27" t="s">
        <v>1036</v>
      </c>
      <c r="C207" s="27" t="s">
        <v>68</v>
      </c>
      <c r="D207" s="28" t="s">
        <v>132</v>
      </c>
      <c r="E207" s="28" t="s">
        <v>1173</v>
      </c>
      <c r="F207" s="28" t="s">
        <v>106</v>
      </c>
      <c r="G207" s="28" t="s">
        <v>73</v>
      </c>
      <c r="H207" s="28" t="s">
        <v>133</v>
      </c>
      <c r="I207" s="28" t="s">
        <v>1174</v>
      </c>
      <c r="J207" s="27" t="s">
        <v>863</v>
      </c>
      <c r="K207" s="27" t="s">
        <v>1054</v>
      </c>
    </row>
    <row r="208" spans="1:11" ht="13.8" thickBot="1" x14ac:dyDescent="0.25">
      <c r="A208" s="27" t="s">
        <v>1058</v>
      </c>
      <c r="B208" s="27" t="s">
        <v>1036</v>
      </c>
      <c r="C208" s="27" t="s">
        <v>69</v>
      </c>
      <c r="D208" s="28" t="s">
        <v>132</v>
      </c>
      <c r="E208" s="28" t="s">
        <v>1252</v>
      </c>
      <c r="F208" s="28" t="s">
        <v>106</v>
      </c>
      <c r="G208" s="28" t="s">
        <v>73</v>
      </c>
      <c r="H208" s="28" t="s">
        <v>133</v>
      </c>
      <c r="I208" s="28" t="s">
        <v>1258</v>
      </c>
      <c r="J208" s="27" t="s">
        <v>1038</v>
      </c>
      <c r="K208" s="27" t="s">
        <v>1056</v>
      </c>
    </row>
    <row r="209" spans="1:11" ht="13.8" thickBot="1" x14ac:dyDescent="0.25">
      <c r="A209" s="27" t="s">
        <v>1175</v>
      </c>
      <c r="B209" s="27" t="s">
        <v>1036</v>
      </c>
      <c r="C209" s="27" t="s">
        <v>70</v>
      </c>
      <c r="D209" s="28" t="s">
        <v>120</v>
      </c>
      <c r="E209" s="28" t="s">
        <v>183</v>
      </c>
      <c r="F209" s="28" t="s">
        <v>107</v>
      </c>
      <c r="G209" s="28" t="s">
        <v>73</v>
      </c>
      <c r="H209" s="28" t="s">
        <v>121</v>
      </c>
      <c r="I209" s="28"/>
      <c r="J209" s="27" t="s">
        <v>1038</v>
      </c>
      <c r="K209" s="27" t="s">
        <v>1056</v>
      </c>
    </row>
    <row r="210" spans="1:11" ht="13.8" thickBot="1" x14ac:dyDescent="0.25">
      <c r="A210" s="27" t="s">
        <v>1176</v>
      </c>
      <c r="B210" s="27" t="s">
        <v>1036</v>
      </c>
      <c r="C210" s="27" t="s">
        <v>71</v>
      </c>
      <c r="D210" s="28" t="s">
        <v>120</v>
      </c>
      <c r="E210" s="28" t="s">
        <v>140</v>
      </c>
      <c r="F210" s="28" t="s">
        <v>107</v>
      </c>
      <c r="G210" s="28" t="s">
        <v>73</v>
      </c>
      <c r="H210" s="28" t="s">
        <v>121</v>
      </c>
      <c r="I210" s="28" t="s">
        <v>1259</v>
      </c>
      <c r="J210" s="27" t="s">
        <v>1040</v>
      </c>
      <c r="K210" s="27" t="s">
        <v>1057</v>
      </c>
    </row>
    <row r="211" spans="1:11" ht="13.8" thickBot="1" x14ac:dyDescent="0.25">
      <c r="A211" s="27" t="s">
        <v>1177</v>
      </c>
      <c r="B211" s="27" t="s">
        <v>1036</v>
      </c>
      <c r="C211" s="27" t="s">
        <v>72</v>
      </c>
      <c r="D211" s="28" t="s">
        <v>120</v>
      </c>
      <c r="E211" s="28" t="s">
        <v>140</v>
      </c>
      <c r="F211" s="28" t="s">
        <v>107</v>
      </c>
      <c r="G211" s="28" t="s">
        <v>73</v>
      </c>
      <c r="H211" s="28" t="s">
        <v>121</v>
      </c>
      <c r="I211" s="28" t="s">
        <v>1260</v>
      </c>
      <c r="J211" s="27" t="s">
        <v>1040</v>
      </c>
      <c r="K211" s="27" t="s">
        <v>1057</v>
      </c>
    </row>
    <row r="212" spans="1:11" ht="13.8" thickBot="1" x14ac:dyDescent="0.25">
      <c r="A212" s="27" t="s">
        <v>1178</v>
      </c>
      <c r="B212" s="27" t="s">
        <v>1036</v>
      </c>
      <c r="C212" s="27" t="s">
        <v>74</v>
      </c>
      <c r="D212" s="28" t="s">
        <v>120</v>
      </c>
      <c r="E212" s="28" t="s">
        <v>529</v>
      </c>
      <c r="F212" s="28" t="s">
        <v>107</v>
      </c>
      <c r="G212" s="28" t="s">
        <v>73</v>
      </c>
      <c r="H212" s="28" t="s">
        <v>121</v>
      </c>
      <c r="I212" s="28"/>
      <c r="J212" s="27" t="s">
        <v>1041</v>
      </c>
      <c r="K212" s="27" t="s">
        <v>1062</v>
      </c>
    </row>
    <row r="213" spans="1:11" ht="13.8" thickBot="1" x14ac:dyDescent="0.25">
      <c r="A213" s="27" t="s">
        <v>1179</v>
      </c>
      <c r="B213" s="27" t="s">
        <v>1036</v>
      </c>
      <c r="C213" s="27" t="s">
        <v>75</v>
      </c>
      <c r="D213" s="28" t="s">
        <v>95</v>
      </c>
      <c r="E213" s="28" t="s">
        <v>145</v>
      </c>
      <c r="F213" s="28" t="s">
        <v>96</v>
      </c>
      <c r="G213" s="28" t="s">
        <v>37</v>
      </c>
      <c r="H213" s="28" t="s">
        <v>97</v>
      </c>
      <c r="I213" s="28"/>
      <c r="J213" s="27" t="s">
        <v>1044</v>
      </c>
      <c r="K213" s="27" t="s">
        <v>1063</v>
      </c>
    </row>
    <row r="214" spans="1:11" ht="13.8" thickBot="1" x14ac:dyDescent="0.25">
      <c r="A214" s="27" t="s">
        <v>1180</v>
      </c>
      <c r="B214" s="27" t="s">
        <v>1036</v>
      </c>
      <c r="C214" s="27" t="s">
        <v>76</v>
      </c>
      <c r="D214" s="28" t="s">
        <v>101</v>
      </c>
      <c r="E214" s="28" t="s">
        <v>145</v>
      </c>
      <c r="F214" s="28" t="s">
        <v>102</v>
      </c>
      <c r="G214" s="28" t="s">
        <v>73</v>
      </c>
      <c r="H214" s="28" t="s">
        <v>118</v>
      </c>
      <c r="I214" s="28"/>
      <c r="J214" s="27" t="s">
        <v>1044</v>
      </c>
      <c r="K214" s="27" t="s">
        <v>1063</v>
      </c>
    </row>
    <row r="215" spans="1:11" ht="13.8" thickBot="1" x14ac:dyDescent="0.25">
      <c r="A215" s="27" t="s">
        <v>1181</v>
      </c>
      <c r="B215" s="27" t="s">
        <v>1036</v>
      </c>
      <c r="C215" s="27" t="s">
        <v>77</v>
      </c>
      <c r="D215" s="28" t="s">
        <v>95</v>
      </c>
      <c r="E215" s="28" t="s">
        <v>145</v>
      </c>
      <c r="F215" s="28" t="s">
        <v>96</v>
      </c>
      <c r="G215" s="28" t="s">
        <v>37</v>
      </c>
      <c r="H215" s="28" t="s">
        <v>97</v>
      </c>
      <c r="I215" s="28"/>
      <c r="J215" s="27" t="s">
        <v>1045</v>
      </c>
      <c r="K215" s="27" t="s">
        <v>1064</v>
      </c>
    </row>
    <row r="216" spans="1:11" ht="13.8" thickBot="1" x14ac:dyDescent="0.25">
      <c r="A216" s="27" t="s">
        <v>1261</v>
      </c>
      <c r="B216" s="27" t="s">
        <v>1036</v>
      </c>
      <c r="C216" s="27" t="s">
        <v>185</v>
      </c>
      <c r="D216" s="28" t="s">
        <v>95</v>
      </c>
      <c r="E216" s="28" t="s">
        <v>145</v>
      </c>
      <c r="F216" s="28" t="s">
        <v>96</v>
      </c>
      <c r="G216" s="28" t="s">
        <v>37</v>
      </c>
      <c r="H216" s="28" t="s">
        <v>97</v>
      </c>
      <c r="I216" s="28"/>
      <c r="J216" s="27" t="s">
        <v>1045</v>
      </c>
      <c r="K216" s="27" t="s">
        <v>1064</v>
      </c>
    </row>
    <row r="217" spans="1:11" ht="13.8" thickBot="1" x14ac:dyDescent="0.25">
      <c r="A217" s="27" t="s">
        <v>1059</v>
      </c>
      <c r="B217" s="27" t="s">
        <v>1036</v>
      </c>
      <c r="C217" s="27" t="s">
        <v>186</v>
      </c>
      <c r="D217" s="28" t="s">
        <v>103</v>
      </c>
      <c r="E217" s="28" t="s">
        <v>1060</v>
      </c>
      <c r="F217" s="28" t="s">
        <v>104</v>
      </c>
      <c r="G217" s="28" t="s">
        <v>37</v>
      </c>
      <c r="H217" s="28" t="s">
        <v>119</v>
      </c>
      <c r="I217" s="28" t="s">
        <v>1061</v>
      </c>
      <c r="J217" s="27" t="s">
        <v>1046</v>
      </c>
      <c r="K217" s="27" t="s">
        <v>1064</v>
      </c>
    </row>
    <row r="218" spans="1:11" ht="13.8" thickBot="1" x14ac:dyDescent="0.25">
      <c r="A218" s="27" t="s">
        <v>1262</v>
      </c>
      <c r="B218" s="27" t="s">
        <v>1036</v>
      </c>
      <c r="C218" s="27" t="s">
        <v>199</v>
      </c>
      <c r="D218" s="28" t="s">
        <v>95</v>
      </c>
      <c r="E218" s="28" t="s">
        <v>145</v>
      </c>
      <c r="F218" s="28" t="s">
        <v>96</v>
      </c>
      <c r="G218" s="28" t="s">
        <v>37</v>
      </c>
      <c r="H218" s="28" t="s">
        <v>97</v>
      </c>
      <c r="I218" s="28"/>
      <c r="J218" s="27" t="s">
        <v>1046</v>
      </c>
      <c r="K218" s="27" t="s">
        <v>1065</v>
      </c>
    </row>
    <row r="219" spans="1:11" ht="13.8" thickBot="1" x14ac:dyDescent="0.25">
      <c r="A219" s="27" t="s">
        <v>1182</v>
      </c>
      <c r="B219" s="27" t="s">
        <v>1036</v>
      </c>
      <c r="C219" s="27" t="s">
        <v>251</v>
      </c>
      <c r="D219" s="28" t="s">
        <v>103</v>
      </c>
      <c r="E219" s="28" t="s">
        <v>145</v>
      </c>
      <c r="F219" s="28" t="s">
        <v>104</v>
      </c>
      <c r="G219" s="28" t="s">
        <v>37</v>
      </c>
      <c r="H219" s="28" t="s">
        <v>119</v>
      </c>
      <c r="I219" s="28"/>
      <c r="J219" s="27" t="s">
        <v>1047</v>
      </c>
      <c r="K219" s="27" t="s">
        <v>1065</v>
      </c>
    </row>
    <row r="220" spans="1:11" ht="13.8" thickBot="1" x14ac:dyDescent="0.25">
      <c r="A220" s="27" t="s">
        <v>1183</v>
      </c>
      <c r="B220" s="27" t="s">
        <v>1036</v>
      </c>
      <c r="C220" s="27" t="s">
        <v>252</v>
      </c>
      <c r="D220" s="28" t="s">
        <v>103</v>
      </c>
      <c r="E220" s="28" t="s">
        <v>1000</v>
      </c>
      <c r="F220" s="28" t="s">
        <v>104</v>
      </c>
      <c r="G220" s="28" t="s">
        <v>37</v>
      </c>
      <c r="H220" s="28" t="s">
        <v>119</v>
      </c>
      <c r="I220" s="28" t="s">
        <v>1263</v>
      </c>
      <c r="J220" s="27" t="s">
        <v>1047</v>
      </c>
      <c r="K220" s="27" t="s">
        <v>1065</v>
      </c>
    </row>
    <row r="221" spans="1:11" ht="13.8" thickBot="1" x14ac:dyDescent="0.25">
      <c r="A221" s="27" t="s">
        <v>803</v>
      </c>
      <c r="B221" s="27" t="s">
        <v>1036</v>
      </c>
      <c r="C221" s="27" t="s">
        <v>253</v>
      </c>
      <c r="D221" s="28" t="s">
        <v>101</v>
      </c>
      <c r="E221" s="28" t="s">
        <v>1066</v>
      </c>
      <c r="F221" s="28" t="s">
        <v>102</v>
      </c>
      <c r="G221" s="28" t="s">
        <v>37</v>
      </c>
      <c r="H221" s="28" t="s">
        <v>118</v>
      </c>
      <c r="I221" s="28"/>
      <c r="J221" s="27" t="s">
        <v>1051</v>
      </c>
      <c r="K221" s="27" t="s">
        <v>1067</v>
      </c>
    </row>
    <row r="222" spans="1:11" ht="13.8" thickBot="1" x14ac:dyDescent="0.25">
      <c r="A222" s="27" t="s">
        <v>807</v>
      </c>
      <c r="B222" s="27" t="s">
        <v>1036</v>
      </c>
      <c r="C222" s="27" t="s">
        <v>569</v>
      </c>
      <c r="D222" s="28" t="s">
        <v>101</v>
      </c>
      <c r="E222" s="28" t="s">
        <v>1068</v>
      </c>
      <c r="F222" s="28" t="s">
        <v>102</v>
      </c>
      <c r="G222" s="28" t="s">
        <v>37</v>
      </c>
      <c r="H222" s="28" t="s">
        <v>118</v>
      </c>
      <c r="I222" s="28" t="s">
        <v>1069</v>
      </c>
      <c r="J222" s="27" t="s">
        <v>1051</v>
      </c>
      <c r="K222" s="27" t="s">
        <v>1067</v>
      </c>
    </row>
    <row r="223" spans="1:11" ht="13.8" thickBot="1" x14ac:dyDescent="0.25">
      <c r="A223" s="27" t="s">
        <v>808</v>
      </c>
      <c r="B223" s="27" t="s">
        <v>1036</v>
      </c>
      <c r="C223" s="27" t="s">
        <v>571</v>
      </c>
      <c r="D223" s="28" t="s">
        <v>101</v>
      </c>
      <c r="E223" s="28" t="s">
        <v>145</v>
      </c>
      <c r="F223" s="28" t="s">
        <v>102</v>
      </c>
      <c r="G223" s="28" t="s">
        <v>37</v>
      </c>
      <c r="H223" s="28" t="s">
        <v>118</v>
      </c>
      <c r="I223" s="28"/>
      <c r="J223" s="27" t="s">
        <v>1052</v>
      </c>
      <c r="K223" s="27" t="s">
        <v>1070</v>
      </c>
    </row>
    <row r="224" spans="1:11" ht="13.8" thickBot="1" x14ac:dyDescent="0.25">
      <c r="A224" s="27" t="s">
        <v>1184</v>
      </c>
      <c r="B224" s="27" t="s">
        <v>1036</v>
      </c>
      <c r="C224" s="27" t="s">
        <v>573</v>
      </c>
      <c r="D224" s="28" t="s">
        <v>101</v>
      </c>
      <c r="E224" s="28" t="s">
        <v>145</v>
      </c>
      <c r="F224" s="28" t="s">
        <v>102</v>
      </c>
      <c r="G224" s="28" t="s">
        <v>37</v>
      </c>
      <c r="H224" s="28" t="s">
        <v>118</v>
      </c>
      <c r="I224" s="28"/>
      <c r="J224" s="27" t="s">
        <v>1052</v>
      </c>
      <c r="K224" s="27" t="s">
        <v>1070</v>
      </c>
    </row>
    <row r="225" spans="1:11" ht="13.8" thickBot="1" x14ac:dyDescent="0.25">
      <c r="A225" s="27" t="s">
        <v>1185</v>
      </c>
      <c r="B225" s="27" t="s">
        <v>1036</v>
      </c>
      <c r="C225" s="27" t="s">
        <v>925</v>
      </c>
      <c r="D225" s="28" t="s">
        <v>101</v>
      </c>
      <c r="E225" s="28" t="s">
        <v>145</v>
      </c>
      <c r="F225" s="28" t="s">
        <v>102</v>
      </c>
      <c r="G225" s="28" t="s">
        <v>37</v>
      </c>
      <c r="H225" s="28" t="s">
        <v>118</v>
      </c>
      <c r="I225" s="28"/>
      <c r="J225" s="27" t="s">
        <v>1054</v>
      </c>
      <c r="K225" s="27" t="s">
        <v>1071</v>
      </c>
    </row>
    <row r="226" spans="1:11" ht="13.8" thickBot="1" x14ac:dyDescent="0.25">
      <c r="A226" s="27" t="s">
        <v>1264</v>
      </c>
      <c r="B226" s="27" t="s">
        <v>1036</v>
      </c>
      <c r="C226" s="27" t="s">
        <v>1265</v>
      </c>
      <c r="D226" s="28" t="s">
        <v>103</v>
      </c>
      <c r="E226" s="28" t="s">
        <v>145</v>
      </c>
      <c r="F226" s="28" t="s">
        <v>104</v>
      </c>
      <c r="G226" s="28" t="s">
        <v>37</v>
      </c>
      <c r="H226" s="28" t="s">
        <v>119</v>
      </c>
      <c r="I226" s="28"/>
      <c r="J226" s="27" t="s">
        <v>1054</v>
      </c>
      <c r="K226" s="27" t="s">
        <v>1071</v>
      </c>
    </row>
    <row r="227" spans="1:11" ht="13.8" thickBot="1" x14ac:dyDescent="0.25">
      <c r="A227" s="27" t="s">
        <v>1266</v>
      </c>
      <c r="B227" s="27" t="s">
        <v>1267</v>
      </c>
      <c r="C227" s="27" t="s">
        <v>11</v>
      </c>
      <c r="D227" s="28" t="s">
        <v>79</v>
      </c>
      <c r="E227" s="28" t="s">
        <v>145</v>
      </c>
      <c r="F227" s="28" t="s">
        <v>80</v>
      </c>
      <c r="G227" s="28" t="s">
        <v>13</v>
      </c>
      <c r="H227" s="28" t="s">
        <v>124</v>
      </c>
      <c r="I227" s="28"/>
      <c r="J227" s="27" t="s">
        <v>1038</v>
      </c>
      <c r="K227" s="27" t="s">
        <v>1268</v>
      </c>
    </row>
    <row r="228" spans="1:11" ht="13.8" thickBot="1" x14ac:dyDescent="0.25">
      <c r="A228" s="27" t="s">
        <v>1269</v>
      </c>
      <c r="B228" s="27" t="s">
        <v>1267</v>
      </c>
      <c r="C228" s="27" t="s">
        <v>14</v>
      </c>
      <c r="D228" s="28" t="s">
        <v>79</v>
      </c>
      <c r="E228" s="28" t="s">
        <v>1270</v>
      </c>
      <c r="F228" s="28" t="s">
        <v>80</v>
      </c>
      <c r="G228" s="28" t="s">
        <v>13</v>
      </c>
      <c r="H228" s="28" t="s">
        <v>124</v>
      </c>
      <c r="I228" s="28" t="s">
        <v>1271</v>
      </c>
      <c r="J228" s="27" t="s">
        <v>1038</v>
      </c>
      <c r="K228" s="27" t="s">
        <v>1268</v>
      </c>
    </row>
    <row r="229" spans="1:11" ht="13.8" thickBot="1" x14ac:dyDescent="0.25">
      <c r="A229" s="27" t="s">
        <v>1272</v>
      </c>
      <c r="B229" s="27" t="s">
        <v>1267</v>
      </c>
      <c r="C229" s="27" t="s">
        <v>15</v>
      </c>
      <c r="D229" s="28" t="s">
        <v>187</v>
      </c>
      <c r="E229" s="28" t="s">
        <v>181</v>
      </c>
      <c r="F229" s="28" t="s">
        <v>188</v>
      </c>
      <c r="G229" s="28" t="s">
        <v>13</v>
      </c>
      <c r="H229" s="28" t="s">
        <v>189</v>
      </c>
      <c r="I229" s="28"/>
      <c r="J229" s="27" t="s">
        <v>1040</v>
      </c>
      <c r="K229" s="27" t="s">
        <v>1273</v>
      </c>
    </row>
    <row r="230" spans="1:11" ht="13.8" thickBot="1" x14ac:dyDescent="0.25">
      <c r="A230" s="27" t="s">
        <v>1274</v>
      </c>
      <c r="B230" s="27" t="s">
        <v>1267</v>
      </c>
      <c r="C230" s="27" t="s">
        <v>16</v>
      </c>
      <c r="D230" s="28" t="s">
        <v>81</v>
      </c>
      <c r="E230" s="28" t="s">
        <v>145</v>
      </c>
      <c r="F230" s="28" t="s">
        <v>82</v>
      </c>
      <c r="G230" s="28" t="s">
        <v>13</v>
      </c>
      <c r="H230" s="28" t="s">
        <v>100</v>
      </c>
      <c r="I230" s="28"/>
      <c r="J230" s="27" t="s">
        <v>1041</v>
      </c>
      <c r="K230" s="27" t="s">
        <v>1065</v>
      </c>
    </row>
    <row r="231" spans="1:11" ht="13.8" thickBot="1" x14ac:dyDescent="0.25">
      <c r="A231" s="27" t="s">
        <v>1275</v>
      </c>
      <c r="B231" s="27" t="s">
        <v>1267</v>
      </c>
      <c r="C231" s="27" t="s">
        <v>17</v>
      </c>
      <c r="D231" s="28" t="s">
        <v>81</v>
      </c>
      <c r="E231" s="28" t="s">
        <v>145</v>
      </c>
      <c r="F231" s="28" t="s">
        <v>82</v>
      </c>
      <c r="G231" s="28" t="s">
        <v>13</v>
      </c>
      <c r="H231" s="28" t="s">
        <v>100</v>
      </c>
      <c r="I231" s="28"/>
      <c r="J231" s="27" t="s">
        <v>1044</v>
      </c>
      <c r="K231" s="27" t="s">
        <v>1067</v>
      </c>
    </row>
    <row r="232" spans="1:11" ht="13.8" thickBot="1" x14ac:dyDescent="0.25">
      <c r="A232" s="27" t="s">
        <v>1276</v>
      </c>
      <c r="B232" s="27" t="s">
        <v>1267</v>
      </c>
      <c r="C232" s="27" t="s">
        <v>18</v>
      </c>
      <c r="D232" s="28" t="s">
        <v>81</v>
      </c>
      <c r="E232" s="28" t="s">
        <v>145</v>
      </c>
      <c r="F232" s="28" t="s">
        <v>82</v>
      </c>
      <c r="G232" s="28" t="s">
        <v>13</v>
      </c>
      <c r="H232" s="28" t="s">
        <v>100</v>
      </c>
      <c r="I232" s="28"/>
      <c r="J232" s="27" t="s">
        <v>1044</v>
      </c>
      <c r="K232" s="27" t="s">
        <v>1067</v>
      </c>
    </row>
    <row r="233" spans="1:11" ht="13.8" thickBot="1" x14ac:dyDescent="0.25">
      <c r="A233" s="27" t="s">
        <v>1277</v>
      </c>
      <c r="B233" s="27" t="s">
        <v>1267</v>
      </c>
      <c r="C233" s="27" t="s">
        <v>19</v>
      </c>
      <c r="D233" s="28" t="s">
        <v>122</v>
      </c>
      <c r="E233" s="28" t="s">
        <v>183</v>
      </c>
      <c r="F233" s="28" t="s">
        <v>105</v>
      </c>
      <c r="G233" s="28" t="s">
        <v>13</v>
      </c>
      <c r="H233" s="28" t="s">
        <v>123</v>
      </c>
      <c r="I233" s="28"/>
      <c r="J233" s="27" t="s">
        <v>1045</v>
      </c>
      <c r="K233" s="27" t="s">
        <v>1070</v>
      </c>
    </row>
    <row r="234" spans="1:11" ht="13.8" thickBot="1" x14ac:dyDescent="0.25">
      <c r="A234" s="27" t="s">
        <v>1278</v>
      </c>
      <c r="B234" s="27" t="s">
        <v>1267</v>
      </c>
      <c r="C234" s="27" t="s">
        <v>20</v>
      </c>
      <c r="D234" s="28" t="s">
        <v>122</v>
      </c>
      <c r="E234" s="28" t="s">
        <v>529</v>
      </c>
      <c r="F234" s="28" t="s">
        <v>105</v>
      </c>
      <c r="G234" s="28" t="s">
        <v>13</v>
      </c>
      <c r="H234" s="28" t="s">
        <v>123</v>
      </c>
      <c r="I234" s="28"/>
      <c r="J234" s="27" t="s">
        <v>1046</v>
      </c>
      <c r="K234" s="27" t="s">
        <v>1071</v>
      </c>
    </row>
    <row r="235" spans="1:11" ht="13.8" thickBot="1" x14ac:dyDescent="0.25">
      <c r="A235" s="27" t="s">
        <v>1279</v>
      </c>
      <c r="B235" s="27" t="s">
        <v>1267</v>
      </c>
      <c r="C235" s="27" t="s">
        <v>21</v>
      </c>
      <c r="D235" s="28" t="s">
        <v>122</v>
      </c>
      <c r="E235" s="28" t="s">
        <v>1066</v>
      </c>
      <c r="F235" s="28" t="s">
        <v>105</v>
      </c>
      <c r="G235" s="28" t="s">
        <v>13</v>
      </c>
      <c r="H235" s="28" t="s">
        <v>123</v>
      </c>
      <c r="I235" s="28"/>
      <c r="J235" s="27" t="s">
        <v>1046</v>
      </c>
      <c r="K235" s="27" t="s">
        <v>1071</v>
      </c>
    </row>
    <row r="236" spans="1:11" ht="13.8" thickBot="1" x14ac:dyDescent="0.25">
      <c r="A236" s="27" t="s">
        <v>1280</v>
      </c>
      <c r="B236" s="27" t="s">
        <v>1267</v>
      </c>
      <c r="C236" s="27" t="s">
        <v>22</v>
      </c>
      <c r="D236" s="28" t="s">
        <v>122</v>
      </c>
      <c r="E236" s="28" t="s">
        <v>176</v>
      </c>
      <c r="F236" s="28" t="s">
        <v>105</v>
      </c>
      <c r="G236" s="28" t="s">
        <v>13</v>
      </c>
      <c r="H236" s="28" t="s">
        <v>123</v>
      </c>
      <c r="I236" s="28"/>
      <c r="J236" s="27" t="s">
        <v>1047</v>
      </c>
      <c r="K236" s="27" t="s">
        <v>1268</v>
      </c>
    </row>
    <row r="237" spans="1:11" ht="13.8" thickBot="1" x14ac:dyDescent="0.25">
      <c r="A237" s="27" t="s">
        <v>1281</v>
      </c>
      <c r="B237" s="27" t="s">
        <v>1267</v>
      </c>
      <c r="C237" s="27" t="s">
        <v>23</v>
      </c>
      <c r="D237" s="28" t="s">
        <v>81</v>
      </c>
      <c r="E237" s="28" t="s">
        <v>145</v>
      </c>
      <c r="F237" s="28" t="s">
        <v>82</v>
      </c>
      <c r="G237" s="28" t="s">
        <v>13</v>
      </c>
      <c r="H237" s="28" t="s">
        <v>100</v>
      </c>
      <c r="I237" s="28"/>
      <c r="J237" s="27" t="s">
        <v>1051</v>
      </c>
      <c r="K237" s="27" t="s">
        <v>1273</v>
      </c>
    </row>
    <row r="238" spans="1:11" ht="13.8" thickBot="1" x14ac:dyDescent="0.25">
      <c r="A238" s="27" t="s">
        <v>1282</v>
      </c>
      <c r="B238" s="27" t="s">
        <v>1267</v>
      </c>
      <c r="C238" s="27" t="s">
        <v>24</v>
      </c>
      <c r="D238" s="28" t="s">
        <v>81</v>
      </c>
      <c r="E238" s="28" t="s">
        <v>145</v>
      </c>
      <c r="F238" s="28" t="s">
        <v>82</v>
      </c>
      <c r="G238" s="28" t="s">
        <v>13</v>
      </c>
      <c r="H238" s="28" t="s">
        <v>100</v>
      </c>
      <c r="I238" s="28"/>
      <c r="J238" s="27" t="s">
        <v>1051</v>
      </c>
      <c r="K238" s="27" t="s">
        <v>1273</v>
      </c>
    </row>
    <row r="239" spans="1:11" ht="13.8" thickBot="1" x14ac:dyDescent="0.25">
      <c r="A239" s="27" t="s">
        <v>1283</v>
      </c>
      <c r="B239" s="27" t="s">
        <v>1267</v>
      </c>
      <c r="C239" s="27" t="s">
        <v>25</v>
      </c>
      <c r="D239" s="28" t="s">
        <v>90</v>
      </c>
      <c r="E239" s="28" t="s">
        <v>145</v>
      </c>
      <c r="F239" s="28" t="s">
        <v>91</v>
      </c>
      <c r="G239" s="28" t="s">
        <v>13</v>
      </c>
      <c r="H239" s="28" t="s">
        <v>92</v>
      </c>
      <c r="I239" s="28"/>
      <c r="J239" s="27" t="s">
        <v>1052</v>
      </c>
      <c r="K239" s="27" t="s">
        <v>1273</v>
      </c>
    </row>
    <row r="240" spans="1:11" ht="13.8" thickBot="1" x14ac:dyDescent="0.25">
      <c r="A240" s="27" t="s">
        <v>1284</v>
      </c>
      <c r="B240" s="27" t="s">
        <v>1267</v>
      </c>
      <c r="C240" s="27" t="s">
        <v>26</v>
      </c>
      <c r="D240" s="28" t="s">
        <v>90</v>
      </c>
      <c r="E240" s="28" t="s">
        <v>145</v>
      </c>
      <c r="F240" s="28" t="s">
        <v>91</v>
      </c>
      <c r="G240" s="28" t="s">
        <v>13</v>
      </c>
      <c r="H240" s="28" t="s">
        <v>92</v>
      </c>
      <c r="I240" s="28"/>
      <c r="J240" s="27" t="s">
        <v>1054</v>
      </c>
      <c r="K240" s="27" t="s">
        <v>1285</v>
      </c>
    </row>
    <row r="241" spans="1:11" ht="13.8" thickBot="1" x14ac:dyDescent="0.25">
      <c r="A241" s="27" t="s">
        <v>1286</v>
      </c>
      <c r="B241" s="27" t="s">
        <v>1267</v>
      </c>
      <c r="C241" s="27" t="s">
        <v>27</v>
      </c>
      <c r="D241" s="28" t="s">
        <v>90</v>
      </c>
      <c r="E241" s="28" t="s">
        <v>145</v>
      </c>
      <c r="F241" s="28" t="s">
        <v>91</v>
      </c>
      <c r="G241" s="28" t="s">
        <v>13</v>
      </c>
      <c r="H241" s="28" t="s">
        <v>92</v>
      </c>
      <c r="I241" s="28"/>
      <c r="J241" s="27" t="s">
        <v>1054</v>
      </c>
      <c r="K241" s="27" t="s">
        <v>1285</v>
      </c>
    </row>
    <row r="242" spans="1:11" ht="13.8" thickBot="1" x14ac:dyDescent="0.25">
      <c r="A242" s="27" t="s">
        <v>1287</v>
      </c>
      <c r="B242" s="27" t="s">
        <v>1267</v>
      </c>
      <c r="C242" s="27" t="s">
        <v>28</v>
      </c>
      <c r="D242" s="28" t="s">
        <v>90</v>
      </c>
      <c r="E242" s="28" t="s">
        <v>145</v>
      </c>
      <c r="F242" s="28" t="s">
        <v>91</v>
      </c>
      <c r="G242" s="28" t="s">
        <v>13</v>
      </c>
      <c r="H242" s="28" t="s">
        <v>92</v>
      </c>
      <c r="I242" s="28"/>
      <c r="J242" s="27" t="s">
        <v>1056</v>
      </c>
      <c r="K242" s="27" t="s">
        <v>1288</v>
      </c>
    </row>
    <row r="243" spans="1:11" ht="13.8" thickBot="1" x14ac:dyDescent="0.25">
      <c r="A243" s="27" t="s">
        <v>1289</v>
      </c>
      <c r="B243" s="27" t="s">
        <v>1267</v>
      </c>
      <c r="C243" s="27" t="s">
        <v>29</v>
      </c>
      <c r="D243" s="28" t="s">
        <v>90</v>
      </c>
      <c r="E243" s="28" t="s">
        <v>145</v>
      </c>
      <c r="F243" s="28" t="s">
        <v>91</v>
      </c>
      <c r="G243" s="28" t="s">
        <v>13</v>
      </c>
      <c r="H243" s="28" t="s">
        <v>92</v>
      </c>
      <c r="I243" s="28"/>
      <c r="J243" s="27" t="s">
        <v>1056</v>
      </c>
      <c r="K243" s="27" t="s">
        <v>1288</v>
      </c>
    </row>
    <row r="244" spans="1:11" ht="13.8" thickBot="1" x14ac:dyDescent="0.25">
      <c r="A244" s="27" t="s">
        <v>1290</v>
      </c>
      <c r="B244" s="27" t="s">
        <v>1267</v>
      </c>
      <c r="C244" s="27" t="s">
        <v>31</v>
      </c>
      <c r="D244" s="28" t="s">
        <v>90</v>
      </c>
      <c r="E244" s="28" t="s">
        <v>145</v>
      </c>
      <c r="F244" s="28" t="s">
        <v>91</v>
      </c>
      <c r="G244" s="28" t="s">
        <v>13</v>
      </c>
      <c r="H244" s="28" t="s">
        <v>92</v>
      </c>
      <c r="I244" s="28"/>
      <c r="J244" s="27" t="s">
        <v>1057</v>
      </c>
      <c r="K244" s="27" t="s">
        <v>1291</v>
      </c>
    </row>
    <row r="245" spans="1:11" ht="13.8" thickBot="1" x14ac:dyDescent="0.25">
      <c r="A245" s="27" t="s">
        <v>1292</v>
      </c>
      <c r="B245" s="27" t="s">
        <v>1267</v>
      </c>
      <c r="C245" s="27" t="s">
        <v>32</v>
      </c>
      <c r="D245" s="28" t="s">
        <v>112</v>
      </c>
      <c r="E245" s="28" t="s">
        <v>181</v>
      </c>
      <c r="F245" s="28" t="s">
        <v>113</v>
      </c>
      <c r="G245" s="28" t="s">
        <v>73</v>
      </c>
      <c r="H245" s="28" t="s">
        <v>114</v>
      </c>
      <c r="I245" s="28"/>
      <c r="J245" s="27" t="s">
        <v>1062</v>
      </c>
      <c r="K245" s="27" t="s">
        <v>1293</v>
      </c>
    </row>
    <row r="246" spans="1:11" ht="13.8" thickBot="1" x14ac:dyDescent="0.25">
      <c r="A246" s="27" t="s">
        <v>1294</v>
      </c>
      <c r="B246" s="27" t="s">
        <v>1267</v>
      </c>
      <c r="C246" s="27" t="s">
        <v>34</v>
      </c>
      <c r="D246" s="28" t="s">
        <v>112</v>
      </c>
      <c r="E246" s="28" t="s">
        <v>181</v>
      </c>
      <c r="F246" s="28" t="s">
        <v>113</v>
      </c>
      <c r="G246" s="28" t="s">
        <v>73</v>
      </c>
      <c r="H246" s="28" t="s">
        <v>114</v>
      </c>
      <c r="I246" s="28"/>
      <c r="J246" s="27" t="s">
        <v>1062</v>
      </c>
      <c r="K246" s="27" t="s">
        <v>1293</v>
      </c>
    </row>
    <row r="247" spans="1:11" ht="13.8" thickBot="1" x14ac:dyDescent="0.25">
      <c r="A247" s="27" t="s">
        <v>1295</v>
      </c>
      <c r="B247" s="27" t="s">
        <v>1267</v>
      </c>
      <c r="C247" s="27" t="s">
        <v>35</v>
      </c>
      <c r="D247" s="28" t="s">
        <v>112</v>
      </c>
      <c r="E247" s="28" t="s">
        <v>181</v>
      </c>
      <c r="F247" s="28" t="s">
        <v>113</v>
      </c>
      <c r="G247" s="28" t="s">
        <v>73</v>
      </c>
      <c r="H247" s="28" t="s">
        <v>114</v>
      </c>
      <c r="I247" s="28"/>
      <c r="J247" s="27" t="s">
        <v>1063</v>
      </c>
      <c r="K247" s="27" t="s">
        <v>1291</v>
      </c>
    </row>
    <row r="248" spans="1:11" ht="13.8" thickBot="1" x14ac:dyDescent="0.25">
      <c r="A248" s="27" t="s">
        <v>1296</v>
      </c>
      <c r="B248" s="27" t="s">
        <v>1267</v>
      </c>
      <c r="C248" s="27" t="s">
        <v>36</v>
      </c>
      <c r="D248" s="28" t="s">
        <v>112</v>
      </c>
      <c r="E248" s="28" t="s">
        <v>181</v>
      </c>
      <c r="F248" s="28" t="s">
        <v>113</v>
      </c>
      <c r="G248" s="28" t="s">
        <v>73</v>
      </c>
      <c r="H248" s="28" t="s">
        <v>114</v>
      </c>
      <c r="I248" s="28"/>
      <c r="J248" s="27" t="s">
        <v>1063</v>
      </c>
      <c r="K248" s="27" t="s">
        <v>1291</v>
      </c>
    </row>
    <row r="249" spans="1:11" ht="13.8" thickBot="1" x14ac:dyDescent="0.25">
      <c r="A249" s="27" t="s">
        <v>1297</v>
      </c>
      <c r="B249" s="27" t="s">
        <v>1267</v>
      </c>
      <c r="C249" s="27" t="s">
        <v>38</v>
      </c>
      <c r="D249" s="28" t="s">
        <v>120</v>
      </c>
      <c r="E249" s="28" t="s">
        <v>1298</v>
      </c>
      <c r="F249" s="28" t="s">
        <v>107</v>
      </c>
      <c r="G249" s="28" t="s">
        <v>73</v>
      </c>
      <c r="H249" s="28" t="s">
        <v>121</v>
      </c>
      <c r="I249" s="28" t="s">
        <v>1299</v>
      </c>
      <c r="J249" s="27" t="s">
        <v>1064</v>
      </c>
      <c r="K249" s="27" t="s">
        <v>1291</v>
      </c>
    </row>
    <row r="250" spans="1:11" ht="13.8" thickBot="1" x14ac:dyDescent="0.25">
      <c r="A250" s="27" t="s">
        <v>1300</v>
      </c>
      <c r="B250" s="27" t="s">
        <v>1267</v>
      </c>
      <c r="C250" s="27" t="s">
        <v>39</v>
      </c>
      <c r="D250" s="28" t="s">
        <v>120</v>
      </c>
      <c r="E250" s="28" t="s">
        <v>1298</v>
      </c>
      <c r="F250" s="28" t="s">
        <v>107</v>
      </c>
      <c r="G250" s="28" t="s">
        <v>73</v>
      </c>
      <c r="H250" s="28" t="s">
        <v>121</v>
      </c>
      <c r="I250" s="28" t="s">
        <v>1301</v>
      </c>
      <c r="J250" s="27" t="s">
        <v>1064</v>
      </c>
      <c r="K250" s="27" t="s">
        <v>1291</v>
      </c>
    </row>
    <row r="251" spans="1:11" ht="13.8" thickBot="1" x14ac:dyDescent="0.25">
      <c r="A251" s="27" t="s">
        <v>1302</v>
      </c>
      <c r="B251" s="27" t="s">
        <v>1267</v>
      </c>
      <c r="C251" s="27" t="s">
        <v>40</v>
      </c>
      <c r="D251" s="28" t="s">
        <v>120</v>
      </c>
      <c r="E251" s="28" t="s">
        <v>181</v>
      </c>
      <c r="F251" s="28" t="s">
        <v>107</v>
      </c>
      <c r="G251" s="28" t="s">
        <v>73</v>
      </c>
      <c r="H251" s="28" t="s">
        <v>121</v>
      </c>
      <c r="I251" s="28"/>
      <c r="J251" s="27" t="s">
        <v>1065</v>
      </c>
      <c r="K251" s="27" t="s">
        <v>1303</v>
      </c>
    </row>
    <row r="252" spans="1:11" ht="13.8" thickBot="1" x14ac:dyDescent="0.25">
      <c r="A252" s="27" t="s">
        <v>1304</v>
      </c>
      <c r="B252" s="27" t="s">
        <v>1267</v>
      </c>
      <c r="C252" s="27" t="s">
        <v>41</v>
      </c>
      <c r="D252" s="28" t="s">
        <v>120</v>
      </c>
      <c r="E252" s="28" t="s">
        <v>182</v>
      </c>
      <c r="F252" s="28" t="s">
        <v>107</v>
      </c>
      <c r="G252" s="28" t="s">
        <v>73</v>
      </c>
      <c r="H252" s="28" t="s">
        <v>121</v>
      </c>
      <c r="I252" s="28"/>
      <c r="J252" s="27" t="s">
        <v>1065</v>
      </c>
      <c r="K252" s="27" t="s">
        <v>1303</v>
      </c>
    </row>
    <row r="253" spans="1:11" ht="13.8" thickBot="1" x14ac:dyDescent="0.25">
      <c r="A253" s="27" t="s">
        <v>1305</v>
      </c>
      <c r="B253" s="27" t="s">
        <v>1267</v>
      </c>
      <c r="C253" s="27" t="s">
        <v>65</v>
      </c>
      <c r="D253" s="28" t="s">
        <v>120</v>
      </c>
      <c r="E253" s="28" t="s">
        <v>183</v>
      </c>
      <c r="F253" s="28" t="s">
        <v>107</v>
      </c>
      <c r="G253" s="28" t="s">
        <v>73</v>
      </c>
      <c r="H253" s="28" t="s">
        <v>121</v>
      </c>
      <c r="I253" s="28"/>
      <c r="J253" s="27" t="s">
        <v>1067</v>
      </c>
      <c r="K253" s="27" t="s">
        <v>1306</v>
      </c>
    </row>
    <row r="254" spans="1:11" ht="13.8" thickBot="1" x14ac:dyDescent="0.25">
      <c r="A254" s="27" t="s">
        <v>1307</v>
      </c>
      <c r="B254" s="27" t="s">
        <v>1267</v>
      </c>
      <c r="C254" s="27" t="s">
        <v>66</v>
      </c>
      <c r="D254" s="28" t="s">
        <v>120</v>
      </c>
      <c r="E254" s="28" t="s">
        <v>529</v>
      </c>
      <c r="F254" s="28" t="s">
        <v>107</v>
      </c>
      <c r="G254" s="28" t="s">
        <v>73</v>
      </c>
      <c r="H254" s="28" t="s">
        <v>121</v>
      </c>
      <c r="I254" s="28"/>
      <c r="J254" s="27" t="s">
        <v>1067</v>
      </c>
      <c r="K254" s="27" t="s">
        <v>1306</v>
      </c>
    </row>
    <row r="255" spans="1:11" ht="13.8" thickBot="1" x14ac:dyDescent="0.25">
      <c r="A255" s="27" t="s">
        <v>1308</v>
      </c>
      <c r="B255" s="27" t="s">
        <v>1267</v>
      </c>
      <c r="C255" s="27" t="s">
        <v>67</v>
      </c>
      <c r="D255" s="28" t="s">
        <v>132</v>
      </c>
      <c r="E255" s="28" t="s">
        <v>1309</v>
      </c>
      <c r="F255" s="28" t="s">
        <v>106</v>
      </c>
      <c r="G255" s="28" t="s">
        <v>73</v>
      </c>
      <c r="H255" s="28" t="s">
        <v>133</v>
      </c>
      <c r="I255" s="28" t="s">
        <v>1310</v>
      </c>
      <c r="J255" s="27" t="s">
        <v>1070</v>
      </c>
      <c r="K255" s="27" t="s">
        <v>1311</v>
      </c>
    </row>
    <row r="256" spans="1:11" ht="13.8" thickBot="1" x14ac:dyDescent="0.25">
      <c r="A256" s="27" t="s">
        <v>1312</v>
      </c>
      <c r="B256" s="27" t="s">
        <v>1267</v>
      </c>
      <c r="C256" s="27" t="s">
        <v>68</v>
      </c>
      <c r="D256" s="28" t="s">
        <v>132</v>
      </c>
      <c r="E256" s="28" t="s">
        <v>1309</v>
      </c>
      <c r="F256" s="28" t="s">
        <v>106</v>
      </c>
      <c r="G256" s="28" t="s">
        <v>73</v>
      </c>
      <c r="H256" s="28" t="s">
        <v>133</v>
      </c>
      <c r="I256" s="28" t="s">
        <v>1313</v>
      </c>
      <c r="J256" s="27" t="s">
        <v>1070</v>
      </c>
      <c r="K256" s="27" t="s">
        <v>1311</v>
      </c>
    </row>
    <row r="257" spans="1:11" ht="13.8" thickBot="1" x14ac:dyDescent="0.25">
      <c r="A257" s="27" t="s">
        <v>1314</v>
      </c>
      <c r="B257" s="27" t="s">
        <v>1267</v>
      </c>
      <c r="C257" s="27" t="s">
        <v>69</v>
      </c>
      <c r="D257" s="28" t="s">
        <v>132</v>
      </c>
      <c r="E257" s="28" t="s">
        <v>181</v>
      </c>
      <c r="F257" s="28" t="s">
        <v>106</v>
      </c>
      <c r="G257" s="28" t="s">
        <v>73</v>
      </c>
      <c r="H257" s="28" t="s">
        <v>133</v>
      </c>
      <c r="I257" s="28"/>
      <c r="J257" s="27" t="s">
        <v>1071</v>
      </c>
      <c r="K257" s="27" t="s">
        <v>1315</v>
      </c>
    </row>
    <row r="258" spans="1:11" ht="13.8" thickBot="1" x14ac:dyDescent="0.25">
      <c r="A258" s="27" t="s">
        <v>1316</v>
      </c>
      <c r="B258" s="27" t="s">
        <v>1267</v>
      </c>
      <c r="C258" s="27" t="s">
        <v>70</v>
      </c>
      <c r="D258" s="28" t="s">
        <v>120</v>
      </c>
      <c r="E258" s="28" t="s">
        <v>176</v>
      </c>
      <c r="F258" s="28" t="s">
        <v>107</v>
      </c>
      <c r="G258" s="28" t="s">
        <v>73</v>
      </c>
      <c r="H258" s="28" t="s">
        <v>121</v>
      </c>
      <c r="I258" s="28"/>
      <c r="J258" s="27" t="s">
        <v>1071</v>
      </c>
      <c r="K258" s="27" t="s">
        <v>1315</v>
      </c>
    </row>
    <row r="259" spans="1:11" ht="13.8" thickBot="1" x14ac:dyDescent="0.25">
      <c r="A259" s="27" t="s">
        <v>1317</v>
      </c>
      <c r="B259" s="27" t="s">
        <v>1267</v>
      </c>
      <c r="C259" s="27" t="s">
        <v>71</v>
      </c>
      <c r="D259" s="28" t="s">
        <v>1318</v>
      </c>
      <c r="E259" s="28" t="s">
        <v>145</v>
      </c>
      <c r="F259" s="28" t="s">
        <v>80</v>
      </c>
      <c r="G259" s="28" t="s">
        <v>13</v>
      </c>
      <c r="H259" s="28" t="s">
        <v>1319</v>
      </c>
      <c r="I259" s="28"/>
      <c r="J259" s="27" t="s">
        <v>1320</v>
      </c>
      <c r="K259" s="27" t="s">
        <v>1320</v>
      </c>
    </row>
    <row r="260" spans="1:11" ht="13.8" thickBot="1" x14ac:dyDescent="0.25">
      <c r="A260" s="27" t="s">
        <v>1321</v>
      </c>
      <c r="B260" s="27" t="s">
        <v>1267</v>
      </c>
      <c r="C260" s="27" t="s">
        <v>72</v>
      </c>
      <c r="D260" s="28" t="s">
        <v>101</v>
      </c>
      <c r="E260" s="28" t="s">
        <v>145</v>
      </c>
      <c r="F260" s="28" t="s">
        <v>102</v>
      </c>
      <c r="G260" s="28" t="s">
        <v>73</v>
      </c>
      <c r="H260" s="28" t="s">
        <v>118</v>
      </c>
      <c r="I260" s="28"/>
      <c r="J260" s="27" t="s">
        <v>1268</v>
      </c>
      <c r="K260" s="27" t="s">
        <v>1322</v>
      </c>
    </row>
    <row r="261" spans="1:11" ht="13.8" thickBot="1" x14ac:dyDescent="0.25">
      <c r="A261" s="27" t="s">
        <v>1323</v>
      </c>
      <c r="B261" s="27" t="s">
        <v>1267</v>
      </c>
      <c r="C261" s="27" t="s">
        <v>74</v>
      </c>
      <c r="D261" s="28" t="s">
        <v>132</v>
      </c>
      <c r="E261" s="28" t="s">
        <v>1324</v>
      </c>
      <c r="F261" s="28" t="s">
        <v>106</v>
      </c>
      <c r="G261" s="28" t="s">
        <v>73</v>
      </c>
      <c r="H261" s="28" t="s">
        <v>133</v>
      </c>
      <c r="I261" s="28"/>
      <c r="J261" s="27" t="s">
        <v>1273</v>
      </c>
      <c r="K261" s="27" t="s">
        <v>1325</v>
      </c>
    </row>
    <row r="262" spans="1:11" ht="13.8" thickBot="1" x14ac:dyDescent="0.25">
      <c r="A262" s="27" t="s">
        <v>1326</v>
      </c>
      <c r="B262" s="27" t="s">
        <v>1267</v>
      </c>
      <c r="C262" s="27" t="s">
        <v>75</v>
      </c>
      <c r="D262" s="28" t="s">
        <v>132</v>
      </c>
      <c r="E262" s="28" t="s">
        <v>1226</v>
      </c>
      <c r="F262" s="28" t="s">
        <v>106</v>
      </c>
      <c r="G262" s="28" t="s">
        <v>73</v>
      </c>
      <c r="H262" s="28" t="s">
        <v>133</v>
      </c>
      <c r="I262" s="28"/>
      <c r="J262" s="27" t="s">
        <v>1273</v>
      </c>
      <c r="K262" s="27" t="s">
        <v>1325</v>
      </c>
    </row>
    <row r="263" spans="1:11" ht="13.8" thickBot="1" x14ac:dyDescent="0.25">
      <c r="A263" s="27" t="s">
        <v>1327</v>
      </c>
      <c r="B263" s="27" t="s">
        <v>1267</v>
      </c>
      <c r="C263" s="27" t="s">
        <v>76</v>
      </c>
      <c r="D263" s="28" t="s">
        <v>132</v>
      </c>
      <c r="E263" s="28" t="s">
        <v>501</v>
      </c>
      <c r="F263" s="28" t="s">
        <v>106</v>
      </c>
      <c r="G263" s="28" t="s">
        <v>73</v>
      </c>
      <c r="H263" s="28" t="s">
        <v>133</v>
      </c>
      <c r="I263" s="28"/>
      <c r="J263" s="27" t="s">
        <v>1285</v>
      </c>
      <c r="K263" s="27" t="s">
        <v>1328</v>
      </c>
    </row>
    <row r="264" spans="1:11" ht="13.8" thickBot="1" x14ac:dyDescent="0.25">
      <c r="A264" s="27" t="s">
        <v>1329</v>
      </c>
      <c r="B264" s="27" t="s">
        <v>1267</v>
      </c>
      <c r="C264" s="27" t="s">
        <v>77</v>
      </c>
      <c r="D264" s="28" t="s">
        <v>132</v>
      </c>
      <c r="E264" s="28" t="s">
        <v>501</v>
      </c>
      <c r="F264" s="28" t="s">
        <v>106</v>
      </c>
      <c r="G264" s="28" t="s">
        <v>73</v>
      </c>
      <c r="H264" s="28" t="s">
        <v>133</v>
      </c>
      <c r="I264" s="28"/>
      <c r="J264" s="27" t="s">
        <v>1285</v>
      </c>
      <c r="K264" s="27" t="s">
        <v>1328</v>
      </c>
    </row>
    <row r="265" spans="1:11" ht="13.8" thickBot="1" x14ac:dyDescent="0.25">
      <c r="A265" s="27" t="s">
        <v>1330</v>
      </c>
      <c r="B265" s="27" t="s">
        <v>1267</v>
      </c>
      <c r="C265" s="27" t="s">
        <v>185</v>
      </c>
      <c r="D265" s="28" t="s">
        <v>95</v>
      </c>
      <c r="E265" s="28" t="s">
        <v>145</v>
      </c>
      <c r="F265" s="28" t="s">
        <v>96</v>
      </c>
      <c r="G265" s="28" t="s">
        <v>37</v>
      </c>
      <c r="H265" s="28" t="s">
        <v>97</v>
      </c>
      <c r="I265" s="28"/>
      <c r="J265" s="27" t="s">
        <v>1288</v>
      </c>
      <c r="K265" s="27" t="s">
        <v>1331</v>
      </c>
    </row>
    <row r="266" spans="1:11" ht="13.8" thickBot="1" x14ac:dyDescent="0.25">
      <c r="A266" s="27" t="s">
        <v>1332</v>
      </c>
      <c r="B266" s="27" t="s">
        <v>1267</v>
      </c>
      <c r="C266" s="27" t="s">
        <v>186</v>
      </c>
      <c r="D266" s="28" t="s">
        <v>95</v>
      </c>
      <c r="E266" s="28" t="s">
        <v>145</v>
      </c>
      <c r="F266" s="28" t="s">
        <v>96</v>
      </c>
      <c r="G266" s="28" t="s">
        <v>37</v>
      </c>
      <c r="H266" s="28" t="s">
        <v>97</v>
      </c>
      <c r="I266" s="28"/>
      <c r="J266" s="27" t="s">
        <v>1288</v>
      </c>
      <c r="K266" s="27" t="s">
        <v>1331</v>
      </c>
    </row>
    <row r="267" spans="1:11" ht="13.8" thickBot="1" x14ac:dyDescent="0.25">
      <c r="A267" s="27" t="s">
        <v>1333</v>
      </c>
      <c r="B267" s="27" t="s">
        <v>1267</v>
      </c>
      <c r="C267" s="27" t="s">
        <v>199</v>
      </c>
      <c r="D267" s="28" t="s">
        <v>103</v>
      </c>
      <c r="E267" s="28" t="s">
        <v>145</v>
      </c>
      <c r="F267" s="28" t="s">
        <v>104</v>
      </c>
      <c r="G267" s="28" t="s">
        <v>37</v>
      </c>
      <c r="H267" s="28" t="s">
        <v>119</v>
      </c>
      <c r="I267" s="28"/>
      <c r="J267" s="27" t="s">
        <v>1293</v>
      </c>
      <c r="K267" s="27" t="s">
        <v>1331</v>
      </c>
    </row>
    <row r="268" spans="1:11" ht="13.8" thickBot="1" x14ac:dyDescent="0.25">
      <c r="A268" s="27" t="s">
        <v>1334</v>
      </c>
      <c r="B268" s="27" t="s">
        <v>1267</v>
      </c>
      <c r="C268" s="27" t="s">
        <v>251</v>
      </c>
      <c r="D268" s="28" t="s">
        <v>103</v>
      </c>
      <c r="E268" s="28" t="s">
        <v>145</v>
      </c>
      <c r="F268" s="28" t="s">
        <v>104</v>
      </c>
      <c r="G268" s="28" t="s">
        <v>37</v>
      </c>
      <c r="H268" s="28" t="s">
        <v>119</v>
      </c>
      <c r="I268" s="28"/>
      <c r="J268" s="27" t="s">
        <v>1293</v>
      </c>
      <c r="K268" s="27" t="s">
        <v>1331</v>
      </c>
    </row>
    <row r="269" spans="1:11" ht="13.8" thickBot="1" x14ac:dyDescent="0.25">
      <c r="A269" s="27" t="s">
        <v>1335</v>
      </c>
      <c r="B269" s="27" t="s">
        <v>1267</v>
      </c>
      <c r="C269" s="27" t="s">
        <v>252</v>
      </c>
      <c r="D269" s="28" t="s">
        <v>103</v>
      </c>
      <c r="E269" s="28" t="s">
        <v>145</v>
      </c>
      <c r="F269" s="28" t="s">
        <v>104</v>
      </c>
      <c r="G269" s="28" t="s">
        <v>37</v>
      </c>
      <c r="H269" s="28" t="s">
        <v>119</v>
      </c>
      <c r="I269" s="28"/>
      <c r="J269" s="27" t="s">
        <v>1291</v>
      </c>
      <c r="K269" s="27" t="s">
        <v>1336</v>
      </c>
    </row>
    <row r="270" spans="1:11" ht="13.8" thickBot="1" x14ac:dyDescent="0.25">
      <c r="A270" s="27" t="s">
        <v>1337</v>
      </c>
      <c r="B270" s="27" t="s">
        <v>1267</v>
      </c>
      <c r="C270" s="27" t="s">
        <v>253</v>
      </c>
      <c r="D270" s="28" t="s">
        <v>103</v>
      </c>
      <c r="E270" s="28" t="s">
        <v>145</v>
      </c>
      <c r="F270" s="28" t="s">
        <v>104</v>
      </c>
      <c r="G270" s="28" t="s">
        <v>37</v>
      </c>
      <c r="H270" s="28" t="s">
        <v>119</v>
      </c>
      <c r="I270" s="28"/>
      <c r="J270" s="27" t="s">
        <v>1291</v>
      </c>
      <c r="K270" s="27" t="s">
        <v>1336</v>
      </c>
    </row>
    <row r="271" spans="1:11" ht="13.8" thickBot="1" x14ac:dyDescent="0.25">
      <c r="A271" s="27" t="s">
        <v>1338</v>
      </c>
      <c r="B271" s="27" t="s">
        <v>1267</v>
      </c>
      <c r="C271" s="27" t="s">
        <v>569</v>
      </c>
      <c r="D271" s="28" t="s">
        <v>101</v>
      </c>
      <c r="E271" s="28" t="s">
        <v>145</v>
      </c>
      <c r="F271" s="28" t="s">
        <v>102</v>
      </c>
      <c r="G271" s="28" t="s">
        <v>37</v>
      </c>
      <c r="H271" s="28" t="s">
        <v>118</v>
      </c>
      <c r="I271" s="28"/>
      <c r="J271" s="27" t="s">
        <v>1303</v>
      </c>
      <c r="K271" s="27" t="s">
        <v>1339</v>
      </c>
    </row>
    <row r="272" spans="1:11" ht="13.8" thickBot="1" x14ac:dyDescent="0.25">
      <c r="A272" s="27" t="s">
        <v>1340</v>
      </c>
      <c r="B272" s="27" t="s">
        <v>1267</v>
      </c>
      <c r="C272" s="27" t="s">
        <v>571</v>
      </c>
      <c r="D272" s="28" t="s">
        <v>101</v>
      </c>
      <c r="E272" s="28" t="s">
        <v>145</v>
      </c>
      <c r="F272" s="28" t="s">
        <v>102</v>
      </c>
      <c r="G272" s="28" t="s">
        <v>37</v>
      </c>
      <c r="H272" s="28" t="s">
        <v>118</v>
      </c>
      <c r="I272" s="28"/>
      <c r="J272" s="27" t="s">
        <v>1303</v>
      </c>
      <c r="K272" s="27" t="s">
        <v>1339</v>
      </c>
    </row>
    <row r="273" spans="1:11" ht="13.8" thickBot="1" x14ac:dyDescent="0.25">
      <c r="A273" s="27" t="s">
        <v>1341</v>
      </c>
      <c r="B273" s="27" t="s">
        <v>1267</v>
      </c>
      <c r="C273" s="27" t="s">
        <v>573</v>
      </c>
      <c r="D273" s="28" t="s">
        <v>101</v>
      </c>
      <c r="E273" s="28" t="s">
        <v>145</v>
      </c>
      <c r="F273" s="28" t="s">
        <v>102</v>
      </c>
      <c r="G273" s="28" t="s">
        <v>37</v>
      </c>
      <c r="H273" s="28" t="s">
        <v>118</v>
      </c>
      <c r="I273" s="28"/>
      <c r="J273" s="27" t="s">
        <v>1306</v>
      </c>
      <c r="K273" s="27" t="s">
        <v>1342</v>
      </c>
    </row>
    <row r="274" spans="1:11" ht="13.8" thickBot="1" x14ac:dyDescent="0.25">
      <c r="A274" s="27" t="s">
        <v>1343</v>
      </c>
      <c r="B274" s="27" t="s">
        <v>1267</v>
      </c>
      <c r="C274" s="27" t="s">
        <v>925</v>
      </c>
      <c r="D274" s="28" t="s">
        <v>101</v>
      </c>
      <c r="E274" s="28" t="s">
        <v>145</v>
      </c>
      <c r="F274" s="28" t="s">
        <v>102</v>
      </c>
      <c r="G274" s="28" t="s">
        <v>37</v>
      </c>
      <c r="H274" s="28" t="s">
        <v>118</v>
      </c>
      <c r="I274" s="28"/>
      <c r="J274" s="27" t="s">
        <v>1306</v>
      </c>
      <c r="K274" s="27" t="s">
        <v>1342</v>
      </c>
    </row>
    <row r="275" spans="1:11" ht="13.8" thickBot="1" x14ac:dyDescent="0.25">
      <c r="A275" s="27" t="s">
        <v>1344</v>
      </c>
      <c r="B275" s="27" t="s">
        <v>1267</v>
      </c>
      <c r="C275" s="27" t="s">
        <v>1265</v>
      </c>
      <c r="D275" s="28" t="s">
        <v>101</v>
      </c>
      <c r="E275" s="28" t="s">
        <v>145</v>
      </c>
      <c r="F275" s="28" t="s">
        <v>102</v>
      </c>
      <c r="G275" s="28" t="s">
        <v>37</v>
      </c>
      <c r="H275" s="28" t="s">
        <v>118</v>
      </c>
      <c r="I275" s="28"/>
      <c r="J275" s="27" t="s">
        <v>1306</v>
      </c>
      <c r="K275" s="27" t="s">
        <v>1342</v>
      </c>
    </row>
  </sheetData>
  <mergeCells count="11">
    <mergeCell ref="I1:I2"/>
    <mergeCell ref="J1:J2"/>
    <mergeCell ref="K1:K2"/>
    <mergeCell ref="A1:A2"/>
    <mergeCell ref="E1:E2"/>
    <mergeCell ref="F1:F2"/>
    <mergeCell ref="G1:G2"/>
    <mergeCell ref="H1:H2"/>
    <mergeCell ref="C1:C2"/>
    <mergeCell ref="D1:D2"/>
    <mergeCell ref="B1:B2"/>
  </mergeCells>
  <phoneticPr fontId="2"/>
  <pageMargins left="0.75" right="0.75" top="1" bottom="1" header="0.51200000000000001" footer="0.51200000000000001"/>
  <pageSetup paperSize="9" scale="2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08"/>
  <sheetViews>
    <sheetView zoomScaleNormal="100" workbookViewId="0">
      <pane ySplit="2" topLeftCell="A3" activePane="bottomLeft" state="frozen"/>
      <selection activeCell="L269" sqref="L269"/>
      <selection pane="bottomLeft" activeCell="G26" sqref="G26"/>
    </sheetView>
  </sheetViews>
  <sheetFormatPr defaultRowHeight="13.2" x14ac:dyDescent="0.2"/>
  <cols>
    <col min="1" max="16384" width="8.88671875" style="33"/>
  </cols>
  <sheetData>
    <row r="1" spans="1:11" x14ac:dyDescent="0.2">
      <c r="A1" s="29" t="s">
        <v>3</v>
      </c>
      <c r="B1" s="29" t="s">
        <v>0</v>
      </c>
      <c r="C1" s="29" t="s">
        <v>1</v>
      </c>
      <c r="D1" s="29" t="s">
        <v>2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</row>
    <row r="2" spans="1:11" ht="13.8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3.8" thickBot="1" x14ac:dyDescent="0.25">
      <c r="A3" s="23" t="s">
        <v>255</v>
      </c>
      <c r="B3" s="23" t="s">
        <v>396</v>
      </c>
      <c r="C3" s="23" t="s">
        <v>11</v>
      </c>
      <c r="D3" s="24" t="s">
        <v>187</v>
      </c>
      <c r="E3" s="24" t="s">
        <v>12</v>
      </c>
      <c r="F3" s="24" t="s">
        <v>188</v>
      </c>
      <c r="G3" s="24" t="s">
        <v>13</v>
      </c>
      <c r="H3" s="24" t="s">
        <v>189</v>
      </c>
      <c r="I3" s="24" t="s">
        <v>420</v>
      </c>
      <c r="J3" s="23" t="s">
        <v>206</v>
      </c>
      <c r="K3" s="23" t="s">
        <v>257</v>
      </c>
    </row>
    <row r="4" spans="1:11" ht="13.8" thickBot="1" x14ac:dyDescent="0.25">
      <c r="A4" s="23" t="s">
        <v>209</v>
      </c>
      <c r="B4" s="23" t="s">
        <v>396</v>
      </c>
      <c r="C4" s="23" t="s">
        <v>14</v>
      </c>
      <c r="D4" s="24" t="s">
        <v>122</v>
      </c>
      <c r="E4" s="24" t="s">
        <v>193</v>
      </c>
      <c r="F4" s="24" t="s">
        <v>105</v>
      </c>
      <c r="G4" s="24" t="s">
        <v>13</v>
      </c>
      <c r="H4" s="24" t="s">
        <v>123</v>
      </c>
      <c r="I4" s="24" t="s">
        <v>471</v>
      </c>
      <c r="J4" s="23" t="s">
        <v>208</v>
      </c>
      <c r="K4" s="23" t="s">
        <v>258</v>
      </c>
    </row>
    <row r="5" spans="1:11" ht="13.8" thickBot="1" x14ac:dyDescent="0.25">
      <c r="A5" s="23" t="s">
        <v>261</v>
      </c>
      <c r="B5" s="23" t="s">
        <v>396</v>
      </c>
      <c r="C5" s="23" t="s">
        <v>15</v>
      </c>
      <c r="D5" s="24" t="s">
        <v>81</v>
      </c>
      <c r="E5" s="24" t="s">
        <v>33</v>
      </c>
      <c r="F5" s="24" t="s">
        <v>82</v>
      </c>
      <c r="G5" s="24" t="s">
        <v>13</v>
      </c>
      <c r="H5" s="24" t="s">
        <v>100</v>
      </c>
      <c r="I5" s="24"/>
      <c r="J5" s="23" t="s">
        <v>212</v>
      </c>
      <c r="K5" s="23" t="s">
        <v>272</v>
      </c>
    </row>
    <row r="6" spans="1:11" ht="13.8" thickBot="1" x14ac:dyDescent="0.25">
      <c r="A6" s="23" t="s">
        <v>269</v>
      </c>
      <c r="B6" s="23" t="s">
        <v>396</v>
      </c>
      <c r="C6" s="23" t="s">
        <v>16</v>
      </c>
      <c r="D6" s="24" t="s">
        <v>98</v>
      </c>
      <c r="E6" s="24" t="s">
        <v>78</v>
      </c>
      <c r="F6" s="24" t="s">
        <v>94</v>
      </c>
      <c r="G6" s="24" t="s">
        <v>13</v>
      </c>
      <c r="H6" s="24" t="s">
        <v>99</v>
      </c>
      <c r="I6" s="24" t="s">
        <v>421</v>
      </c>
      <c r="J6" s="23" t="s">
        <v>214</v>
      </c>
      <c r="K6" s="23" t="s">
        <v>257</v>
      </c>
    </row>
    <row r="7" spans="1:11" ht="13.8" thickBot="1" x14ac:dyDescent="0.25">
      <c r="A7" s="23" t="s">
        <v>282</v>
      </c>
      <c r="B7" s="23" t="s">
        <v>396</v>
      </c>
      <c r="C7" s="23" t="s">
        <v>17</v>
      </c>
      <c r="D7" s="24" t="s">
        <v>103</v>
      </c>
      <c r="E7" s="24" t="s">
        <v>33</v>
      </c>
      <c r="F7" s="24" t="s">
        <v>104</v>
      </c>
      <c r="G7" s="24" t="s">
        <v>37</v>
      </c>
      <c r="H7" s="24" t="s">
        <v>119</v>
      </c>
      <c r="I7" s="24"/>
      <c r="J7" s="23" t="s">
        <v>219</v>
      </c>
      <c r="K7" s="23" t="s">
        <v>270</v>
      </c>
    </row>
    <row r="8" spans="1:11" ht="13.8" thickBot="1" x14ac:dyDescent="0.25">
      <c r="A8" s="23" t="s">
        <v>283</v>
      </c>
      <c r="B8" s="23" t="s">
        <v>396</v>
      </c>
      <c r="C8" s="23" t="s">
        <v>18</v>
      </c>
      <c r="D8" s="24" t="s">
        <v>120</v>
      </c>
      <c r="E8" s="24" t="s">
        <v>12</v>
      </c>
      <c r="F8" s="24" t="s">
        <v>107</v>
      </c>
      <c r="G8" s="24" t="s">
        <v>73</v>
      </c>
      <c r="H8" s="24" t="s">
        <v>121</v>
      </c>
      <c r="I8" s="24" t="s">
        <v>474</v>
      </c>
      <c r="J8" s="23" t="s">
        <v>219</v>
      </c>
      <c r="K8" s="23" t="s">
        <v>274</v>
      </c>
    </row>
    <row r="9" spans="1:11" ht="13.8" thickBot="1" x14ac:dyDescent="0.25">
      <c r="A9" s="23" t="s">
        <v>161</v>
      </c>
      <c r="B9" s="23" t="s">
        <v>396</v>
      </c>
      <c r="C9" s="23" t="s">
        <v>19</v>
      </c>
      <c r="D9" s="24" t="s">
        <v>103</v>
      </c>
      <c r="E9" s="24" t="s">
        <v>145</v>
      </c>
      <c r="F9" s="24" t="s">
        <v>104</v>
      </c>
      <c r="G9" s="24" t="s">
        <v>13</v>
      </c>
      <c r="H9" s="24" t="s">
        <v>162</v>
      </c>
      <c r="I9" s="24"/>
      <c r="J9" s="23" t="s">
        <v>220</v>
      </c>
      <c r="K9" s="23" t="s">
        <v>257</v>
      </c>
    </row>
    <row r="10" spans="1:11" ht="13.8" thickBot="1" x14ac:dyDescent="0.25">
      <c r="A10" s="23" t="s">
        <v>306</v>
      </c>
      <c r="B10" s="23" t="s">
        <v>396</v>
      </c>
      <c r="C10" s="23" t="s">
        <v>20</v>
      </c>
      <c r="D10" s="24" t="s">
        <v>101</v>
      </c>
      <c r="E10" s="24" t="s">
        <v>1137</v>
      </c>
      <c r="F10" s="24" t="s">
        <v>102</v>
      </c>
      <c r="G10" s="24" t="s">
        <v>37</v>
      </c>
      <c r="H10" s="24" t="s">
        <v>118</v>
      </c>
      <c r="I10" s="24" t="s">
        <v>698</v>
      </c>
      <c r="J10" s="23" t="s">
        <v>220</v>
      </c>
      <c r="K10" s="23" t="s">
        <v>274</v>
      </c>
    </row>
    <row r="11" spans="1:11" ht="13.8" thickBot="1" x14ac:dyDescent="0.25">
      <c r="A11" s="23" t="s">
        <v>286</v>
      </c>
      <c r="B11" s="23" t="s">
        <v>396</v>
      </c>
      <c r="C11" s="23" t="s">
        <v>21</v>
      </c>
      <c r="D11" s="24" t="s">
        <v>120</v>
      </c>
      <c r="E11" s="24" t="s">
        <v>12</v>
      </c>
      <c r="F11" s="24" t="s">
        <v>107</v>
      </c>
      <c r="G11" s="24" t="s">
        <v>73</v>
      </c>
      <c r="H11" s="24" t="s">
        <v>121</v>
      </c>
      <c r="I11" s="24" t="s">
        <v>475</v>
      </c>
      <c r="J11" s="23" t="s">
        <v>220</v>
      </c>
      <c r="K11" s="23" t="s">
        <v>274</v>
      </c>
    </row>
    <row r="12" spans="1:11" ht="13.8" thickBot="1" x14ac:dyDescent="0.25">
      <c r="A12" s="23" t="s">
        <v>373</v>
      </c>
      <c r="B12" s="23" t="s">
        <v>396</v>
      </c>
      <c r="C12" s="23" t="s">
        <v>22</v>
      </c>
      <c r="D12" s="24" t="s">
        <v>478</v>
      </c>
      <c r="E12" s="24" t="s">
        <v>479</v>
      </c>
      <c r="F12" s="24" t="s">
        <v>480</v>
      </c>
      <c r="G12" s="24" t="s">
        <v>13</v>
      </c>
      <c r="H12" s="24" t="s">
        <v>481</v>
      </c>
      <c r="I12" s="24" t="s">
        <v>482</v>
      </c>
      <c r="J12" s="23" t="s">
        <v>222</v>
      </c>
      <c r="K12" s="23" t="s">
        <v>323</v>
      </c>
    </row>
    <row r="13" spans="1:11" ht="13.8" thickBot="1" x14ac:dyDescent="0.25">
      <c r="A13" s="23" t="s">
        <v>290</v>
      </c>
      <c r="B13" s="23" t="s">
        <v>396</v>
      </c>
      <c r="C13" s="23" t="s">
        <v>23</v>
      </c>
      <c r="D13" s="24" t="s">
        <v>101</v>
      </c>
      <c r="E13" s="24" t="s">
        <v>33</v>
      </c>
      <c r="F13" s="24" t="s">
        <v>102</v>
      </c>
      <c r="G13" s="24" t="s">
        <v>37</v>
      </c>
      <c r="H13" s="24" t="s">
        <v>118</v>
      </c>
      <c r="I13" s="24"/>
      <c r="J13" s="23" t="s">
        <v>291</v>
      </c>
      <c r="K13" s="23" t="s">
        <v>278</v>
      </c>
    </row>
    <row r="14" spans="1:11" ht="13.8" thickBot="1" x14ac:dyDescent="0.25">
      <c r="A14" s="23" t="s">
        <v>292</v>
      </c>
      <c r="B14" s="23" t="s">
        <v>396</v>
      </c>
      <c r="C14" s="23" t="s">
        <v>24</v>
      </c>
      <c r="D14" s="24" t="s">
        <v>101</v>
      </c>
      <c r="E14" s="24" t="s">
        <v>33</v>
      </c>
      <c r="F14" s="24" t="s">
        <v>102</v>
      </c>
      <c r="G14" s="24" t="s">
        <v>37</v>
      </c>
      <c r="H14" s="24" t="s">
        <v>118</v>
      </c>
      <c r="I14" s="24"/>
      <c r="J14" s="23" t="s">
        <v>291</v>
      </c>
      <c r="K14" s="23" t="s">
        <v>278</v>
      </c>
    </row>
    <row r="15" spans="1:11" ht="13.8" thickBot="1" x14ac:dyDescent="0.25">
      <c r="A15" s="23" t="s">
        <v>295</v>
      </c>
      <c r="B15" s="23" t="s">
        <v>396</v>
      </c>
      <c r="C15" s="23" t="s">
        <v>25</v>
      </c>
      <c r="D15" s="24" t="s">
        <v>103</v>
      </c>
      <c r="E15" s="24" t="s">
        <v>33</v>
      </c>
      <c r="F15" s="24" t="s">
        <v>104</v>
      </c>
      <c r="G15" s="24" t="s">
        <v>37</v>
      </c>
      <c r="H15" s="24" t="s">
        <v>119</v>
      </c>
      <c r="I15" s="24"/>
      <c r="J15" s="23" t="s">
        <v>260</v>
      </c>
      <c r="K15" s="23" t="s">
        <v>281</v>
      </c>
    </row>
    <row r="16" spans="1:11" ht="13.8" thickBot="1" x14ac:dyDescent="0.25">
      <c r="A16" s="23" t="s">
        <v>297</v>
      </c>
      <c r="B16" s="23" t="s">
        <v>396</v>
      </c>
      <c r="C16" s="23" t="s">
        <v>26</v>
      </c>
      <c r="D16" s="24" t="s">
        <v>103</v>
      </c>
      <c r="E16" s="24" t="s">
        <v>33</v>
      </c>
      <c r="F16" s="24" t="s">
        <v>104</v>
      </c>
      <c r="G16" s="24" t="s">
        <v>37</v>
      </c>
      <c r="H16" s="24" t="s">
        <v>119</v>
      </c>
      <c r="I16" s="24"/>
      <c r="J16" s="23" t="s">
        <v>260</v>
      </c>
      <c r="K16" s="23" t="s">
        <v>281</v>
      </c>
    </row>
    <row r="17" spans="1:11" ht="13.8" thickBot="1" x14ac:dyDescent="0.25">
      <c r="A17" s="23" t="s">
        <v>299</v>
      </c>
      <c r="B17" s="23" t="s">
        <v>396</v>
      </c>
      <c r="C17" s="23" t="s">
        <v>27</v>
      </c>
      <c r="D17" s="24" t="s">
        <v>112</v>
      </c>
      <c r="E17" s="24" t="s">
        <v>12</v>
      </c>
      <c r="F17" s="24" t="s">
        <v>113</v>
      </c>
      <c r="G17" s="24" t="s">
        <v>73</v>
      </c>
      <c r="H17" s="24" t="s">
        <v>114</v>
      </c>
      <c r="I17" s="24" t="s">
        <v>485</v>
      </c>
      <c r="J17" s="23" t="s">
        <v>262</v>
      </c>
      <c r="K17" s="23" t="s">
        <v>294</v>
      </c>
    </row>
    <row r="18" spans="1:11" ht="13.8" thickBot="1" x14ac:dyDescent="0.25">
      <c r="A18" s="23" t="s">
        <v>301</v>
      </c>
      <c r="B18" s="23" t="s">
        <v>396</v>
      </c>
      <c r="C18" s="23" t="s">
        <v>28</v>
      </c>
      <c r="D18" s="24" t="s">
        <v>120</v>
      </c>
      <c r="E18" s="24" t="s">
        <v>12</v>
      </c>
      <c r="F18" s="24" t="s">
        <v>107</v>
      </c>
      <c r="G18" s="24" t="s">
        <v>73</v>
      </c>
      <c r="H18" s="24" t="s">
        <v>121</v>
      </c>
      <c r="I18" s="24" t="s">
        <v>486</v>
      </c>
      <c r="J18" s="23" t="s">
        <v>262</v>
      </c>
      <c r="K18" s="23" t="s">
        <v>289</v>
      </c>
    </row>
    <row r="19" spans="1:11" ht="13.8" thickBot="1" x14ac:dyDescent="0.25">
      <c r="A19" s="23" t="s">
        <v>271</v>
      </c>
      <c r="B19" s="23" t="s">
        <v>396</v>
      </c>
      <c r="C19" s="23" t="s">
        <v>29</v>
      </c>
      <c r="D19" s="24" t="s">
        <v>112</v>
      </c>
      <c r="E19" s="24" t="s">
        <v>12</v>
      </c>
      <c r="F19" s="24" t="s">
        <v>113</v>
      </c>
      <c r="G19" s="24" t="s">
        <v>73</v>
      </c>
      <c r="H19" s="24" t="s">
        <v>114</v>
      </c>
      <c r="I19" s="24" t="s">
        <v>487</v>
      </c>
      <c r="J19" s="23" t="s">
        <v>257</v>
      </c>
      <c r="K19" s="23" t="s">
        <v>300</v>
      </c>
    </row>
    <row r="20" spans="1:11" ht="13.8" thickBot="1" x14ac:dyDescent="0.25">
      <c r="A20" s="23" t="s">
        <v>305</v>
      </c>
      <c r="B20" s="23" t="s">
        <v>396</v>
      </c>
      <c r="C20" s="23" t="s">
        <v>31</v>
      </c>
      <c r="D20" s="24" t="s">
        <v>112</v>
      </c>
      <c r="E20" s="24" t="s">
        <v>12</v>
      </c>
      <c r="F20" s="24" t="s">
        <v>113</v>
      </c>
      <c r="G20" s="24" t="s">
        <v>73</v>
      </c>
      <c r="H20" s="24" t="s">
        <v>114</v>
      </c>
      <c r="I20" s="24" t="s">
        <v>488</v>
      </c>
      <c r="J20" s="23" t="s">
        <v>257</v>
      </c>
      <c r="K20" s="23" t="s">
        <v>300</v>
      </c>
    </row>
    <row r="21" spans="1:11" ht="13.8" thickBot="1" x14ac:dyDescent="0.25">
      <c r="A21" s="23" t="s">
        <v>285</v>
      </c>
      <c r="B21" s="23" t="s">
        <v>396</v>
      </c>
      <c r="C21" s="23" t="s">
        <v>32</v>
      </c>
      <c r="D21" s="24" t="s">
        <v>132</v>
      </c>
      <c r="E21" s="24" t="s">
        <v>12</v>
      </c>
      <c r="F21" s="24" t="s">
        <v>106</v>
      </c>
      <c r="G21" s="24" t="s">
        <v>73</v>
      </c>
      <c r="H21" s="24" t="s">
        <v>133</v>
      </c>
      <c r="I21" s="24" t="s">
        <v>489</v>
      </c>
      <c r="J21" s="23" t="s">
        <v>270</v>
      </c>
      <c r="K21" s="23" t="s">
        <v>300</v>
      </c>
    </row>
    <row r="22" spans="1:11" ht="13.8" thickBot="1" x14ac:dyDescent="0.25">
      <c r="A22" s="23" t="s">
        <v>276</v>
      </c>
      <c r="B22" s="23" t="s">
        <v>396</v>
      </c>
      <c r="C22" s="23" t="s">
        <v>34</v>
      </c>
      <c r="D22" s="24" t="s">
        <v>132</v>
      </c>
      <c r="E22" s="24" t="s">
        <v>78</v>
      </c>
      <c r="F22" s="24" t="s">
        <v>106</v>
      </c>
      <c r="G22" s="24" t="s">
        <v>73</v>
      </c>
      <c r="H22" s="24" t="s">
        <v>133</v>
      </c>
      <c r="I22" s="24" t="s">
        <v>521</v>
      </c>
      <c r="J22" s="23" t="s">
        <v>270</v>
      </c>
      <c r="K22" s="23" t="s">
        <v>300</v>
      </c>
    </row>
    <row r="23" spans="1:11" ht="13.8" thickBot="1" x14ac:dyDescent="0.25">
      <c r="A23" s="23" t="s">
        <v>424</v>
      </c>
      <c r="B23" s="23" t="s">
        <v>396</v>
      </c>
      <c r="C23" s="23" t="s">
        <v>35</v>
      </c>
      <c r="D23" s="24" t="s">
        <v>120</v>
      </c>
      <c r="E23" s="24" t="s">
        <v>425</v>
      </c>
      <c r="F23" s="24" t="s">
        <v>107</v>
      </c>
      <c r="G23" s="24" t="s">
        <v>73</v>
      </c>
      <c r="H23" s="24" t="s">
        <v>121</v>
      </c>
      <c r="I23" s="24" t="s">
        <v>426</v>
      </c>
      <c r="J23" s="23" t="s">
        <v>284</v>
      </c>
      <c r="K23" s="23" t="s">
        <v>330</v>
      </c>
    </row>
    <row r="24" spans="1:11" ht="13.8" thickBot="1" x14ac:dyDescent="0.25">
      <c r="A24" s="23" t="s">
        <v>522</v>
      </c>
      <c r="B24" s="23" t="s">
        <v>396</v>
      </c>
      <c r="C24" s="23" t="s">
        <v>36</v>
      </c>
      <c r="D24" s="24" t="s">
        <v>112</v>
      </c>
      <c r="E24" s="24" t="s">
        <v>12</v>
      </c>
      <c r="F24" s="24" t="s">
        <v>113</v>
      </c>
      <c r="G24" s="24" t="s">
        <v>73</v>
      </c>
      <c r="H24" s="24" t="s">
        <v>114</v>
      </c>
      <c r="I24" s="24" t="s">
        <v>669</v>
      </c>
      <c r="J24" s="23" t="s">
        <v>284</v>
      </c>
      <c r="K24" s="23" t="s">
        <v>400</v>
      </c>
    </row>
    <row r="25" spans="1:11" ht="13.8" thickBot="1" x14ac:dyDescent="0.25">
      <c r="A25" s="23" t="s">
        <v>562</v>
      </c>
      <c r="B25" s="23" t="s">
        <v>396</v>
      </c>
      <c r="C25" s="23" t="s">
        <v>38</v>
      </c>
      <c r="D25" s="24" t="s">
        <v>103</v>
      </c>
      <c r="E25" s="24" t="s">
        <v>692</v>
      </c>
      <c r="F25" s="24" t="s">
        <v>104</v>
      </c>
      <c r="G25" s="24" t="s">
        <v>37</v>
      </c>
      <c r="H25" s="24" t="s">
        <v>119</v>
      </c>
      <c r="I25" s="24" t="s">
        <v>693</v>
      </c>
      <c r="J25" s="23" t="s">
        <v>288</v>
      </c>
      <c r="K25" s="23" t="s">
        <v>399</v>
      </c>
    </row>
    <row r="26" spans="1:11" ht="13.8" thickBot="1" x14ac:dyDescent="0.25">
      <c r="A26" s="23" t="s">
        <v>550</v>
      </c>
      <c r="B26" s="23" t="s">
        <v>396</v>
      </c>
      <c r="C26" s="23" t="s">
        <v>39</v>
      </c>
      <c r="D26" s="24" t="s">
        <v>90</v>
      </c>
      <c r="E26" s="24" t="s">
        <v>33</v>
      </c>
      <c r="F26" s="24" t="s">
        <v>91</v>
      </c>
      <c r="G26" s="24" t="s">
        <v>13</v>
      </c>
      <c r="H26" s="24" t="s">
        <v>92</v>
      </c>
      <c r="I26" s="24"/>
      <c r="J26" s="23" t="s">
        <v>288</v>
      </c>
      <c r="K26" s="23" t="s">
        <v>411</v>
      </c>
    </row>
    <row r="27" spans="1:11" ht="13.8" thickBot="1" x14ac:dyDescent="0.25">
      <c r="A27" s="23" t="s">
        <v>523</v>
      </c>
      <c r="B27" s="23" t="s">
        <v>396</v>
      </c>
      <c r="C27" s="23" t="s">
        <v>40</v>
      </c>
      <c r="D27" s="24" t="s">
        <v>120</v>
      </c>
      <c r="E27" s="24" t="s">
        <v>921</v>
      </c>
      <c r="F27" s="24" t="s">
        <v>107</v>
      </c>
      <c r="G27" s="24" t="s">
        <v>73</v>
      </c>
      <c r="H27" s="24" t="s">
        <v>121</v>
      </c>
      <c r="I27" s="24" t="s">
        <v>922</v>
      </c>
      <c r="J27" s="23" t="s">
        <v>288</v>
      </c>
      <c r="K27" s="23" t="s">
        <v>399</v>
      </c>
    </row>
    <row r="28" spans="1:11" ht="13.8" thickBot="1" x14ac:dyDescent="0.25">
      <c r="A28" s="23" t="s">
        <v>491</v>
      </c>
      <c r="B28" s="23" t="s">
        <v>396</v>
      </c>
      <c r="C28" s="23" t="s">
        <v>41</v>
      </c>
      <c r="D28" s="24" t="s">
        <v>103</v>
      </c>
      <c r="E28" s="24" t="s">
        <v>33</v>
      </c>
      <c r="F28" s="24" t="s">
        <v>104</v>
      </c>
      <c r="G28" s="24" t="s">
        <v>37</v>
      </c>
      <c r="H28" s="24" t="s">
        <v>119</v>
      </c>
      <c r="I28" s="24"/>
      <c r="J28" s="23" t="s">
        <v>281</v>
      </c>
      <c r="K28" s="23" t="s">
        <v>408</v>
      </c>
    </row>
    <row r="29" spans="1:11" ht="13.8" thickBot="1" x14ac:dyDescent="0.25">
      <c r="A29" s="23" t="s">
        <v>524</v>
      </c>
      <c r="B29" s="23" t="s">
        <v>396</v>
      </c>
      <c r="C29" s="23" t="s">
        <v>65</v>
      </c>
      <c r="D29" s="24" t="s">
        <v>132</v>
      </c>
      <c r="E29" s="24" t="s">
        <v>12</v>
      </c>
      <c r="F29" s="24" t="s">
        <v>106</v>
      </c>
      <c r="G29" s="24" t="s">
        <v>73</v>
      </c>
      <c r="H29" s="24" t="s">
        <v>133</v>
      </c>
      <c r="I29" s="24" t="s">
        <v>967</v>
      </c>
      <c r="J29" s="23" t="s">
        <v>281</v>
      </c>
      <c r="K29" s="23" t="s">
        <v>410</v>
      </c>
    </row>
    <row r="30" spans="1:11" ht="13.8" thickBot="1" x14ac:dyDescent="0.25">
      <c r="A30" s="23" t="s">
        <v>526</v>
      </c>
      <c r="B30" s="23" t="s">
        <v>396</v>
      </c>
      <c r="C30" s="23" t="s">
        <v>66</v>
      </c>
      <c r="D30" s="24" t="s">
        <v>98</v>
      </c>
      <c r="E30" s="24" t="s">
        <v>140</v>
      </c>
      <c r="F30" s="24" t="s">
        <v>94</v>
      </c>
      <c r="G30" s="24" t="s">
        <v>13</v>
      </c>
      <c r="H30" s="24" t="s">
        <v>99</v>
      </c>
      <c r="I30" s="24" t="s">
        <v>670</v>
      </c>
      <c r="J30" s="23" t="s">
        <v>281</v>
      </c>
      <c r="K30" s="23" t="s">
        <v>406</v>
      </c>
    </row>
    <row r="31" spans="1:11" ht="13.8" thickBot="1" x14ac:dyDescent="0.25">
      <c r="A31" s="23" t="s">
        <v>554</v>
      </c>
      <c r="B31" s="23" t="s">
        <v>396</v>
      </c>
      <c r="C31" s="23" t="s">
        <v>67</v>
      </c>
      <c r="D31" s="24" t="s">
        <v>90</v>
      </c>
      <c r="E31" s="24" t="s">
        <v>1135</v>
      </c>
      <c r="F31" s="24" t="s">
        <v>91</v>
      </c>
      <c r="G31" s="24" t="s">
        <v>13</v>
      </c>
      <c r="H31" s="24" t="s">
        <v>92</v>
      </c>
      <c r="I31" s="24" t="s">
        <v>1136</v>
      </c>
      <c r="J31" s="23" t="s">
        <v>323</v>
      </c>
      <c r="K31" s="23" t="s">
        <v>406</v>
      </c>
    </row>
    <row r="32" spans="1:11" ht="13.8" thickBot="1" x14ac:dyDescent="0.25">
      <c r="A32" s="23" t="s">
        <v>528</v>
      </c>
      <c r="B32" s="23" t="s">
        <v>396</v>
      </c>
      <c r="C32" s="23" t="s">
        <v>68</v>
      </c>
      <c r="D32" s="24" t="s">
        <v>120</v>
      </c>
      <c r="E32" s="24" t="s">
        <v>968</v>
      </c>
      <c r="F32" s="24" t="s">
        <v>107</v>
      </c>
      <c r="G32" s="24" t="s">
        <v>73</v>
      </c>
      <c r="H32" s="24" t="s">
        <v>121</v>
      </c>
      <c r="I32" s="24" t="s">
        <v>969</v>
      </c>
      <c r="J32" s="23" t="s">
        <v>323</v>
      </c>
      <c r="K32" s="23" t="s">
        <v>410</v>
      </c>
    </row>
    <row r="33" spans="1:11" ht="13.8" thickBot="1" x14ac:dyDescent="0.25">
      <c r="A33" s="23" t="s">
        <v>530</v>
      </c>
      <c r="B33" s="23" t="s">
        <v>396</v>
      </c>
      <c r="C33" s="23" t="s">
        <v>69</v>
      </c>
      <c r="D33" s="24" t="s">
        <v>120</v>
      </c>
      <c r="E33" s="24" t="s">
        <v>140</v>
      </c>
      <c r="F33" s="24" t="s">
        <v>107</v>
      </c>
      <c r="G33" s="24" t="s">
        <v>73</v>
      </c>
      <c r="H33" s="24" t="s">
        <v>121</v>
      </c>
      <c r="I33" s="24" t="s">
        <v>671</v>
      </c>
      <c r="J33" s="23" t="s">
        <v>323</v>
      </c>
      <c r="K33" s="23" t="s">
        <v>410</v>
      </c>
    </row>
    <row r="34" spans="1:11" ht="13.8" thickBot="1" x14ac:dyDescent="0.25">
      <c r="A34" s="23" t="s">
        <v>559</v>
      </c>
      <c r="B34" s="23" t="s">
        <v>396</v>
      </c>
      <c r="C34" s="23" t="s">
        <v>70</v>
      </c>
      <c r="D34" s="24" t="s">
        <v>81</v>
      </c>
      <c r="E34" s="24" t="s">
        <v>33</v>
      </c>
      <c r="F34" s="24" t="s">
        <v>82</v>
      </c>
      <c r="G34" s="24" t="s">
        <v>13</v>
      </c>
      <c r="H34" s="24" t="s">
        <v>100</v>
      </c>
      <c r="I34" s="24"/>
      <c r="J34" s="23" t="s">
        <v>296</v>
      </c>
      <c r="K34" s="23" t="s">
        <v>419</v>
      </c>
    </row>
    <row r="35" spans="1:11" ht="13.8" thickBot="1" x14ac:dyDescent="0.25">
      <c r="A35" s="23" t="s">
        <v>533</v>
      </c>
      <c r="B35" s="23" t="s">
        <v>396</v>
      </c>
      <c r="C35" s="23" t="s">
        <v>71</v>
      </c>
      <c r="D35" s="24" t="s">
        <v>101</v>
      </c>
      <c r="E35" s="24" t="s">
        <v>673</v>
      </c>
      <c r="F35" s="24" t="s">
        <v>102</v>
      </c>
      <c r="G35" s="24" t="s">
        <v>37</v>
      </c>
      <c r="H35" s="24" t="s">
        <v>118</v>
      </c>
      <c r="I35" s="24" t="s">
        <v>674</v>
      </c>
      <c r="J35" s="23" t="s">
        <v>296</v>
      </c>
      <c r="K35" s="23" t="s">
        <v>411</v>
      </c>
    </row>
    <row r="36" spans="1:11" ht="13.8" thickBot="1" x14ac:dyDescent="0.25">
      <c r="A36" s="23" t="s">
        <v>534</v>
      </c>
      <c r="B36" s="23" t="s">
        <v>396</v>
      </c>
      <c r="C36" s="23" t="s">
        <v>72</v>
      </c>
      <c r="D36" s="24" t="s">
        <v>112</v>
      </c>
      <c r="E36" s="24" t="s">
        <v>140</v>
      </c>
      <c r="F36" s="24" t="s">
        <v>113</v>
      </c>
      <c r="G36" s="24" t="s">
        <v>73</v>
      </c>
      <c r="H36" s="24" t="s">
        <v>114</v>
      </c>
      <c r="I36" s="24" t="s">
        <v>970</v>
      </c>
      <c r="J36" s="23" t="s">
        <v>296</v>
      </c>
      <c r="K36" s="23" t="s">
        <v>402</v>
      </c>
    </row>
    <row r="37" spans="1:11" ht="13.8" thickBot="1" x14ac:dyDescent="0.25">
      <c r="A37" s="23" t="s">
        <v>430</v>
      </c>
      <c r="B37" s="23" t="s">
        <v>396</v>
      </c>
      <c r="C37" s="23" t="s">
        <v>74</v>
      </c>
      <c r="D37" s="24" t="s">
        <v>103</v>
      </c>
      <c r="E37" s="24" t="s">
        <v>223</v>
      </c>
      <c r="F37" s="24" t="s">
        <v>104</v>
      </c>
      <c r="G37" s="24" t="s">
        <v>37</v>
      </c>
      <c r="H37" s="24" t="s">
        <v>119</v>
      </c>
      <c r="I37" s="24" t="s">
        <v>431</v>
      </c>
      <c r="J37" s="23" t="s">
        <v>289</v>
      </c>
      <c r="K37" s="23" t="s">
        <v>411</v>
      </c>
    </row>
    <row r="38" spans="1:11" ht="13.8" thickBot="1" x14ac:dyDescent="0.25">
      <c r="A38" s="23" t="s">
        <v>537</v>
      </c>
      <c r="B38" s="23" t="s">
        <v>396</v>
      </c>
      <c r="C38" s="23" t="s">
        <v>75</v>
      </c>
      <c r="D38" s="24" t="s">
        <v>122</v>
      </c>
      <c r="E38" s="24" t="s">
        <v>140</v>
      </c>
      <c r="F38" s="24" t="s">
        <v>105</v>
      </c>
      <c r="G38" s="24" t="s">
        <v>13</v>
      </c>
      <c r="H38" s="24" t="s">
        <v>123</v>
      </c>
      <c r="I38" s="24" t="s">
        <v>677</v>
      </c>
      <c r="J38" s="23" t="s">
        <v>289</v>
      </c>
      <c r="K38" s="23" t="s">
        <v>412</v>
      </c>
    </row>
    <row r="39" spans="1:11" ht="13.8" thickBot="1" x14ac:dyDescent="0.25">
      <c r="A39" s="23" t="s">
        <v>535</v>
      </c>
      <c r="B39" s="23" t="s">
        <v>396</v>
      </c>
      <c r="C39" s="23" t="s">
        <v>76</v>
      </c>
      <c r="D39" s="24" t="s">
        <v>132</v>
      </c>
      <c r="E39" s="24" t="s">
        <v>675</v>
      </c>
      <c r="F39" s="24" t="s">
        <v>106</v>
      </c>
      <c r="G39" s="24" t="s">
        <v>73</v>
      </c>
      <c r="H39" s="24" t="s">
        <v>133</v>
      </c>
      <c r="I39" s="24" t="s">
        <v>676</v>
      </c>
      <c r="J39" s="23" t="s">
        <v>289</v>
      </c>
      <c r="K39" s="23" t="s">
        <v>402</v>
      </c>
    </row>
    <row r="40" spans="1:11" ht="13.8" thickBot="1" x14ac:dyDescent="0.25">
      <c r="A40" s="23" t="s">
        <v>565</v>
      </c>
      <c r="B40" s="23" t="s">
        <v>396</v>
      </c>
      <c r="C40" s="23" t="s">
        <v>77</v>
      </c>
      <c r="D40" s="24" t="s">
        <v>103</v>
      </c>
      <c r="E40" s="24" t="s">
        <v>695</v>
      </c>
      <c r="F40" s="24" t="s">
        <v>104</v>
      </c>
      <c r="G40" s="24" t="s">
        <v>37</v>
      </c>
      <c r="H40" s="24" t="s">
        <v>119</v>
      </c>
      <c r="I40" s="24" t="s">
        <v>696</v>
      </c>
      <c r="J40" s="23" t="s">
        <v>294</v>
      </c>
      <c r="K40" s="23" t="s">
        <v>402</v>
      </c>
    </row>
    <row r="41" spans="1:11" ht="13.8" thickBot="1" x14ac:dyDescent="0.25">
      <c r="A41" s="23" t="s">
        <v>536</v>
      </c>
      <c r="B41" s="23" t="s">
        <v>396</v>
      </c>
      <c r="C41" s="23" t="s">
        <v>185</v>
      </c>
      <c r="D41" s="24" t="s">
        <v>95</v>
      </c>
      <c r="E41" s="24" t="s">
        <v>971</v>
      </c>
      <c r="F41" s="24" t="s">
        <v>96</v>
      </c>
      <c r="G41" s="24" t="s">
        <v>37</v>
      </c>
      <c r="H41" s="24" t="s">
        <v>97</v>
      </c>
      <c r="I41" s="24" t="s">
        <v>972</v>
      </c>
      <c r="J41" s="23" t="s">
        <v>300</v>
      </c>
      <c r="K41" s="23" t="s">
        <v>419</v>
      </c>
    </row>
    <row r="42" spans="1:11" ht="13.8" thickBot="1" x14ac:dyDescent="0.25">
      <c r="A42" s="23" t="s">
        <v>539</v>
      </c>
      <c r="B42" s="23" t="s">
        <v>396</v>
      </c>
      <c r="C42" s="23" t="s">
        <v>186</v>
      </c>
      <c r="D42" s="24" t="s">
        <v>101</v>
      </c>
      <c r="E42" s="24" t="s">
        <v>673</v>
      </c>
      <c r="F42" s="24" t="s">
        <v>102</v>
      </c>
      <c r="G42" s="24" t="s">
        <v>37</v>
      </c>
      <c r="H42" s="24" t="s">
        <v>118</v>
      </c>
      <c r="I42" s="24" t="s">
        <v>679</v>
      </c>
      <c r="J42" s="23" t="s">
        <v>300</v>
      </c>
      <c r="K42" s="23" t="s">
        <v>406</v>
      </c>
    </row>
    <row r="43" spans="1:11" ht="13.8" thickBot="1" x14ac:dyDescent="0.25">
      <c r="A43" s="23" t="s">
        <v>540</v>
      </c>
      <c r="B43" s="23" t="s">
        <v>396</v>
      </c>
      <c r="C43" s="23" t="s">
        <v>199</v>
      </c>
      <c r="D43" s="24" t="s">
        <v>187</v>
      </c>
      <c r="E43" s="24" t="s">
        <v>680</v>
      </c>
      <c r="F43" s="24" t="s">
        <v>188</v>
      </c>
      <c r="G43" s="24" t="s">
        <v>13</v>
      </c>
      <c r="H43" s="24" t="s">
        <v>189</v>
      </c>
      <c r="I43" s="24" t="s">
        <v>681</v>
      </c>
      <c r="J43" s="23" t="s">
        <v>300</v>
      </c>
      <c r="K43" s="23" t="s">
        <v>548</v>
      </c>
    </row>
    <row r="44" spans="1:11" ht="13.8" thickBot="1" x14ac:dyDescent="0.25">
      <c r="A44" s="23" t="s">
        <v>490</v>
      </c>
      <c r="B44" s="23" t="s">
        <v>396</v>
      </c>
      <c r="C44" s="23" t="s">
        <v>251</v>
      </c>
      <c r="D44" s="24" t="s">
        <v>81</v>
      </c>
      <c r="E44" s="24" t="s">
        <v>541</v>
      </c>
      <c r="F44" s="24" t="s">
        <v>82</v>
      </c>
      <c r="G44" s="24" t="s">
        <v>13</v>
      </c>
      <c r="H44" s="24" t="s">
        <v>100</v>
      </c>
      <c r="I44" s="24" t="s">
        <v>542</v>
      </c>
      <c r="J44" s="23" t="s">
        <v>298</v>
      </c>
      <c r="K44" s="23" t="s">
        <v>429</v>
      </c>
    </row>
    <row r="45" spans="1:11" ht="13.8" thickBot="1" x14ac:dyDescent="0.25">
      <c r="A45" s="23" t="s">
        <v>544</v>
      </c>
      <c r="B45" s="23" t="s">
        <v>396</v>
      </c>
      <c r="C45" s="23" t="s">
        <v>252</v>
      </c>
      <c r="D45" s="24" t="s">
        <v>98</v>
      </c>
      <c r="E45" s="24" t="s">
        <v>12</v>
      </c>
      <c r="F45" s="24" t="s">
        <v>94</v>
      </c>
      <c r="G45" s="24" t="s">
        <v>13</v>
      </c>
      <c r="H45" s="24" t="s">
        <v>99</v>
      </c>
      <c r="I45" s="24" t="s">
        <v>682</v>
      </c>
      <c r="J45" s="23" t="s">
        <v>298</v>
      </c>
      <c r="K45" s="23" t="s">
        <v>429</v>
      </c>
    </row>
    <row r="46" spans="1:11" ht="13.8" thickBot="1" x14ac:dyDescent="0.25">
      <c r="A46" s="23" t="s">
        <v>572</v>
      </c>
      <c r="B46" s="23" t="s">
        <v>396</v>
      </c>
      <c r="C46" s="23" t="s">
        <v>253</v>
      </c>
      <c r="D46" s="24" t="s">
        <v>101</v>
      </c>
      <c r="E46" s="24" t="s">
        <v>33</v>
      </c>
      <c r="F46" s="24" t="s">
        <v>102</v>
      </c>
      <c r="G46" s="24" t="s">
        <v>37</v>
      </c>
      <c r="H46" s="24" t="s">
        <v>118</v>
      </c>
      <c r="I46" s="24"/>
      <c r="J46" s="23" t="s">
        <v>298</v>
      </c>
      <c r="K46" s="23" t="s">
        <v>419</v>
      </c>
    </row>
    <row r="47" spans="1:11" ht="13.8" thickBot="1" x14ac:dyDescent="0.25">
      <c r="A47" s="23" t="s">
        <v>154</v>
      </c>
      <c r="B47" s="23" t="s">
        <v>396</v>
      </c>
      <c r="C47" s="23" t="s">
        <v>569</v>
      </c>
      <c r="D47" s="24" t="s">
        <v>155</v>
      </c>
      <c r="E47" s="24" t="s">
        <v>156</v>
      </c>
      <c r="F47" s="24" t="s">
        <v>157</v>
      </c>
      <c r="G47" s="24" t="s">
        <v>13</v>
      </c>
      <c r="H47" s="24" t="s">
        <v>158</v>
      </c>
      <c r="I47" s="24" t="s">
        <v>147</v>
      </c>
      <c r="J47" s="23" t="s">
        <v>400</v>
      </c>
      <c r="K47" s="23" t="s">
        <v>419</v>
      </c>
    </row>
    <row r="48" spans="1:11" ht="13.8" thickBot="1" x14ac:dyDescent="0.25">
      <c r="A48" s="23" t="s">
        <v>547</v>
      </c>
      <c r="B48" s="23" t="s">
        <v>396</v>
      </c>
      <c r="C48" s="23" t="s">
        <v>571</v>
      </c>
      <c r="D48" s="24" t="s">
        <v>81</v>
      </c>
      <c r="E48" s="24" t="s">
        <v>33</v>
      </c>
      <c r="F48" s="24" t="s">
        <v>82</v>
      </c>
      <c r="G48" s="24" t="s">
        <v>13</v>
      </c>
      <c r="H48" s="24" t="s">
        <v>100</v>
      </c>
      <c r="I48" s="24"/>
      <c r="J48" s="23" t="s">
        <v>400</v>
      </c>
      <c r="K48" s="23" t="s">
        <v>543</v>
      </c>
    </row>
    <row r="49" spans="1:11" ht="13.8" thickBot="1" x14ac:dyDescent="0.25">
      <c r="A49" s="23" t="s">
        <v>549</v>
      </c>
      <c r="B49" s="23" t="s">
        <v>396</v>
      </c>
      <c r="C49" s="23" t="s">
        <v>573</v>
      </c>
      <c r="D49" s="24" t="s">
        <v>101</v>
      </c>
      <c r="E49" s="24" t="s">
        <v>684</v>
      </c>
      <c r="F49" s="24" t="s">
        <v>102</v>
      </c>
      <c r="G49" s="24" t="s">
        <v>37</v>
      </c>
      <c r="H49" s="24" t="s">
        <v>118</v>
      </c>
      <c r="I49" s="24" t="s">
        <v>685</v>
      </c>
      <c r="J49" s="23" t="s">
        <v>400</v>
      </c>
      <c r="K49" s="23" t="s">
        <v>428</v>
      </c>
    </row>
    <row r="50" spans="1:11" ht="13.8" thickBot="1" x14ac:dyDescent="0.25">
      <c r="A50" s="23" t="s">
        <v>545</v>
      </c>
      <c r="B50" s="23" t="s">
        <v>396</v>
      </c>
      <c r="C50" s="23" t="s">
        <v>925</v>
      </c>
      <c r="D50" s="24" t="s">
        <v>122</v>
      </c>
      <c r="E50" s="24" t="s">
        <v>12</v>
      </c>
      <c r="F50" s="24" t="s">
        <v>105</v>
      </c>
      <c r="G50" s="24" t="s">
        <v>13</v>
      </c>
      <c r="H50" s="24" t="s">
        <v>123</v>
      </c>
      <c r="I50" s="24" t="s">
        <v>683</v>
      </c>
      <c r="J50" s="23" t="s">
        <v>400</v>
      </c>
      <c r="K50" s="23" t="s">
        <v>543</v>
      </c>
    </row>
    <row r="51" spans="1:11" ht="13.8" thickBot="1" x14ac:dyDescent="0.25">
      <c r="A51" s="23" t="s">
        <v>427</v>
      </c>
      <c r="B51" s="23" t="s">
        <v>396</v>
      </c>
      <c r="C51" s="23" t="s">
        <v>1265</v>
      </c>
      <c r="D51" s="24" t="s">
        <v>122</v>
      </c>
      <c r="E51" s="24" t="s">
        <v>414</v>
      </c>
      <c r="F51" s="24" t="s">
        <v>105</v>
      </c>
      <c r="G51" s="24" t="s">
        <v>13</v>
      </c>
      <c r="H51" s="24" t="s">
        <v>123</v>
      </c>
      <c r="I51" s="24" t="s">
        <v>923</v>
      </c>
      <c r="J51" s="23" t="s">
        <v>408</v>
      </c>
      <c r="K51" s="23" t="s">
        <v>548</v>
      </c>
    </row>
    <row r="52" spans="1:11" ht="13.8" thickBot="1" x14ac:dyDescent="0.25">
      <c r="A52" s="23" t="s">
        <v>552</v>
      </c>
      <c r="B52" s="23" t="s">
        <v>396</v>
      </c>
      <c r="C52" s="23" t="s">
        <v>1410</v>
      </c>
      <c r="D52" s="24" t="s">
        <v>120</v>
      </c>
      <c r="E52" s="24" t="s">
        <v>12</v>
      </c>
      <c r="F52" s="24" t="s">
        <v>107</v>
      </c>
      <c r="G52" s="24" t="s">
        <v>73</v>
      </c>
      <c r="H52" s="24" t="s">
        <v>121</v>
      </c>
      <c r="I52" s="24" t="s">
        <v>687</v>
      </c>
      <c r="J52" s="23" t="s">
        <v>408</v>
      </c>
      <c r="K52" s="23" t="s">
        <v>512</v>
      </c>
    </row>
    <row r="53" spans="1:11" ht="13.8" thickBot="1" x14ac:dyDescent="0.25">
      <c r="A53" s="23" t="s">
        <v>553</v>
      </c>
      <c r="B53" s="23" t="s">
        <v>396</v>
      </c>
      <c r="C53" s="23" t="s">
        <v>1411</v>
      </c>
      <c r="D53" s="24" t="s">
        <v>122</v>
      </c>
      <c r="E53" s="24" t="s">
        <v>78</v>
      </c>
      <c r="F53" s="24" t="s">
        <v>105</v>
      </c>
      <c r="G53" s="24" t="s">
        <v>13</v>
      </c>
      <c r="H53" s="24" t="s">
        <v>123</v>
      </c>
      <c r="I53" s="24" t="s">
        <v>688</v>
      </c>
      <c r="J53" s="23" t="s">
        <v>408</v>
      </c>
      <c r="K53" s="23" t="s">
        <v>548</v>
      </c>
    </row>
    <row r="54" spans="1:11" ht="13.8" thickBot="1" x14ac:dyDescent="0.25">
      <c r="A54" s="23" t="s">
        <v>555</v>
      </c>
      <c r="B54" s="23" t="s">
        <v>396</v>
      </c>
      <c r="C54" s="23" t="s">
        <v>1412</v>
      </c>
      <c r="D54" s="24" t="s">
        <v>101</v>
      </c>
      <c r="E54" s="24" t="s">
        <v>673</v>
      </c>
      <c r="F54" s="24" t="s">
        <v>102</v>
      </c>
      <c r="G54" s="24" t="s">
        <v>37</v>
      </c>
      <c r="H54" s="24" t="s">
        <v>118</v>
      </c>
      <c r="I54" s="24" t="s">
        <v>689</v>
      </c>
      <c r="J54" s="23" t="s">
        <v>410</v>
      </c>
      <c r="K54" s="23" t="s">
        <v>512</v>
      </c>
    </row>
    <row r="55" spans="1:11" ht="13.8" thickBot="1" x14ac:dyDescent="0.25">
      <c r="A55" s="23" t="s">
        <v>531</v>
      </c>
      <c r="B55" s="23" t="s">
        <v>396</v>
      </c>
      <c r="C55" s="23" t="s">
        <v>1413</v>
      </c>
      <c r="D55" s="24" t="s">
        <v>98</v>
      </c>
      <c r="E55" s="24" t="s">
        <v>12</v>
      </c>
      <c r="F55" s="24" t="s">
        <v>94</v>
      </c>
      <c r="G55" s="24" t="s">
        <v>13</v>
      </c>
      <c r="H55" s="24" t="s">
        <v>99</v>
      </c>
      <c r="I55" s="24" t="s">
        <v>672</v>
      </c>
      <c r="J55" s="23" t="s">
        <v>410</v>
      </c>
      <c r="K55" s="23" t="s">
        <v>505</v>
      </c>
    </row>
    <row r="56" spans="1:11" ht="13.8" thickBot="1" x14ac:dyDescent="0.25">
      <c r="A56" s="23" t="s">
        <v>570</v>
      </c>
      <c r="B56" s="23" t="s">
        <v>396</v>
      </c>
      <c r="C56" s="23" t="s">
        <v>1414</v>
      </c>
      <c r="D56" s="24" t="s">
        <v>101</v>
      </c>
      <c r="E56" s="24" t="s">
        <v>33</v>
      </c>
      <c r="F56" s="24" t="s">
        <v>102</v>
      </c>
      <c r="G56" s="24" t="s">
        <v>37</v>
      </c>
      <c r="H56" s="24" t="s">
        <v>118</v>
      </c>
      <c r="I56" s="24"/>
      <c r="J56" s="23" t="s">
        <v>410</v>
      </c>
      <c r="K56" s="23" t="s">
        <v>512</v>
      </c>
    </row>
    <row r="57" spans="1:11" ht="13.8" thickBot="1" x14ac:dyDescent="0.25">
      <c r="A57" s="23" t="s">
        <v>556</v>
      </c>
      <c r="B57" s="23" t="s">
        <v>396</v>
      </c>
      <c r="C57" s="23" t="s">
        <v>1415</v>
      </c>
      <c r="D57" s="24" t="s">
        <v>90</v>
      </c>
      <c r="E57" s="24" t="s">
        <v>33</v>
      </c>
      <c r="F57" s="24" t="s">
        <v>91</v>
      </c>
      <c r="G57" s="24" t="s">
        <v>13</v>
      </c>
      <c r="H57" s="24" t="s">
        <v>92</v>
      </c>
      <c r="I57" s="24"/>
      <c r="J57" s="23" t="s">
        <v>411</v>
      </c>
      <c r="K57" s="23" t="s">
        <v>505</v>
      </c>
    </row>
    <row r="58" spans="1:11" ht="13.8" thickBot="1" x14ac:dyDescent="0.25">
      <c r="A58" s="23" t="s">
        <v>538</v>
      </c>
      <c r="B58" s="23" t="s">
        <v>396</v>
      </c>
      <c r="C58" s="23" t="s">
        <v>1416</v>
      </c>
      <c r="D58" s="24" t="s">
        <v>101</v>
      </c>
      <c r="E58" s="24" t="s">
        <v>673</v>
      </c>
      <c r="F58" s="24" t="s">
        <v>102</v>
      </c>
      <c r="G58" s="24" t="s">
        <v>37</v>
      </c>
      <c r="H58" s="24" t="s">
        <v>118</v>
      </c>
      <c r="I58" s="24" t="s">
        <v>678</v>
      </c>
      <c r="J58" s="23" t="s">
        <v>411</v>
      </c>
      <c r="K58" s="23" t="s">
        <v>543</v>
      </c>
    </row>
    <row r="59" spans="1:11" ht="13.8" thickBot="1" x14ac:dyDescent="0.25">
      <c r="A59" s="23" t="s">
        <v>558</v>
      </c>
      <c r="B59" s="23" t="s">
        <v>396</v>
      </c>
      <c r="C59" s="23" t="s">
        <v>1417</v>
      </c>
      <c r="D59" s="24" t="s">
        <v>132</v>
      </c>
      <c r="E59" s="24" t="s">
        <v>12</v>
      </c>
      <c r="F59" s="24" t="s">
        <v>106</v>
      </c>
      <c r="G59" s="24" t="s">
        <v>73</v>
      </c>
      <c r="H59" s="24" t="s">
        <v>133</v>
      </c>
      <c r="I59" s="24" t="s">
        <v>691</v>
      </c>
      <c r="J59" s="23" t="s">
        <v>411</v>
      </c>
      <c r="K59" s="23" t="s">
        <v>546</v>
      </c>
    </row>
    <row r="60" spans="1:11" ht="13.8" thickBot="1" x14ac:dyDescent="0.25">
      <c r="A60" s="23" t="s">
        <v>532</v>
      </c>
      <c r="B60" s="23" t="s">
        <v>396</v>
      </c>
      <c r="C60" s="23" t="s">
        <v>1418</v>
      </c>
      <c r="D60" s="24" t="s">
        <v>81</v>
      </c>
      <c r="E60" s="24" t="s">
        <v>1138</v>
      </c>
      <c r="F60" s="24" t="s">
        <v>82</v>
      </c>
      <c r="G60" s="24" t="s">
        <v>13</v>
      </c>
      <c r="H60" s="24" t="s">
        <v>100</v>
      </c>
      <c r="I60" s="24" t="s">
        <v>1139</v>
      </c>
      <c r="J60" s="23" t="s">
        <v>402</v>
      </c>
      <c r="K60" s="23" t="s">
        <v>508</v>
      </c>
    </row>
    <row r="61" spans="1:11" ht="13.8" thickBot="1" x14ac:dyDescent="0.25">
      <c r="A61" s="23" t="s">
        <v>560</v>
      </c>
      <c r="B61" s="23" t="s">
        <v>396</v>
      </c>
      <c r="C61" s="23" t="s">
        <v>1419</v>
      </c>
      <c r="D61" s="24" t="s">
        <v>103</v>
      </c>
      <c r="E61" s="24" t="s">
        <v>33</v>
      </c>
      <c r="F61" s="24" t="s">
        <v>104</v>
      </c>
      <c r="G61" s="24" t="s">
        <v>37</v>
      </c>
      <c r="H61" s="24" t="s">
        <v>119</v>
      </c>
      <c r="I61" s="24"/>
      <c r="J61" s="23" t="s">
        <v>402</v>
      </c>
      <c r="K61" s="23" t="s">
        <v>546</v>
      </c>
    </row>
    <row r="62" spans="1:11" ht="13.8" thickBot="1" x14ac:dyDescent="0.25">
      <c r="A62" s="23" t="s">
        <v>561</v>
      </c>
      <c r="B62" s="23" t="s">
        <v>396</v>
      </c>
      <c r="C62" s="23" t="s">
        <v>1420</v>
      </c>
      <c r="D62" s="24" t="s">
        <v>112</v>
      </c>
      <c r="E62" s="24" t="s">
        <v>12</v>
      </c>
      <c r="F62" s="24" t="s">
        <v>113</v>
      </c>
      <c r="G62" s="24" t="s">
        <v>73</v>
      </c>
      <c r="H62" s="24" t="s">
        <v>114</v>
      </c>
      <c r="I62" s="24" t="s">
        <v>973</v>
      </c>
      <c r="J62" s="23" t="s">
        <v>402</v>
      </c>
      <c r="K62" s="23" t="s">
        <v>505</v>
      </c>
    </row>
    <row r="63" spans="1:11" ht="13.8" thickBot="1" x14ac:dyDescent="0.25">
      <c r="A63" s="23" t="s">
        <v>525</v>
      </c>
      <c r="B63" s="23" t="s">
        <v>396</v>
      </c>
      <c r="C63" s="23" t="s">
        <v>1421</v>
      </c>
      <c r="D63" s="24" t="s">
        <v>132</v>
      </c>
      <c r="E63" s="24" t="s">
        <v>78</v>
      </c>
      <c r="F63" s="24" t="s">
        <v>106</v>
      </c>
      <c r="G63" s="24" t="s">
        <v>73</v>
      </c>
      <c r="H63" s="24" t="s">
        <v>133</v>
      </c>
      <c r="I63" s="24" t="s">
        <v>974</v>
      </c>
      <c r="J63" s="23" t="s">
        <v>406</v>
      </c>
      <c r="K63" s="23" t="s">
        <v>505</v>
      </c>
    </row>
    <row r="64" spans="1:11" ht="13.8" thickBot="1" x14ac:dyDescent="0.25">
      <c r="A64" s="23" t="s">
        <v>563</v>
      </c>
      <c r="B64" s="23" t="s">
        <v>396</v>
      </c>
      <c r="C64" s="23" t="s">
        <v>1422</v>
      </c>
      <c r="D64" s="24" t="s">
        <v>122</v>
      </c>
      <c r="E64" s="24" t="s">
        <v>195</v>
      </c>
      <c r="F64" s="24" t="s">
        <v>105</v>
      </c>
      <c r="G64" s="24" t="s">
        <v>13</v>
      </c>
      <c r="H64" s="24" t="s">
        <v>123</v>
      </c>
      <c r="I64" s="24" t="s">
        <v>694</v>
      </c>
      <c r="J64" s="23" t="s">
        <v>406</v>
      </c>
      <c r="K64" s="23" t="s">
        <v>513</v>
      </c>
    </row>
    <row r="65" spans="1:11" ht="13.8" thickBot="1" x14ac:dyDescent="0.25">
      <c r="A65" s="23" t="s">
        <v>564</v>
      </c>
      <c r="B65" s="23" t="s">
        <v>396</v>
      </c>
      <c r="C65" s="23" t="s">
        <v>1423</v>
      </c>
      <c r="D65" s="24" t="s">
        <v>132</v>
      </c>
      <c r="E65" s="24" t="s">
        <v>140</v>
      </c>
      <c r="F65" s="24" t="s">
        <v>106</v>
      </c>
      <c r="G65" s="24" t="s">
        <v>73</v>
      </c>
      <c r="H65" s="24" t="s">
        <v>133</v>
      </c>
      <c r="I65" s="24" t="s">
        <v>975</v>
      </c>
      <c r="J65" s="23" t="s">
        <v>406</v>
      </c>
      <c r="K65" s="23" t="s">
        <v>505</v>
      </c>
    </row>
    <row r="66" spans="1:11" ht="13.8" thickBot="1" x14ac:dyDescent="0.25">
      <c r="A66" s="23" t="s">
        <v>492</v>
      </c>
      <c r="B66" s="23" t="s">
        <v>396</v>
      </c>
      <c r="C66" s="23" t="s">
        <v>1424</v>
      </c>
      <c r="D66" s="24" t="s">
        <v>103</v>
      </c>
      <c r="E66" s="24" t="s">
        <v>493</v>
      </c>
      <c r="F66" s="24" t="s">
        <v>104</v>
      </c>
      <c r="G66" s="24" t="s">
        <v>37</v>
      </c>
      <c r="H66" s="24" t="s">
        <v>119</v>
      </c>
      <c r="I66" s="24" t="s">
        <v>494</v>
      </c>
      <c r="J66" s="23" t="s">
        <v>412</v>
      </c>
      <c r="K66" s="23" t="s">
        <v>451</v>
      </c>
    </row>
    <row r="67" spans="1:11" ht="13.8" thickBot="1" x14ac:dyDescent="0.25">
      <c r="A67" s="23" t="s">
        <v>567</v>
      </c>
      <c r="B67" s="23" t="s">
        <v>396</v>
      </c>
      <c r="C67" s="23" t="s">
        <v>1425</v>
      </c>
      <c r="D67" s="24" t="s">
        <v>120</v>
      </c>
      <c r="E67" s="24" t="s">
        <v>195</v>
      </c>
      <c r="F67" s="24" t="s">
        <v>107</v>
      </c>
      <c r="G67" s="24" t="s">
        <v>73</v>
      </c>
      <c r="H67" s="24" t="s">
        <v>121</v>
      </c>
      <c r="I67" s="24" t="s">
        <v>924</v>
      </c>
      <c r="J67" s="23" t="s">
        <v>412</v>
      </c>
      <c r="K67" s="23" t="s">
        <v>508</v>
      </c>
    </row>
    <row r="68" spans="1:11" ht="13.8" thickBot="1" x14ac:dyDescent="0.25">
      <c r="A68" s="23" t="s">
        <v>551</v>
      </c>
      <c r="B68" s="23" t="s">
        <v>396</v>
      </c>
      <c r="C68" s="23" t="s">
        <v>1426</v>
      </c>
      <c r="D68" s="24" t="s">
        <v>120</v>
      </c>
      <c r="E68" s="24" t="s">
        <v>12</v>
      </c>
      <c r="F68" s="24" t="s">
        <v>107</v>
      </c>
      <c r="G68" s="24" t="s">
        <v>73</v>
      </c>
      <c r="H68" s="24" t="s">
        <v>121</v>
      </c>
      <c r="I68" s="24" t="s">
        <v>686</v>
      </c>
      <c r="J68" s="23" t="s">
        <v>418</v>
      </c>
      <c r="K68" s="23" t="s">
        <v>510</v>
      </c>
    </row>
    <row r="69" spans="1:11" ht="13.8" thickBot="1" x14ac:dyDescent="0.25">
      <c r="A69" s="23" t="s">
        <v>557</v>
      </c>
      <c r="B69" s="23" t="s">
        <v>396</v>
      </c>
      <c r="C69" s="23" t="s">
        <v>1427</v>
      </c>
      <c r="D69" s="24" t="s">
        <v>112</v>
      </c>
      <c r="E69" s="24" t="s">
        <v>12</v>
      </c>
      <c r="F69" s="24" t="s">
        <v>113</v>
      </c>
      <c r="G69" s="24" t="s">
        <v>73</v>
      </c>
      <c r="H69" s="24" t="s">
        <v>114</v>
      </c>
      <c r="I69" s="24" t="s">
        <v>690</v>
      </c>
      <c r="J69" s="23" t="s">
        <v>418</v>
      </c>
      <c r="K69" s="23" t="s">
        <v>513</v>
      </c>
    </row>
    <row r="70" spans="1:11" ht="13.8" thickBot="1" x14ac:dyDescent="0.25">
      <c r="A70" s="23" t="s">
        <v>568</v>
      </c>
      <c r="B70" s="23" t="s">
        <v>396</v>
      </c>
      <c r="C70" s="23" t="s">
        <v>1428</v>
      </c>
      <c r="D70" s="24" t="s">
        <v>132</v>
      </c>
      <c r="E70" s="24" t="s">
        <v>140</v>
      </c>
      <c r="F70" s="24" t="s">
        <v>106</v>
      </c>
      <c r="G70" s="24" t="s">
        <v>73</v>
      </c>
      <c r="H70" s="24" t="s">
        <v>133</v>
      </c>
      <c r="I70" s="24" t="s">
        <v>976</v>
      </c>
      <c r="J70" s="23" t="s">
        <v>418</v>
      </c>
      <c r="K70" s="23" t="s">
        <v>510</v>
      </c>
    </row>
    <row r="71" spans="1:11" ht="13.8" thickBot="1" x14ac:dyDescent="0.25">
      <c r="A71" s="23" t="s">
        <v>699</v>
      </c>
      <c r="B71" s="23" t="s">
        <v>574</v>
      </c>
      <c r="C71" s="23" t="s">
        <v>11</v>
      </c>
      <c r="D71" s="24" t="s">
        <v>98</v>
      </c>
      <c r="E71" s="24" t="s">
        <v>12</v>
      </c>
      <c r="F71" s="24" t="s">
        <v>94</v>
      </c>
      <c r="G71" s="24" t="s">
        <v>13</v>
      </c>
      <c r="H71" s="24" t="s">
        <v>99</v>
      </c>
      <c r="I71" s="24" t="s">
        <v>926</v>
      </c>
      <c r="J71" s="23" t="s">
        <v>419</v>
      </c>
      <c r="K71" s="23" t="s">
        <v>510</v>
      </c>
    </row>
    <row r="72" spans="1:11" ht="13.8" thickBot="1" x14ac:dyDescent="0.25">
      <c r="A72" s="23" t="s">
        <v>700</v>
      </c>
      <c r="B72" s="23" t="s">
        <v>574</v>
      </c>
      <c r="C72" s="23" t="s">
        <v>14</v>
      </c>
      <c r="D72" s="24" t="s">
        <v>187</v>
      </c>
      <c r="E72" s="24" t="s">
        <v>12</v>
      </c>
      <c r="F72" s="24" t="s">
        <v>188</v>
      </c>
      <c r="G72" s="24" t="s">
        <v>13</v>
      </c>
      <c r="H72" s="24" t="s">
        <v>189</v>
      </c>
      <c r="I72" s="24" t="s">
        <v>927</v>
      </c>
      <c r="J72" s="23" t="s">
        <v>429</v>
      </c>
      <c r="K72" s="23" t="s">
        <v>587</v>
      </c>
    </row>
    <row r="73" spans="1:11" ht="13.8" thickBot="1" x14ac:dyDescent="0.25">
      <c r="A73" s="23" t="s">
        <v>590</v>
      </c>
      <c r="B73" s="23" t="s">
        <v>574</v>
      </c>
      <c r="C73" s="23" t="s">
        <v>15</v>
      </c>
      <c r="D73" s="24" t="s">
        <v>120</v>
      </c>
      <c r="E73" s="24" t="s">
        <v>591</v>
      </c>
      <c r="F73" s="24" t="s">
        <v>107</v>
      </c>
      <c r="G73" s="24" t="s">
        <v>73</v>
      </c>
      <c r="H73" s="24" t="s">
        <v>592</v>
      </c>
      <c r="I73" s="24" t="s">
        <v>593</v>
      </c>
      <c r="J73" s="23" t="s">
        <v>429</v>
      </c>
      <c r="K73" s="23" t="s">
        <v>980</v>
      </c>
    </row>
    <row r="74" spans="1:11" ht="13.8" thickBot="1" x14ac:dyDescent="0.25">
      <c r="A74" s="23" t="s">
        <v>712</v>
      </c>
      <c r="B74" s="23" t="s">
        <v>574</v>
      </c>
      <c r="C74" s="23" t="s">
        <v>16</v>
      </c>
      <c r="D74" s="24" t="s">
        <v>103</v>
      </c>
      <c r="E74" s="24" t="s">
        <v>713</v>
      </c>
      <c r="F74" s="24" t="s">
        <v>104</v>
      </c>
      <c r="G74" s="24" t="s">
        <v>37</v>
      </c>
      <c r="H74" s="24" t="s">
        <v>119</v>
      </c>
      <c r="I74" s="24" t="s">
        <v>714</v>
      </c>
      <c r="J74" s="23" t="s">
        <v>512</v>
      </c>
      <c r="K74" s="23" t="s">
        <v>513</v>
      </c>
    </row>
    <row r="75" spans="1:11" ht="13.8" thickBot="1" x14ac:dyDescent="0.25">
      <c r="A75" s="23" t="s">
        <v>701</v>
      </c>
      <c r="B75" s="23" t="s">
        <v>574</v>
      </c>
      <c r="C75" s="23" t="s">
        <v>17</v>
      </c>
      <c r="D75" s="24" t="s">
        <v>98</v>
      </c>
      <c r="E75" s="24" t="s">
        <v>140</v>
      </c>
      <c r="F75" s="24" t="s">
        <v>94</v>
      </c>
      <c r="G75" s="24" t="s">
        <v>13</v>
      </c>
      <c r="H75" s="24" t="s">
        <v>99</v>
      </c>
      <c r="I75" s="24" t="s">
        <v>977</v>
      </c>
      <c r="J75" s="23" t="s">
        <v>512</v>
      </c>
      <c r="K75" s="23" t="s">
        <v>575</v>
      </c>
    </row>
    <row r="76" spans="1:11" ht="13.8" thickBot="1" x14ac:dyDescent="0.25">
      <c r="A76" s="23" t="s">
        <v>718</v>
      </c>
      <c r="B76" s="23" t="s">
        <v>574</v>
      </c>
      <c r="C76" s="23" t="s">
        <v>18</v>
      </c>
      <c r="D76" s="24" t="s">
        <v>101</v>
      </c>
      <c r="E76" s="24" t="s">
        <v>719</v>
      </c>
      <c r="F76" s="24" t="s">
        <v>102</v>
      </c>
      <c r="G76" s="24" t="s">
        <v>37</v>
      </c>
      <c r="H76" s="24" t="s">
        <v>118</v>
      </c>
      <c r="I76" s="24" t="s">
        <v>720</v>
      </c>
      <c r="J76" s="23" t="s">
        <v>543</v>
      </c>
      <c r="K76" s="23" t="s">
        <v>576</v>
      </c>
    </row>
    <row r="77" spans="1:11" ht="13.8" thickBot="1" x14ac:dyDescent="0.25">
      <c r="A77" s="23" t="s">
        <v>704</v>
      </c>
      <c r="B77" s="23" t="s">
        <v>574</v>
      </c>
      <c r="C77" s="23" t="s">
        <v>19</v>
      </c>
      <c r="D77" s="24" t="s">
        <v>120</v>
      </c>
      <c r="E77" s="24" t="s">
        <v>195</v>
      </c>
      <c r="F77" s="24" t="s">
        <v>107</v>
      </c>
      <c r="G77" s="24" t="s">
        <v>73</v>
      </c>
      <c r="H77" s="24" t="s">
        <v>121</v>
      </c>
      <c r="I77" s="24" t="s">
        <v>978</v>
      </c>
      <c r="J77" s="23" t="s">
        <v>543</v>
      </c>
      <c r="K77" s="23" t="s">
        <v>577</v>
      </c>
    </row>
    <row r="78" spans="1:11" ht="13.8" thickBot="1" x14ac:dyDescent="0.25">
      <c r="A78" s="23" t="s">
        <v>705</v>
      </c>
      <c r="B78" s="23" t="s">
        <v>574</v>
      </c>
      <c r="C78" s="23" t="s">
        <v>20</v>
      </c>
      <c r="D78" s="24" t="s">
        <v>120</v>
      </c>
      <c r="E78" s="24" t="s">
        <v>1140</v>
      </c>
      <c r="F78" s="24" t="s">
        <v>107</v>
      </c>
      <c r="G78" s="24" t="s">
        <v>73</v>
      </c>
      <c r="H78" s="24" t="s">
        <v>121</v>
      </c>
      <c r="I78" s="24" t="s">
        <v>1141</v>
      </c>
      <c r="J78" s="23" t="s">
        <v>546</v>
      </c>
      <c r="K78" s="23" t="s">
        <v>578</v>
      </c>
    </row>
    <row r="79" spans="1:11" ht="13.8" thickBot="1" x14ac:dyDescent="0.25">
      <c r="A79" s="23" t="s">
        <v>702</v>
      </c>
      <c r="B79" s="23" t="s">
        <v>574</v>
      </c>
      <c r="C79" s="23" t="s">
        <v>21</v>
      </c>
      <c r="D79" s="24" t="s">
        <v>122</v>
      </c>
      <c r="E79" s="24" t="s">
        <v>12</v>
      </c>
      <c r="F79" s="24" t="s">
        <v>105</v>
      </c>
      <c r="G79" s="24" t="s">
        <v>13</v>
      </c>
      <c r="H79" s="24" t="s">
        <v>123</v>
      </c>
      <c r="I79" s="24" t="s">
        <v>979</v>
      </c>
      <c r="J79" s="23" t="s">
        <v>546</v>
      </c>
      <c r="K79" s="23" t="s">
        <v>581</v>
      </c>
    </row>
    <row r="80" spans="1:11" ht="13.8" thickBot="1" x14ac:dyDescent="0.25">
      <c r="A80" s="23" t="s">
        <v>703</v>
      </c>
      <c r="B80" s="23" t="s">
        <v>574</v>
      </c>
      <c r="C80" s="23" t="s">
        <v>22</v>
      </c>
      <c r="D80" s="24" t="s">
        <v>81</v>
      </c>
      <c r="E80" s="24" t="s">
        <v>981</v>
      </c>
      <c r="F80" s="24" t="s">
        <v>82</v>
      </c>
      <c r="G80" s="24" t="s">
        <v>13</v>
      </c>
      <c r="H80" s="24" t="s">
        <v>100</v>
      </c>
      <c r="I80" s="24" t="s">
        <v>982</v>
      </c>
      <c r="J80" s="23" t="s">
        <v>505</v>
      </c>
      <c r="K80" s="23" t="s">
        <v>585</v>
      </c>
    </row>
    <row r="81" spans="1:11" ht="13.8" thickBot="1" x14ac:dyDescent="0.25">
      <c r="A81" s="23" t="s">
        <v>722</v>
      </c>
      <c r="B81" s="23" t="s">
        <v>574</v>
      </c>
      <c r="C81" s="23" t="s">
        <v>23</v>
      </c>
      <c r="D81" s="24" t="s">
        <v>120</v>
      </c>
      <c r="E81" s="24" t="s">
        <v>1140</v>
      </c>
      <c r="F81" s="24" t="s">
        <v>107</v>
      </c>
      <c r="G81" s="24" t="s">
        <v>73</v>
      </c>
      <c r="H81" s="24" t="s">
        <v>121</v>
      </c>
      <c r="I81" s="24" t="s">
        <v>1142</v>
      </c>
      <c r="J81" s="23" t="s">
        <v>505</v>
      </c>
      <c r="K81" s="23" t="s">
        <v>581</v>
      </c>
    </row>
    <row r="82" spans="1:11" ht="13.8" thickBot="1" x14ac:dyDescent="0.25">
      <c r="A82" s="23" t="s">
        <v>708</v>
      </c>
      <c r="B82" s="23" t="s">
        <v>574</v>
      </c>
      <c r="C82" s="23" t="s">
        <v>24</v>
      </c>
      <c r="D82" s="24" t="s">
        <v>132</v>
      </c>
      <c r="E82" s="24" t="s">
        <v>1145</v>
      </c>
      <c r="F82" s="24" t="s">
        <v>106</v>
      </c>
      <c r="G82" s="24" t="s">
        <v>73</v>
      </c>
      <c r="H82" s="24" t="s">
        <v>133</v>
      </c>
      <c r="I82" s="24" t="s">
        <v>1146</v>
      </c>
      <c r="J82" s="23" t="s">
        <v>451</v>
      </c>
      <c r="K82" s="23" t="s">
        <v>581</v>
      </c>
    </row>
    <row r="83" spans="1:11" ht="13.8" thickBot="1" x14ac:dyDescent="0.25">
      <c r="A83" s="23" t="s">
        <v>709</v>
      </c>
      <c r="B83" s="23" t="s">
        <v>574</v>
      </c>
      <c r="C83" s="23" t="s">
        <v>25</v>
      </c>
      <c r="D83" s="24" t="s">
        <v>122</v>
      </c>
      <c r="E83" s="24" t="s">
        <v>12</v>
      </c>
      <c r="F83" s="24" t="s">
        <v>105</v>
      </c>
      <c r="G83" s="24" t="s">
        <v>13</v>
      </c>
      <c r="H83" s="24" t="s">
        <v>123</v>
      </c>
      <c r="I83" s="24" t="s">
        <v>985</v>
      </c>
      <c r="J83" s="23" t="s">
        <v>451</v>
      </c>
      <c r="K83" s="23" t="s">
        <v>587</v>
      </c>
    </row>
    <row r="84" spans="1:11" ht="13.8" thickBot="1" x14ac:dyDescent="0.25">
      <c r="A84" s="23" t="s">
        <v>711</v>
      </c>
      <c r="B84" s="23" t="s">
        <v>574</v>
      </c>
      <c r="C84" s="23" t="s">
        <v>26</v>
      </c>
      <c r="D84" s="24" t="s">
        <v>98</v>
      </c>
      <c r="E84" s="24" t="s">
        <v>12</v>
      </c>
      <c r="F84" s="24" t="s">
        <v>94</v>
      </c>
      <c r="G84" s="24" t="s">
        <v>13</v>
      </c>
      <c r="H84" s="24" t="s">
        <v>99</v>
      </c>
      <c r="I84" s="24" t="s">
        <v>928</v>
      </c>
      <c r="J84" s="23" t="s">
        <v>566</v>
      </c>
      <c r="K84" s="23" t="s">
        <v>597</v>
      </c>
    </row>
    <row r="85" spans="1:11" ht="13.8" thickBot="1" x14ac:dyDescent="0.25">
      <c r="A85" s="23" t="s">
        <v>579</v>
      </c>
      <c r="B85" s="23" t="s">
        <v>574</v>
      </c>
      <c r="C85" s="23" t="s">
        <v>27</v>
      </c>
      <c r="D85" s="24" t="s">
        <v>112</v>
      </c>
      <c r="E85" s="24" t="s">
        <v>12</v>
      </c>
      <c r="F85" s="24" t="s">
        <v>113</v>
      </c>
      <c r="G85" s="24" t="s">
        <v>73</v>
      </c>
      <c r="H85" s="24" t="s">
        <v>114</v>
      </c>
      <c r="I85" s="24" t="s">
        <v>983</v>
      </c>
      <c r="J85" s="23" t="s">
        <v>566</v>
      </c>
      <c r="K85" s="23" t="s">
        <v>587</v>
      </c>
    </row>
    <row r="86" spans="1:11" ht="13.8" thickBot="1" x14ac:dyDescent="0.25">
      <c r="A86" s="23" t="s">
        <v>743</v>
      </c>
      <c r="B86" s="23" t="s">
        <v>574</v>
      </c>
      <c r="C86" s="23" t="s">
        <v>28</v>
      </c>
      <c r="D86" s="24" t="s">
        <v>122</v>
      </c>
      <c r="E86" s="24" t="s">
        <v>175</v>
      </c>
      <c r="F86" s="24" t="s">
        <v>105</v>
      </c>
      <c r="G86" s="24" t="s">
        <v>13</v>
      </c>
      <c r="H86" s="24" t="s">
        <v>123</v>
      </c>
      <c r="I86" s="24" t="s">
        <v>744</v>
      </c>
      <c r="J86" s="23" t="s">
        <v>566</v>
      </c>
      <c r="K86" s="23" t="s">
        <v>596</v>
      </c>
    </row>
    <row r="87" spans="1:11" ht="13.8" thickBot="1" x14ac:dyDescent="0.25">
      <c r="A87" s="23" t="s">
        <v>715</v>
      </c>
      <c r="B87" s="23" t="s">
        <v>574</v>
      </c>
      <c r="C87" s="23" t="s">
        <v>29</v>
      </c>
      <c r="D87" s="24" t="s">
        <v>90</v>
      </c>
      <c r="E87" s="24" t="s">
        <v>986</v>
      </c>
      <c r="F87" s="24" t="s">
        <v>91</v>
      </c>
      <c r="G87" s="24" t="s">
        <v>13</v>
      </c>
      <c r="H87" s="24" t="s">
        <v>92</v>
      </c>
      <c r="I87" s="24" t="s">
        <v>987</v>
      </c>
      <c r="J87" s="23" t="s">
        <v>510</v>
      </c>
      <c r="K87" s="23" t="s">
        <v>597</v>
      </c>
    </row>
    <row r="88" spans="1:11" ht="13.8" thickBot="1" x14ac:dyDescent="0.25">
      <c r="A88" s="23" t="s">
        <v>729</v>
      </c>
      <c r="B88" s="23" t="s">
        <v>574</v>
      </c>
      <c r="C88" s="23" t="s">
        <v>31</v>
      </c>
      <c r="D88" s="24" t="s">
        <v>103</v>
      </c>
      <c r="E88" s="24" t="s">
        <v>33</v>
      </c>
      <c r="F88" s="24" t="s">
        <v>104</v>
      </c>
      <c r="G88" s="24" t="s">
        <v>37</v>
      </c>
      <c r="H88" s="24" t="s">
        <v>119</v>
      </c>
      <c r="I88" s="24"/>
      <c r="J88" s="23" t="s">
        <v>513</v>
      </c>
      <c r="K88" s="23" t="s">
        <v>588</v>
      </c>
    </row>
    <row r="89" spans="1:11" ht="13.8" thickBot="1" x14ac:dyDescent="0.25">
      <c r="A89" s="23" t="s">
        <v>586</v>
      </c>
      <c r="B89" s="23" t="s">
        <v>574</v>
      </c>
      <c r="C89" s="23" t="s">
        <v>32</v>
      </c>
      <c r="D89" s="24" t="s">
        <v>95</v>
      </c>
      <c r="E89" s="24" t="s">
        <v>1143</v>
      </c>
      <c r="F89" s="24" t="s">
        <v>96</v>
      </c>
      <c r="G89" s="24" t="s">
        <v>37</v>
      </c>
      <c r="H89" s="24" t="s">
        <v>97</v>
      </c>
      <c r="I89" s="24" t="s">
        <v>1144</v>
      </c>
      <c r="J89" s="23" t="s">
        <v>513</v>
      </c>
      <c r="K89" s="23" t="s">
        <v>588</v>
      </c>
    </row>
    <row r="90" spans="1:11" ht="13.8" thickBot="1" x14ac:dyDescent="0.25">
      <c r="A90" s="23" t="s">
        <v>721</v>
      </c>
      <c r="B90" s="23" t="s">
        <v>574</v>
      </c>
      <c r="C90" s="23" t="s">
        <v>34</v>
      </c>
      <c r="D90" s="24" t="s">
        <v>122</v>
      </c>
      <c r="E90" s="24" t="s">
        <v>12</v>
      </c>
      <c r="F90" s="24" t="s">
        <v>105</v>
      </c>
      <c r="G90" s="24" t="s">
        <v>13</v>
      </c>
      <c r="H90" s="24" t="s">
        <v>123</v>
      </c>
      <c r="I90" s="24" t="s">
        <v>991</v>
      </c>
      <c r="J90" s="23" t="s">
        <v>513</v>
      </c>
      <c r="K90" s="23" t="s">
        <v>598</v>
      </c>
    </row>
    <row r="91" spans="1:11" ht="13.8" thickBot="1" x14ac:dyDescent="0.25">
      <c r="A91" s="23" t="s">
        <v>580</v>
      </c>
      <c r="B91" s="23" t="s">
        <v>574</v>
      </c>
      <c r="C91" s="23" t="s">
        <v>35</v>
      </c>
      <c r="D91" s="24" t="s">
        <v>112</v>
      </c>
      <c r="E91" s="24" t="s">
        <v>12</v>
      </c>
      <c r="F91" s="24" t="s">
        <v>113</v>
      </c>
      <c r="G91" s="24" t="s">
        <v>73</v>
      </c>
      <c r="H91" s="24" t="s">
        <v>114</v>
      </c>
      <c r="I91" s="24" t="s">
        <v>984</v>
      </c>
      <c r="J91" s="23" t="s">
        <v>576</v>
      </c>
      <c r="K91" s="23" t="s">
        <v>597</v>
      </c>
    </row>
    <row r="92" spans="1:11" ht="13.8" thickBot="1" x14ac:dyDescent="0.25">
      <c r="A92" s="23" t="s">
        <v>730</v>
      </c>
      <c r="B92" s="23" t="s">
        <v>574</v>
      </c>
      <c r="C92" s="23" t="s">
        <v>36</v>
      </c>
      <c r="D92" s="24" t="s">
        <v>103</v>
      </c>
      <c r="E92" s="24" t="s">
        <v>989</v>
      </c>
      <c r="F92" s="24" t="s">
        <v>104</v>
      </c>
      <c r="G92" s="24" t="s">
        <v>37</v>
      </c>
      <c r="H92" s="24" t="s">
        <v>119</v>
      </c>
      <c r="I92" s="24" t="s">
        <v>990</v>
      </c>
      <c r="J92" s="23" t="s">
        <v>577</v>
      </c>
      <c r="K92" s="23" t="s">
        <v>597</v>
      </c>
    </row>
    <row r="93" spans="1:11" ht="13.8" thickBot="1" x14ac:dyDescent="0.25">
      <c r="A93" s="23" t="s">
        <v>737</v>
      </c>
      <c r="B93" s="23" t="s">
        <v>574</v>
      </c>
      <c r="C93" s="23" t="s">
        <v>38</v>
      </c>
      <c r="D93" s="24" t="s">
        <v>90</v>
      </c>
      <c r="E93" s="24" t="s">
        <v>992</v>
      </c>
      <c r="F93" s="24" t="s">
        <v>91</v>
      </c>
      <c r="G93" s="24" t="s">
        <v>13</v>
      </c>
      <c r="H93" s="24" t="s">
        <v>92</v>
      </c>
      <c r="I93" s="24" t="s">
        <v>993</v>
      </c>
      <c r="J93" s="23" t="s">
        <v>577</v>
      </c>
      <c r="K93" s="23" t="s">
        <v>620</v>
      </c>
    </row>
    <row r="94" spans="1:11" ht="13.8" thickBot="1" x14ac:dyDescent="0.25">
      <c r="A94" s="23" t="s">
        <v>584</v>
      </c>
      <c r="B94" s="23" t="s">
        <v>574</v>
      </c>
      <c r="C94" s="23" t="s">
        <v>39</v>
      </c>
      <c r="D94" s="24" t="s">
        <v>95</v>
      </c>
      <c r="E94" s="24" t="s">
        <v>697</v>
      </c>
      <c r="F94" s="24" t="s">
        <v>96</v>
      </c>
      <c r="G94" s="24" t="s">
        <v>37</v>
      </c>
      <c r="H94" s="24" t="s">
        <v>97</v>
      </c>
      <c r="I94" s="24" t="s">
        <v>739</v>
      </c>
      <c r="J94" s="23" t="s">
        <v>577</v>
      </c>
      <c r="K94" s="23" t="s">
        <v>597</v>
      </c>
    </row>
    <row r="95" spans="1:11" ht="13.8" thickBot="1" x14ac:dyDescent="0.25">
      <c r="A95" s="23" t="s">
        <v>731</v>
      </c>
      <c r="B95" s="23" t="s">
        <v>574</v>
      </c>
      <c r="C95" s="23" t="s">
        <v>40</v>
      </c>
      <c r="D95" s="24" t="s">
        <v>90</v>
      </c>
      <c r="E95" s="24" t="s">
        <v>995</v>
      </c>
      <c r="F95" s="24" t="s">
        <v>91</v>
      </c>
      <c r="G95" s="24" t="s">
        <v>13</v>
      </c>
      <c r="H95" s="24" t="s">
        <v>92</v>
      </c>
      <c r="I95" s="24" t="s">
        <v>996</v>
      </c>
      <c r="J95" s="23" t="s">
        <v>578</v>
      </c>
      <c r="K95" s="23" t="s">
        <v>621</v>
      </c>
    </row>
    <row r="96" spans="1:11" ht="13.8" thickBot="1" x14ac:dyDescent="0.25">
      <c r="A96" s="23" t="s">
        <v>710</v>
      </c>
      <c r="B96" s="23" t="s">
        <v>574</v>
      </c>
      <c r="C96" s="23" t="s">
        <v>41</v>
      </c>
      <c r="D96" s="24" t="s">
        <v>120</v>
      </c>
      <c r="E96" s="24" t="s">
        <v>140</v>
      </c>
      <c r="F96" s="24" t="s">
        <v>107</v>
      </c>
      <c r="G96" s="24" t="s">
        <v>73</v>
      </c>
      <c r="H96" s="24" t="s">
        <v>121</v>
      </c>
      <c r="I96" s="24" t="s">
        <v>997</v>
      </c>
      <c r="J96" s="23" t="s">
        <v>578</v>
      </c>
      <c r="K96" s="23" t="s">
        <v>598</v>
      </c>
    </row>
    <row r="97" spans="1:11" ht="13.8" thickBot="1" x14ac:dyDescent="0.25">
      <c r="A97" s="23" t="s">
        <v>589</v>
      </c>
      <c r="B97" s="23" t="s">
        <v>574</v>
      </c>
      <c r="C97" s="23" t="s">
        <v>65</v>
      </c>
      <c r="D97" s="24" t="s">
        <v>112</v>
      </c>
      <c r="E97" s="24" t="s">
        <v>12</v>
      </c>
      <c r="F97" s="24" t="s">
        <v>113</v>
      </c>
      <c r="G97" s="24" t="s">
        <v>73</v>
      </c>
      <c r="H97" s="24" t="s">
        <v>114</v>
      </c>
      <c r="I97" s="24" t="s">
        <v>988</v>
      </c>
      <c r="J97" s="23" t="s">
        <v>578</v>
      </c>
      <c r="K97" s="23" t="s">
        <v>728</v>
      </c>
    </row>
    <row r="98" spans="1:11" ht="13.8" thickBot="1" x14ac:dyDescent="0.25">
      <c r="A98" s="23" t="s">
        <v>716</v>
      </c>
      <c r="B98" s="23" t="s">
        <v>574</v>
      </c>
      <c r="C98" s="23" t="s">
        <v>66</v>
      </c>
      <c r="D98" s="24" t="s">
        <v>81</v>
      </c>
      <c r="E98" s="24" t="s">
        <v>998</v>
      </c>
      <c r="F98" s="24" t="s">
        <v>82</v>
      </c>
      <c r="G98" s="24" t="s">
        <v>13</v>
      </c>
      <c r="H98" s="24" t="s">
        <v>100</v>
      </c>
      <c r="I98" s="24" t="s">
        <v>999</v>
      </c>
      <c r="J98" s="23" t="s">
        <v>575</v>
      </c>
      <c r="K98" s="23" t="s">
        <v>738</v>
      </c>
    </row>
    <row r="99" spans="1:11" ht="13.8" thickBot="1" x14ac:dyDescent="0.25">
      <c r="A99" s="23" t="s">
        <v>706</v>
      </c>
      <c r="B99" s="23" t="s">
        <v>574</v>
      </c>
      <c r="C99" s="23" t="s">
        <v>67</v>
      </c>
      <c r="D99" s="24" t="s">
        <v>81</v>
      </c>
      <c r="E99" s="24" t="s">
        <v>1147</v>
      </c>
      <c r="F99" s="24" t="s">
        <v>82</v>
      </c>
      <c r="G99" s="24" t="s">
        <v>13</v>
      </c>
      <c r="H99" s="24" t="s">
        <v>100</v>
      </c>
      <c r="I99" s="24" t="s">
        <v>1148</v>
      </c>
      <c r="J99" s="23" t="s">
        <v>575</v>
      </c>
      <c r="K99" s="23" t="s">
        <v>738</v>
      </c>
    </row>
    <row r="100" spans="1:11" ht="13.8" thickBot="1" x14ac:dyDescent="0.25">
      <c r="A100" s="23" t="s">
        <v>707</v>
      </c>
      <c r="B100" s="23" t="s">
        <v>574</v>
      </c>
      <c r="C100" s="23" t="s">
        <v>68</v>
      </c>
      <c r="D100" s="24" t="s">
        <v>132</v>
      </c>
      <c r="E100" s="24" t="s">
        <v>1145</v>
      </c>
      <c r="F100" s="24" t="s">
        <v>106</v>
      </c>
      <c r="G100" s="24" t="s">
        <v>73</v>
      </c>
      <c r="H100" s="24" t="s">
        <v>133</v>
      </c>
      <c r="I100" s="24" t="s">
        <v>1149</v>
      </c>
      <c r="J100" s="23" t="s">
        <v>575</v>
      </c>
      <c r="K100" s="23" t="s">
        <v>728</v>
      </c>
    </row>
    <row r="101" spans="1:11" ht="13.8" thickBot="1" x14ac:dyDescent="0.25">
      <c r="A101" s="23" t="s">
        <v>735</v>
      </c>
      <c r="B101" s="23" t="s">
        <v>574</v>
      </c>
      <c r="C101" s="23" t="s">
        <v>69</v>
      </c>
      <c r="D101" s="24" t="s">
        <v>122</v>
      </c>
      <c r="E101" s="24" t="s">
        <v>12</v>
      </c>
      <c r="F101" s="24" t="s">
        <v>105</v>
      </c>
      <c r="G101" s="24" t="s">
        <v>13</v>
      </c>
      <c r="H101" s="24" t="s">
        <v>123</v>
      </c>
      <c r="I101" s="24" t="s">
        <v>1002</v>
      </c>
      <c r="J101" s="23" t="s">
        <v>980</v>
      </c>
      <c r="K101" s="23" t="s">
        <v>631</v>
      </c>
    </row>
    <row r="102" spans="1:11" ht="13.8" thickBot="1" x14ac:dyDescent="0.25">
      <c r="A102" s="23" t="s">
        <v>595</v>
      </c>
      <c r="B102" s="23" t="s">
        <v>574</v>
      </c>
      <c r="C102" s="23" t="s">
        <v>70</v>
      </c>
      <c r="D102" s="24" t="s">
        <v>95</v>
      </c>
      <c r="E102" s="24" t="s">
        <v>1003</v>
      </c>
      <c r="F102" s="24" t="s">
        <v>96</v>
      </c>
      <c r="G102" s="24" t="s">
        <v>37</v>
      </c>
      <c r="H102" s="24" t="s">
        <v>97</v>
      </c>
      <c r="I102" s="24" t="s">
        <v>1004</v>
      </c>
      <c r="J102" s="23" t="s">
        <v>980</v>
      </c>
      <c r="K102" s="23" t="s">
        <v>620</v>
      </c>
    </row>
    <row r="103" spans="1:11" ht="13.8" thickBot="1" x14ac:dyDescent="0.25">
      <c r="A103" s="23" t="s">
        <v>742</v>
      </c>
      <c r="B103" s="23" t="s">
        <v>574</v>
      </c>
      <c r="C103" s="23" t="s">
        <v>71</v>
      </c>
      <c r="D103" s="24" t="s">
        <v>132</v>
      </c>
      <c r="E103" s="24" t="s">
        <v>140</v>
      </c>
      <c r="F103" s="24" t="s">
        <v>106</v>
      </c>
      <c r="G103" s="24" t="s">
        <v>73</v>
      </c>
      <c r="H103" s="24" t="s">
        <v>133</v>
      </c>
      <c r="I103" s="24" t="s">
        <v>1005</v>
      </c>
      <c r="J103" s="23" t="s">
        <v>980</v>
      </c>
      <c r="K103" s="23" t="s">
        <v>620</v>
      </c>
    </row>
    <row r="104" spans="1:11" ht="13.8" thickBot="1" x14ac:dyDescent="0.25">
      <c r="A104" s="23" t="s">
        <v>724</v>
      </c>
      <c r="B104" s="23" t="s">
        <v>574</v>
      </c>
      <c r="C104" s="23" t="s">
        <v>72</v>
      </c>
      <c r="D104" s="24" t="s">
        <v>101</v>
      </c>
      <c r="E104" s="24" t="s">
        <v>725</v>
      </c>
      <c r="F104" s="24" t="s">
        <v>102</v>
      </c>
      <c r="G104" s="24" t="s">
        <v>37</v>
      </c>
      <c r="H104" s="24" t="s">
        <v>118</v>
      </c>
      <c r="I104" s="24" t="s">
        <v>726</v>
      </c>
      <c r="J104" s="23" t="s">
        <v>581</v>
      </c>
      <c r="K104" s="23" t="s">
        <v>620</v>
      </c>
    </row>
    <row r="105" spans="1:11" ht="13.8" thickBot="1" x14ac:dyDescent="0.25">
      <c r="A105" s="23" t="s">
        <v>732</v>
      </c>
      <c r="B105" s="23" t="s">
        <v>574</v>
      </c>
      <c r="C105" s="23" t="s">
        <v>74</v>
      </c>
      <c r="D105" s="24" t="s">
        <v>101</v>
      </c>
      <c r="E105" s="24" t="s">
        <v>33</v>
      </c>
      <c r="F105" s="24" t="s">
        <v>102</v>
      </c>
      <c r="G105" s="24" t="s">
        <v>37</v>
      </c>
      <c r="H105" s="24" t="s">
        <v>118</v>
      </c>
      <c r="I105" s="24"/>
      <c r="J105" s="23" t="s">
        <v>583</v>
      </c>
      <c r="K105" s="23" t="s">
        <v>621</v>
      </c>
    </row>
    <row r="106" spans="1:11" ht="13.8" thickBot="1" x14ac:dyDescent="0.25">
      <c r="A106" s="23" t="s">
        <v>582</v>
      </c>
      <c r="B106" s="23" t="s">
        <v>574</v>
      </c>
      <c r="C106" s="23" t="s">
        <v>75</v>
      </c>
      <c r="D106" s="24" t="s">
        <v>95</v>
      </c>
      <c r="E106" s="24" t="s">
        <v>1007</v>
      </c>
      <c r="F106" s="24" t="s">
        <v>96</v>
      </c>
      <c r="G106" s="24" t="s">
        <v>73</v>
      </c>
      <c r="H106" s="24" t="s">
        <v>97</v>
      </c>
      <c r="I106" s="24" t="s">
        <v>1008</v>
      </c>
      <c r="J106" s="23" t="s">
        <v>583</v>
      </c>
      <c r="K106" s="23" t="s">
        <v>631</v>
      </c>
    </row>
    <row r="107" spans="1:11" ht="13.8" thickBot="1" x14ac:dyDescent="0.25">
      <c r="A107" s="23" t="s">
        <v>734</v>
      </c>
      <c r="B107" s="23" t="s">
        <v>574</v>
      </c>
      <c r="C107" s="23" t="s">
        <v>76</v>
      </c>
      <c r="D107" s="24" t="s">
        <v>101</v>
      </c>
      <c r="E107" s="24" t="s">
        <v>1009</v>
      </c>
      <c r="F107" s="24" t="s">
        <v>102</v>
      </c>
      <c r="G107" s="24" t="s">
        <v>37</v>
      </c>
      <c r="H107" s="24" t="s">
        <v>118</v>
      </c>
      <c r="I107" s="24" t="s">
        <v>1010</v>
      </c>
      <c r="J107" s="23" t="s">
        <v>585</v>
      </c>
      <c r="K107" s="23" t="s">
        <v>738</v>
      </c>
    </row>
    <row r="108" spans="1:11" ht="13.8" thickBot="1" x14ac:dyDescent="0.25">
      <c r="A108" s="23" t="s">
        <v>736</v>
      </c>
      <c r="B108" s="23" t="s">
        <v>574</v>
      </c>
      <c r="C108" s="23" t="s">
        <v>77</v>
      </c>
      <c r="D108" s="24" t="s">
        <v>132</v>
      </c>
      <c r="E108" s="24" t="s">
        <v>12</v>
      </c>
      <c r="F108" s="24" t="s">
        <v>106</v>
      </c>
      <c r="G108" s="24" t="s">
        <v>73</v>
      </c>
      <c r="H108" s="24" t="s">
        <v>133</v>
      </c>
      <c r="I108" s="24" t="s">
        <v>1006</v>
      </c>
      <c r="J108" s="23" t="s">
        <v>585</v>
      </c>
      <c r="K108" s="23" t="s">
        <v>631</v>
      </c>
    </row>
    <row r="109" spans="1:11" ht="13.8" thickBot="1" x14ac:dyDescent="0.25">
      <c r="A109" s="23" t="s">
        <v>733</v>
      </c>
      <c r="B109" s="23" t="s">
        <v>574</v>
      </c>
      <c r="C109" s="23" t="s">
        <v>185</v>
      </c>
      <c r="D109" s="24" t="s">
        <v>132</v>
      </c>
      <c r="E109" s="24" t="s">
        <v>12</v>
      </c>
      <c r="F109" s="24" t="s">
        <v>106</v>
      </c>
      <c r="G109" s="24" t="s">
        <v>37</v>
      </c>
      <c r="H109" s="24" t="s">
        <v>133</v>
      </c>
      <c r="I109" s="24" t="s">
        <v>1011</v>
      </c>
      <c r="J109" s="23" t="s">
        <v>587</v>
      </c>
      <c r="K109" s="23" t="s">
        <v>631</v>
      </c>
    </row>
    <row r="110" spans="1:11" ht="13.8" thickBot="1" x14ac:dyDescent="0.25">
      <c r="A110" s="23" t="s">
        <v>740</v>
      </c>
      <c r="B110" s="23" t="s">
        <v>574</v>
      </c>
      <c r="C110" s="23" t="s">
        <v>186</v>
      </c>
      <c r="D110" s="24" t="s">
        <v>132</v>
      </c>
      <c r="E110" s="24" t="s">
        <v>12</v>
      </c>
      <c r="F110" s="24" t="s">
        <v>106</v>
      </c>
      <c r="G110" s="24" t="s">
        <v>73</v>
      </c>
      <c r="H110" s="24" t="s">
        <v>133</v>
      </c>
      <c r="I110" s="24" t="s">
        <v>994</v>
      </c>
      <c r="J110" s="23" t="s">
        <v>588</v>
      </c>
      <c r="K110" s="23" t="s">
        <v>668</v>
      </c>
    </row>
    <row r="111" spans="1:11" ht="13.8" thickBot="1" x14ac:dyDescent="0.25">
      <c r="A111" s="23" t="s">
        <v>723</v>
      </c>
      <c r="B111" s="23" t="s">
        <v>574</v>
      </c>
      <c r="C111" s="23" t="s">
        <v>199</v>
      </c>
      <c r="D111" s="24" t="s">
        <v>103</v>
      </c>
      <c r="E111" s="24" t="s">
        <v>1377</v>
      </c>
      <c r="F111" s="24" t="s">
        <v>104</v>
      </c>
      <c r="G111" s="24" t="s">
        <v>37</v>
      </c>
      <c r="H111" s="24" t="s">
        <v>119</v>
      </c>
      <c r="I111" s="24" t="s">
        <v>1429</v>
      </c>
      <c r="J111" s="23" t="s">
        <v>598</v>
      </c>
      <c r="K111" s="23" t="s">
        <v>747</v>
      </c>
    </row>
    <row r="112" spans="1:11" ht="13.8" thickBot="1" x14ac:dyDescent="0.25">
      <c r="A112" s="23" t="s">
        <v>727</v>
      </c>
      <c r="B112" s="23" t="s">
        <v>574</v>
      </c>
      <c r="C112" s="23" t="s">
        <v>251</v>
      </c>
      <c r="D112" s="24" t="s">
        <v>81</v>
      </c>
      <c r="E112" s="24" t="s">
        <v>1000</v>
      </c>
      <c r="F112" s="24" t="s">
        <v>82</v>
      </c>
      <c r="G112" s="24" t="s">
        <v>13</v>
      </c>
      <c r="H112" s="24" t="s">
        <v>100</v>
      </c>
      <c r="I112" s="24" t="s">
        <v>1001</v>
      </c>
      <c r="J112" s="23" t="s">
        <v>621</v>
      </c>
      <c r="K112" s="23" t="s">
        <v>801</v>
      </c>
    </row>
    <row r="113" spans="1:11" ht="13.8" thickBot="1" x14ac:dyDescent="0.25">
      <c r="A113" s="23" t="s">
        <v>717</v>
      </c>
      <c r="B113" s="23" t="s">
        <v>574</v>
      </c>
      <c r="C113" s="23" t="s">
        <v>252</v>
      </c>
      <c r="D113" s="24" t="s">
        <v>103</v>
      </c>
      <c r="E113" s="24" t="s">
        <v>1377</v>
      </c>
      <c r="F113" s="24" t="s">
        <v>104</v>
      </c>
      <c r="G113" s="24" t="s">
        <v>37</v>
      </c>
      <c r="H113" s="24" t="s">
        <v>119</v>
      </c>
      <c r="I113" s="24" t="s">
        <v>1430</v>
      </c>
      <c r="J113" s="23" t="s">
        <v>665</v>
      </c>
      <c r="K113" s="23" t="s">
        <v>776</v>
      </c>
    </row>
    <row r="114" spans="1:11" ht="13.8" thickBot="1" x14ac:dyDescent="0.25">
      <c r="A114" s="23" t="s">
        <v>594</v>
      </c>
      <c r="B114" s="23" t="s">
        <v>574</v>
      </c>
      <c r="C114" s="23" t="s">
        <v>253</v>
      </c>
      <c r="D114" s="24" t="s">
        <v>95</v>
      </c>
      <c r="E114" s="24" t="s">
        <v>541</v>
      </c>
      <c r="F114" s="24" t="s">
        <v>96</v>
      </c>
      <c r="G114" s="24" t="s">
        <v>37</v>
      </c>
      <c r="H114" s="24" t="s">
        <v>97</v>
      </c>
      <c r="I114" s="24" t="s">
        <v>741</v>
      </c>
      <c r="J114" s="23" t="s">
        <v>747</v>
      </c>
      <c r="K114" s="23" t="s">
        <v>799</v>
      </c>
    </row>
    <row r="115" spans="1:11" ht="13.8" thickBot="1" x14ac:dyDescent="0.25">
      <c r="A115" s="23" t="s">
        <v>374</v>
      </c>
      <c r="B115" s="23" t="s">
        <v>746</v>
      </c>
      <c r="C115" s="23" t="s">
        <v>11</v>
      </c>
      <c r="D115" s="24" t="s">
        <v>478</v>
      </c>
      <c r="E115" s="24" t="s">
        <v>483</v>
      </c>
      <c r="F115" s="24" t="s">
        <v>480</v>
      </c>
      <c r="G115" s="24" t="s">
        <v>13</v>
      </c>
      <c r="H115" s="24" t="s">
        <v>481</v>
      </c>
      <c r="I115" s="24" t="s">
        <v>484</v>
      </c>
      <c r="J115" s="23" t="s">
        <v>260</v>
      </c>
      <c r="K115" s="23" t="s">
        <v>294</v>
      </c>
    </row>
    <row r="116" spans="1:11" ht="13.8" thickBot="1" x14ac:dyDescent="0.25">
      <c r="A116" s="23" t="s">
        <v>769</v>
      </c>
      <c r="B116" s="23" t="s">
        <v>746</v>
      </c>
      <c r="C116" s="23" t="s">
        <v>14</v>
      </c>
      <c r="D116" s="24" t="s">
        <v>90</v>
      </c>
      <c r="E116" s="24" t="s">
        <v>986</v>
      </c>
      <c r="F116" s="24" t="s">
        <v>91</v>
      </c>
      <c r="G116" s="24" t="s">
        <v>13</v>
      </c>
      <c r="H116" s="24" t="s">
        <v>92</v>
      </c>
      <c r="I116" s="24" t="s">
        <v>1019</v>
      </c>
      <c r="J116" s="23" t="s">
        <v>583</v>
      </c>
      <c r="K116" s="23" t="s">
        <v>665</v>
      </c>
    </row>
    <row r="117" spans="1:11" ht="13.8" thickBot="1" x14ac:dyDescent="0.25">
      <c r="A117" s="23" t="s">
        <v>763</v>
      </c>
      <c r="B117" s="23" t="s">
        <v>746</v>
      </c>
      <c r="C117" s="23" t="s">
        <v>15</v>
      </c>
      <c r="D117" s="24" t="s">
        <v>122</v>
      </c>
      <c r="E117" s="24" t="s">
        <v>78</v>
      </c>
      <c r="F117" s="24" t="s">
        <v>105</v>
      </c>
      <c r="G117" s="24" t="s">
        <v>13</v>
      </c>
      <c r="H117" s="24" t="s">
        <v>123</v>
      </c>
      <c r="I117" s="24" t="s">
        <v>1150</v>
      </c>
      <c r="J117" s="23" t="s">
        <v>585</v>
      </c>
      <c r="K117" s="23" t="s">
        <v>751</v>
      </c>
    </row>
    <row r="118" spans="1:11" ht="13.8" thickBot="1" x14ac:dyDescent="0.25">
      <c r="A118" s="23" t="s">
        <v>752</v>
      </c>
      <c r="B118" s="23" t="s">
        <v>746</v>
      </c>
      <c r="C118" s="23" t="s">
        <v>16</v>
      </c>
      <c r="D118" s="24" t="s">
        <v>98</v>
      </c>
      <c r="E118" s="24" t="s">
        <v>12</v>
      </c>
      <c r="F118" s="24" t="s">
        <v>94</v>
      </c>
      <c r="G118" s="24" t="s">
        <v>13</v>
      </c>
      <c r="H118" s="24" t="s">
        <v>99</v>
      </c>
      <c r="I118" s="24" t="s">
        <v>1014</v>
      </c>
      <c r="J118" s="23" t="s">
        <v>588</v>
      </c>
      <c r="K118" s="23" t="s">
        <v>754</v>
      </c>
    </row>
    <row r="119" spans="1:11" ht="13.8" thickBot="1" x14ac:dyDescent="0.25">
      <c r="A119" s="23" t="s">
        <v>745</v>
      </c>
      <c r="B119" s="23" t="s">
        <v>746</v>
      </c>
      <c r="C119" s="23" t="s">
        <v>17</v>
      </c>
      <c r="D119" s="24" t="s">
        <v>79</v>
      </c>
      <c r="E119" s="24" t="s">
        <v>1151</v>
      </c>
      <c r="F119" s="24" t="s">
        <v>80</v>
      </c>
      <c r="G119" s="24" t="s">
        <v>13</v>
      </c>
      <c r="H119" s="24" t="s">
        <v>124</v>
      </c>
      <c r="I119" s="24" t="s">
        <v>1152</v>
      </c>
      <c r="J119" s="23" t="s">
        <v>588</v>
      </c>
      <c r="K119" s="23" t="s">
        <v>801</v>
      </c>
    </row>
    <row r="120" spans="1:11" ht="13.8" thickBot="1" x14ac:dyDescent="0.25">
      <c r="A120" s="23" t="s">
        <v>804</v>
      </c>
      <c r="B120" s="23" t="s">
        <v>746</v>
      </c>
      <c r="C120" s="23" t="s">
        <v>18</v>
      </c>
      <c r="D120" s="24" t="s">
        <v>122</v>
      </c>
      <c r="E120" s="24" t="s">
        <v>12</v>
      </c>
      <c r="F120" s="24" t="s">
        <v>105</v>
      </c>
      <c r="G120" s="24" t="s">
        <v>13</v>
      </c>
      <c r="H120" s="24" t="s">
        <v>123</v>
      </c>
      <c r="I120" s="24" t="s">
        <v>1028</v>
      </c>
      <c r="J120" s="23" t="s">
        <v>596</v>
      </c>
      <c r="K120" s="23" t="s">
        <v>756</v>
      </c>
    </row>
    <row r="121" spans="1:11" ht="13.8" thickBot="1" x14ac:dyDescent="0.25">
      <c r="A121" s="23" t="s">
        <v>767</v>
      </c>
      <c r="B121" s="23" t="s">
        <v>746</v>
      </c>
      <c r="C121" s="23" t="s">
        <v>19</v>
      </c>
      <c r="D121" s="24" t="s">
        <v>120</v>
      </c>
      <c r="E121" s="24" t="s">
        <v>1227</v>
      </c>
      <c r="F121" s="24" t="s">
        <v>107</v>
      </c>
      <c r="G121" s="24" t="s">
        <v>73</v>
      </c>
      <c r="H121" s="24" t="s">
        <v>121</v>
      </c>
      <c r="I121" s="24" t="s">
        <v>1228</v>
      </c>
      <c r="J121" s="23" t="s">
        <v>596</v>
      </c>
      <c r="K121" s="23" t="s">
        <v>751</v>
      </c>
    </row>
    <row r="122" spans="1:11" ht="13.8" thickBot="1" x14ac:dyDescent="0.25">
      <c r="A122" s="23" t="s">
        <v>774</v>
      </c>
      <c r="B122" s="23" t="s">
        <v>746</v>
      </c>
      <c r="C122" s="23" t="s">
        <v>20</v>
      </c>
      <c r="D122" s="24" t="s">
        <v>132</v>
      </c>
      <c r="E122" s="24" t="s">
        <v>1229</v>
      </c>
      <c r="F122" s="24" t="s">
        <v>106</v>
      </c>
      <c r="G122" s="24" t="s">
        <v>73</v>
      </c>
      <c r="H122" s="24" t="s">
        <v>133</v>
      </c>
      <c r="I122" s="24" t="s">
        <v>1230</v>
      </c>
      <c r="J122" s="23" t="s">
        <v>596</v>
      </c>
      <c r="K122" s="23" t="s">
        <v>751</v>
      </c>
    </row>
    <row r="123" spans="1:11" ht="13.8" thickBot="1" x14ac:dyDescent="0.25">
      <c r="A123" s="23" t="s">
        <v>791</v>
      </c>
      <c r="B123" s="23" t="s">
        <v>746</v>
      </c>
      <c r="C123" s="23" t="s">
        <v>21</v>
      </c>
      <c r="D123" s="24" t="s">
        <v>120</v>
      </c>
      <c r="E123" s="24" t="s">
        <v>140</v>
      </c>
      <c r="F123" s="24" t="s">
        <v>107</v>
      </c>
      <c r="G123" s="24" t="s">
        <v>73</v>
      </c>
      <c r="H123" s="24" t="s">
        <v>121</v>
      </c>
      <c r="I123" s="24" t="s">
        <v>1029</v>
      </c>
      <c r="J123" s="23" t="s">
        <v>597</v>
      </c>
      <c r="K123" s="23" t="s">
        <v>747</v>
      </c>
    </row>
    <row r="124" spans="1:11" ht="13.8" thickBot="1" x14ac:dyDescent="0.25">
      <c r="A124" s="23" t="s">
        <v>750</v>
      </c>
      <c r="B124" s="23" t="s">
        <v>746</v>
      </c>
      <c r="C124" s="23" t="s">
        <v>22</v>
      </c>
      <c r="D124" s="24" t="s">
        <v>98</v>
      </c>
      <c r="E124" s="24" t="s">
        <v>12</v>
      </c>
      <c r="F124" s="24" t="s">
        <v>94</v>
      </c>
      <c r="G124" s="24" t="s">
        <v>13</v>
      </c>
      <c r="H124" s="24" t="s">
        <v>99</v>
      </c>
      <c r="I124" s="24" t="s">
        <v>1013</v>
      </c>
      <c r="J124" s="23" t="s">
        <v>597</v>
      </c>
      <c r="K124" s="23" t="s">
        <v>760</v>
      </c>
    </row>
    <row r="125" spans="1:11" ht="13.8" thickBot="1" x14ac:dyDescent="0.25">
      <c r="A125" s="23" t="s">
        <v>939</v>
      </c>
      <c r="B125" s="23" t="s">
        <v>746</v>
      </c>
      <c r="C125" s="23" t="s">
        <v>23</v>
      </c>
      <c r="D125" s="24" t="s">
        <v>95</v>
      </c>
      <c r="E125" s="24" t="s">
        <v>1431</v>
      </c>
      <c r="F125" s="24" t="s">
        <v>96</v>
      </c>
      <c r="G125" s="24" t="s">
        <v>73</v>
      </c>
      <c r="H125" s="24" t="s">
        <v>97</v>
      </c>
      <c r="I125" s="24" t="s">
        <v>1432</v>
      </c>
      <c r="J125" s="23" t="s">
        <v>597</v>
      </c>
      <c r="K125" s="23" t="s">
        <v>754</v>
      </c>
    </row>
    <row r="126" spans="1:11" ht="13.8" thickBot="1" x14ac:dyDescent="0.25">
      <c r="A126" s="23" t="s">
        <v>771</v>
      </c>
      <c r="B126" s="23" t="s">
        <v>746</v>
      </c>
      <c r="C126" s="23" t="s">
        <v>24</v>
      </c>
      <c r="D126" s="24" t="s">
        <v>90</v>
      </c>
      <c r="E126" s="24" t="s">
        <v>1153</v>
      </c>
      <c r="F126" s="24" t="s">
        <v>91</v>
      </c>
      <c r="G126" s="24" t="s">
        <v>13</v>
      </c>
      <c r="H126" s="24" t="s">
        <v>92</v>
      </c>
      <c r="I126" s="24" t="s">
        <v>1154</v>
      </c>
      <c r="J126" s="23" t="s">
        <v>728</v>
      </c>
      <c r="K126" s="23" t="s">
        <v>749</v>
      </c>
    </row>
    <row r="127" spans="1:11" ht="13.8" thickBot="1" x14ac:dyDescent="0.25">
      <c r="A127" s="23" t="s">
        <v>748</v>
      </c>
      <c r="B127" s="23" t="s">
        <v>746</v>
      </c>
      <c r="C127" s="23" t="s">
        <v>25</v>
      </c>
      <c r="D127" s="24" t="s">
        <v>187</v>
      </c>
      <c r="E127" s="24" t="s">
        <v>12</v>
      </c>
      <c r="F127" s="24" t="s">
        <v>188</v>
      </c>
      <c r="G127" s="24" t="s">
        <v>13</v>
      </c>
      <c r="H127" s="24" t="s">
        <v>189</v>
      </c>
      <c r="I127" s="24" t="s">
        <v>1012</v>
      </c>
      <c r="J127" s="23" t="s">
        <v>728</v>
      </c>
      <c r="K127" s="23" t="s">
        <v>799</v>
      </c>
    </row>
    <row r="128" spans="1:11" ht="13.8" thickBot="1" x14ac:dyDescent="0.25">
      <c r="A128" s="23" t="s">
        <v>762</v>
      </c>
      <c r="B128" s="23" t="s">
        <v>746</v>
      </c>
      <c r="C128" s="23" t="s">
        <v>26</v>
      </c>
      <c r="D128" s="24" t="s">
        <v>120</v>
      </c>
      <c r="E128" s="24" t="s">
        <v>12</v>
      </c>
      <c r="F128" s="24" t="s">
        <v>107</v>
      </c>
      <c r="G128" s="24" t="s">
        <v>73</v>
      </c>
      <c r="H128" s="24" t="s">
        <v>121</v>
      </c>
      <c r="I128" s="24" t="s">
        <v>1017</v>
      </c>
      <c r="J128" s="23" t="s">
        <v>728</v>
      </c>
      <c r="K128" s="23" t="s">
        <v>756</v>
      </c>
    </row>
    <row r="129" spans="1:11" ht="13.8" thickBot="1" x14ac:dyDescent="0.25">
      <c r="A129" s="23" t="s">
        <v>775</v>
      </c>
      <c r="B129" s="23" t="s">
        <v>746</v>
      </c>
      <c r="C129" s="23" t="s">
        <v>27</v>
      </c>
      <c r="D129" s="24" t="s">
        <v>90</v>
      </c>
      <c r="E129" s="24" t="s">
        <v>1231</v>
      </c>
      <c r="F129" s="24" t="s">
        <v>91</v>
      </c>
      <c r="G129" s="24" t="s">
        <v>13</v>
      </c>
      <c r="H129" s="24" t="s">
        <v>92</v>
      </c>
      <c r="I129" s="24" t="s">
        <v>1232</v>
      </c>
      <c r="J129" s="23" t="s">
        <v>620</v>
      </c>
      <c r="K129" s="23" t="s">
        <v>772</v>
      </c>
    </row>
    <row r="130" spans="1:11" ht="13.8" thickBot="1" x14ac:dyDescent="0.25">
      <c r="A130" s="23" t="s">
        <v>761</v>
      </c>
      <c r="B130" s="23" t="s">
        <v>746</v>
      </c>
      <c r="C130" s="23" t="s">
        <v>28</v>
      </c>
      <c r="D130" s="24" t="s">
        <v>120</v>
      </c>
      <c r="E130" s="24" t="s">
        <v>12</v>
      </c>
      <c r="F130" s="24" t="s">
        <v>107</v>
      </c>
      <c r="G130" s="24" t="s">
        <v>73</v>
      </c>
      <c r="H130" s="24" t="s">
        <v>121</v>
      </c>
      <c r="I130" s="24" t="s">
        <v>1155</v>
      </c>
      <c r="J130" s="23" t="s">
        <v>620</v>
      </c>
      <c r="K130" s="23" t="s">
        <v>760</v>
      </c>
    </row>
    <row r="131" spans="1:11" ht="13.8" thickBot="1" x14ac:dyDescent="0.25">
      <c r="A131" s="23" t="s">
        <v>792</v>
      </c>
      <c r="B131" s="23" t="s">
        <v>746</v>
      </c>
      <c r="C131" s="23" t="s">
        <v>29</v>
      </c>
      <c r="D131" s="24" t="s">
        <v>120</v>
      </c>
      <c r="E131" s="24" t="s">
        <v>12</v>
      </c>
      <c r="F131" s="24" t="s">
        <v>107</v>
      </c>
      <c r="G131" s="24" t="s">
        <v>37</v>
      </c>
      <c r="H131" s="24" t="s">
        <v>121</v>
      </c>
      <c r="I131" s="24" t="s">
        <v>1031</v>
      </c>
      <c r="J131" s="23" t="s">
        <v>620</v>
      </c>
      <c r="K131" s="23" t="s">
        <v>756</v>
      </c>
    </row>
    <row r="132" spans="1:11" ht="13.8" thickBot="1" x14ac:dyDescent="0.25">
      <c r="A132" s="23" t="s">
        <v>786</v>
      </c>
      <c r="B132" s="23" t="s">
        <v>746</v>
      </c>
      <c r="C132" s="23" t="s">
        <v>31</v>
      </c>
      <c r="D132" s="24" t="s">
        <v>122</v>
      </c>
      <c r="E132" s="24" t="s">
        <v>12</v>
      </c>
      <c r="F132" s="24" t="s">
        <v>105</v>
      </c>
      <c r="G132" s="24" t="s">
        <v>13</v>
      </c>
      <c r="H132" s="24" t="s">
        <v>123</v>
      </c>
      <c r="I132" s="24" t="s">
        <v>1021</v>
      </c>
      <c r="J132" s="23" t="s">
        <v>738</v>
      </c>
      <c r="K132" s="23" t="s">
        <v>787</v>
      </c>
    </row>
    <row r="133" spans="1:11" ht="13.8" thickBot="1" x14ac:dyDescent="0.25">
      <c r="A133" s="23" t="s">
        <v>784</v>
      </c>
      <c r="B133" s="23" t="s">
        <v>746</v>
      </c>
      <c r="C133" s="23" t="s">
        <v>32</v>
      </c>
      <c r="D133" s="24" t="s">
        <v>132</v>
      </c>
      <c r="E133" s="24" t="s">
        <v>140</v>
      </c>
      <c r="F133" s="24" t="s">
        <v>106</v>
      </c>
      <c r="G133" s="24" t="s">
        <v>73</v>
      </c>
      <c r="H133" s="24" t="s">
        <v>133</v>
      </c>
      <c r="I133" s="24" t="s">
        <v>1026</v>
      </c>
      <c r="J133" s="23" t="s">
        <v>738</v>
      </c>
      <c r="K133" s="23" t="s">
        <v>772</v>
      </c>
    </row>
    <row r="134" spans="1:11" ht="13.8" thickBot="1" x14ac:dyDescent="0.25">
      <c r="A134" s="23" t="s">
        <v>777</v>
      </c>
      <c r="B134" s="23" t="s">
        <v>746</v>
      </c>
      <c r="C134" s="23" t="s">
        <v>34</v>
      </c>
      <c r="D134" s="24" t="s">
        <v>95</v>
      </c>
      <c r="E134" s="24" t="s">
        <v>778</v>
      </c>
      <c r="F134" s="24" t="s">
        <v>96</v>
      </c>
      <c r="G134" s="24" t="s">
        <v>37</v>
      </c>
      <c r="H134" s="24" t="s">
        <v>1035</v>
      </c>
      <c r="I134" s="24" t="s">
        <v>779</v>
      </c>
      <c r="J134" s="23" t="s">
        <v>738</v>
      </c>
      <c r="K134" s="23" t="s">
        <v>772</v>
      </c>
    </row>
    <row r="135" spans="1:11" ht="13.8" thickBot="1" x14ac:dyDescent="0.25">
      <c r="A135" s="23" t="s">
        <v>794</v>
      </c>
      <c r="B135" s="23" t="s">
        <v>746</v>
      </c>
      <c r="C135" s="23" t="s">
        <v>35</v>
      </c>
      <c r="D135" s="24" t="s">
        <v>103</v>
      </c>
      <c r="E135" s="24" t="s">
        <v>929</v>
      </c>
      <c r="F135" s="24" t="s">
        <v>104</v>
      </c>
      <c r="G135" s="24" t="s">
        <v>37</v>
      </c>
      <c r="H135" s="24" t="s">
        <v>119</v>
      </c>
      <c r="I135" s="24" t="s">
        <v>930</v>
      </c>
      <c r="J135" s="23" t="s">
        <v>631</v>
      </c>
      <c r="K135" s="23" t="s">
        <v>772</v>
      </c>
    </row>
    <row r="136" spans="1:11" ht="13.8" thickBot="1" x14ac:dyDescent="0.25">
      <c r="A136" s="23" t="s">
        <v>938</v>
      </c>
      <c r="B136" s="23" t="s">
        <v>746</v>
      </c>
      <c r="C136" s="23" t="s">
        <v>36</v>
      </c>
      <c r="D136" s="24" t="s">
        <v>112</v>
      </c>
      <c r="E136" s="24" t="s">
        <v>12</v>
      </c>
      <c r="F136" s="24" t="s">
        <v>113</v>
      </c>
      <c r="G136" s="24" t="s">
        <v>73</v>
      </c>
      <c r="H136" s="24" t="s">
        <v>114</v>
      </c>
      <c r="I136" s="24" t="s">
        <v>1034</v>
      </c>
      <c r="J136" s="23" t="s">
        <v>631</v>
      </c>
      <c r="K136" s="23" t="s">
        <v>801</v>
      </c>
    </row>
    <row r="137" spans="1:11" ht="13.8" thickBot="1" x14ac:dyDescent="0.25">
      <c r="A137" s="23" t="s">
        <v>931</v>
      </c>
      <c r="B137" s="23" t="s">
        <v>746</v>
      </c>
      <c r="C137" s="23" t="s">
        <v>38</v>
      </c>
      <c r="D137" s="24" t="s">
        <v>90</v>
      </c>
      <c r="E137" s="24" t="s">
        <v>1433</v>
      </c>
      <c r="F137" s="24" t="s">
        <v>91</v>
      </c>
      <c r="G137" s="24" t="s">
        <v>13</v>
      </c>
      <c r="H137" s="24" t="s">
        <v>92</v>
      </c>
      <c r="I137" s="24" t="s">
        <v>1434</v>
      </c>
      <c r="J137" s="23" t="s">
        <v>631</v>
      </c>
      <c r="K137" s="23" t="s">
        <v>790</v>
      </c>
    </row>
    <row r="138" spans="1:11" ht="13.8" thickBot="1" x14ac:dyDescent="0.25">
      <c r="A138" s="23" t="s">
        <v>789</v>
      </c>
      <c r="B138" s="23" t="s">
        <v>746</v>
      </c>
      <c r="C138" s="23" t="s">
        <v>39</v>
      </c>
      <c r="D138" s="24" t="s">
        <v>122</v>
      </c>
      <c r="E138" s="24" t="s">
        <v>12</v>
      </c>
      <c r="F138" s="24" t="s">
        <v>105</v>
      </c>
      <c r="G138" s="24" t="s">
        <v>13</v>
      </c>
      <c r="H138" s="24" t="s">
        <v>123</v>
      </c>
      <c r="I138" s="24" t="s">
        <v>1024</v>
      </c>
      <c r="J138" s="23" t="s">
        <v>668</v>
      </c>
      <c r="K138" s="23" t="s">
        <v>805</v>
      </c>
    </row>
    <row r="139" spans="1:11" ht="13.8" thickBot="1" x14ac:dyDescent="0.25">
      <c r="A139" s="23" t="s">
        <v>783</v>
      </c>
      <c r="B139" s="23" t="s">
        <v>746</v>
      </c>
      <c r="C139" s="23" t="s">
        <v>40</v>
      </c>
      <c r="D139" s="24" t="s">
        <v>132</v>
      </c>
      <c r="E139" s="24" t="s">
        <v>12</v>
      </c>
      <c r="F139" s="24" t="s">
        <v>106</v>
      </c>
      <c r="G139" s="24" t="s">
        <v>73</v>
      </c>
      <c r="H139" s="24" t="s">
        <v>133</v>
      </c>
      <c r="I139" s="24" t="s">
        <v>1025</v>
      </c>
      <c r="J139" s="23" t="s">
        <v>668</v>
      </c>
      <c r="K139" s="23" t="s">
        <v>787</v>
      </c>
    </row>
    <row r="140" spans="1:11" ht="13.8" thickBot="1" x14ac:dyDescent="0.25">
      <c r="A140" s="23" t="s">
        <v>800</v>
      </c>
      <c r="B140" s="23" t="s">
        <v>746</v>
      </c>
      <c r="C140" s="23" t="s">
        <v>41</v>
      </c>
      <c r="D140" s="24" t="s">
        <v>132</v>
      </c>
      <c r="E140" s="24" t="s">
        <v>12</v>
      </c>
      <c r="F140" s="24" t="s">
        <v>106</v>
      </c>
      <c r="G140" s="24" t="s">
        <v>73</v>
      </c>
      <c r="H140" s="24" t="s">
        <v>133</v>
      </c>
      <c r="I140" s="24" t="s">
        <v>1030</v>
      </c>
      <c r="J140" s="23" t="s">
        <v>668</v>
      </c>
      <c r="K140" s="23" t="s">
        <v>787</v>
      </c>
    </row>
    <row r="141" spans="1:11" ht="13.8" thickBot="1" x14ac:dyDescent="0.25">
      <c r="A141" s="23" t="s">
        <v>795</v>
      </c>
      <c r="B141" s="23" t="s">
        <v>746</v>
      </c>
      <c r="C141" s="23" t="s">
        <v>65</v>
      </c>
      <c r="D141" s="24" t="s">
        <v>101</v>
      </c>
      <c r="E141" s="24" t="s">
        <v>796</v>
      </c>
      <c r="F141" s="24" t="s">
        <v>102</v>
      </c>
      <c r="G141" s="24" t="s">
        <v>37</v>
      </c>
      <c r="H141" s="24" t="s">
        <v>118</v>
      </c>
      <c r="I141" s="24" t="s">
        <v>797</v>
      </c>
      <c r="J141" s="23" t="s">
        <v>751</v>
      </c>
      <c r="K141" s="23" t="s">
        <v>787</v>
      </c>
    </row>
    <row r="142" spans="1:11" ht="13.8" thickBot="1" x14ac:dyDescent="0.25">
      <c r="A142" s="23" t="s">
        <v>793</v>
      </c>
      <c r="B142" s="23" t="s">
        <v>746</v>
      </c>
      <c r="C142" s="23" t="s">
        <v>66</v>
      </c>
      <c r="D142" s="24" t="s">
        <v>120</v>
      </c>
      <c r="E142" s="24" t="s">
        <v>12</v>
      </c>
      <c r="F142" s="24" t="s">
        <v>107</v>
      </c>
      <c r="G142" s="24" t="s">
        <v>37</v>
      </c>
      <c r="H142" s="24" t="s">
        <v>121</v>
      </c>
      <c r="I142" s="24" t="s">
        <v>1033</v>
      </c>
      <c r="J142" s="23" t="s">
        <v>751</v>
      </c>
      <c r="K142" s="23" t="s">
        <v>787</v>
      </c>
    </row>
    <row r="143" spans="1:11" ht="13.8" thickBot="1" x14ac:dyDescent="0.25">
      <c r="A143" s="23" t="s">
        <v>933</v>
      </c>
      <c r="B143" s="23" t="s">
        <v>746</v>
      </c>
      <c r="C143" s="23" t="s">
        <v>67</v>
      </c>
      <c r="D143" s="24" t="s">
        <v>90</v>
      </c>
      <c r="E143" s="24" t="s">
        <v>33</v>
      </c>
      <c r="F143" s="24" t="s">
        <v>91</v>
      </c>
      <c r="G143" s="24" t="s">
        <v>13</v>
      </c>
      <c r="H143" s="24" t="s">
        <v>92</v>
      </c>
      <c r="I143" s="24"/>
      <c r="J143" s="23" t="s">
        <v>751</v>
      </c>
      <c r="K143" s="23" t="s">
        <v>805</v>
      </c>
    </row>
    <row r="144" spans="1:11" ht="13.8" thickBot="1" x14ac:dyDescent="0.25">
      <c r="A144" s="23" t="s">
        <v>798</v>
      </c>
      <c r="B144" s="23" t="s">
        <v>746</v>
      </c>
      <c r="C144" s="23" t="s">
        <v>68</v>
      </c>
      <c r="D144" s="24" t="s">
        <v>122</v>
      </c>
      <c r="E144" s="24" t="s">
        <v>12</v>
      </c>
      <c r="F144" s="24" t="s">
        <v>105</v>
      </c>
      <c r="G144" s="24" t="s">
        <v>13</v>
      </c>
      <c r="H144" s="24" t="s">
        <v>123</v>
      </c>
      <c r="I144" s="24" t="s">
        <v>1027</v>
      </c>
      <c r="J144" s="23" t="s">
        <v>754</v>
      </c>
      <c r="K144" s="23" t="s">
        <v>846</v>
      </c>
    </row>
    <row r="145" spans="1:11" ht="13.8" thickBot="1" x14ac:dyDescent="0.25">
      <c r="A145" s="23" t="s">
        <v>758</v>
      </c>
      <c r="B145" s="23" t="s">
        <v>746</v>
      </c>
      <c r="C145" s="23" t="s">
        <v>69</v>
      </c>
      <c r="D145" s="24" t="s">
        <v>112</v>
      </c>
      <c r="E145" s="24" t="s">
        <v>140</v>
      </c>
      <c r="F145" s="24" t="s">
        <v>113</v>
      </c>
      <c r="G145" s="24" t="s">
        <v>73</v>
      </c>
      <c r="H145" s="24" t="s">
        <v>114</v>
      </c>
      <c r="I145" s="24" t="s">
        <v>1016</v>
      </c>
      <c r="J145" s="23" t="s">
        <v>754</v>
      </c>
      <c r="K145" s="23" t="s">
        <v>844</v>
      </c>
    </row>
    <row r="146" spans="1:11" ht="13.8" thickBot="1" x14ac:dyDescent="0.25">
      <c r="A146" s="23" t="s">
        <v>781</v>
      </c>
      <c r="B146" s="23" t="s">
        <v>746</v>
      </c>
      <c r="C146" s="23" t="s">
        <v>70</v>
      </c>
      <c r="D146" s="24" t="s">
        <v>112</v>
      </c>
      <c r="E146" s="24" t="s">
        <v>140</v>
      </c>
      <c r="F146" s="24" t="s">
        <v>113</v>
      </c>
      <c r="G146" s="24" t="s">
        <v>73</v>
      </c>
      <c r="H146" s="24" t="s">
        <v>114</v>
      </c>
      <c r="I146" s="24" t="s">
        <v>1022</v>
      </c>
      <c r="J146" s="23" t="s">
        <v>754</v>
      </c>
      <c r="K146" s="23" t="s">
        <v>844</v>
      </c>
    </row>
    <row r="147" spans="1:11" ht="13.8" thickBot="1" x14ac:dyDescent="0.25">
      <c r="A147" s="23" t="s">
        <v>802</v>
      </c>
      <c r="B147" s="23" t="s">
        <v>746</v>
      </c>
      <c r="C147" s="23" t="s">
        <v>71</v>
      </c>
      <c r="D147" s="24" t="s">
        <v>103</v>
      </c>
      <c r="E147" s="24" t="s">
        <v>33</v>
      </c>
      <c r="F147" s="24" t="s">
        <v>104</v>
      </c>
      <c r="G147" s="24" t="s">
        <v>37</v>
      </c>
      <c r="H147" s="24" t="s">
        <v>119</v>
      </c>
      <c r="I147" s="24"/>
      <c r="J147" s="23" t="s">
        <v>756</v>
      </c>
      <c r="K147" s="23" t="s">
        <v>805</v>
      </c>
    </row>
    <row r="148" spans="1:11" ht="13.8" thickBot="1" x14ac:dyDescent="0.25">
      <c r="A148" s="23" t="s">
        <v>770</v>
      </c>
      <c r="B148" s="23" t="s">
        <v>746</v>
      </c>
      <c r="C148" s="23" t="s">
        <v>72</v>
      </c>
      <c r="D148" s="24" t="s">
        <v>112</v>
      </c>
      <c r="E148" s="24" t="s">
        <v>140</v>
      </c>
      <c r="F148" s="24" t="s">
        <v>113</v>
      </c>
      <c r="G148" s="24" t="s">
        <v>73</v>
      </c>
      <c r="H148" s="24" t="s">
        <v>114</v>
      </c>
      <c r="I148" s="24" t="s">
        <v>1020</v>
      </c>
      <c r="J148" s="23" t="s">
        <v>756</v>
      </c>
      <c r="K148" s="23" t="s">
        <v>1032</v>
      </c>
    </row>
    <row r="149" spans="1:11" ht="13.8" thickBot="1" x14ac:dyDescent="0.25">
      <c r="A149" s="23" t="s">
        <v>935</v>
      </c>
      <c r="B149" s="23" t="s">
        <v>746</v>
      </c>
      <c r="C149" s="23" t="s">
        <v>74</v>
      </c>
      <c r="D149" s="24" t="s">
        <v>90</v>
      </c>
      <c r="E149" s="24" t="s">
        <v>33</v>
      </c>
      <c r="F149" s="24" t="s">
        <v>91</v>
      </c>
      <c r="G149" s="24" t="s">
        <v>13</v>
      </c>
      <c r="H149" s="24" t="s">
        <v>92</v>
      </c>
      <c r="I149" s="24"/>
      <c r="J149" s="23" t="s">
        <v>756</v>
      </c>
      <c r="K149" s="23" t="s">
        <v>846</v>
      </c>
    </row>
    <row r="150" spans="1:11" ht="13.8" thickBot="1" x14ac:dyDescent="0.25">
      <c r="A150" s="23" t="s">
        <v>785</v>
      </c>
      <c r="B150" s="23" t="s">
        <v>746</v>
      </c>
      <c r="C150" s="23" t="s">
        <v>75</v>
      </c>
      <c r="D150" s="24" t="s">
        <v>95</v>
      </c>
      <c r="E150" s="24" t="s">
        <v>1435</v>
      </c>
      <c r="F150" s="24" t="s">
        <v>96</v>
      </c>
      <c r="G150" s="24" t="s">
        <v>37</v>
      </c>
      <c r="H150" s="24" t="s">
        <v>97</v>
      </c>
      <c r="I150" s="24" t="s">
        <v>1436</v>
      </c>
      <c r="J150" s="23" t="s">
        <v>749</v>
      </c>
      <c r="K150" s="23" t="s">
        <v>846</v>
      </c>
    </row>
    <row r="151" spans="1:11" ht="13.8" thickBot="1" x14ac:dyDescent="0.25">
      <c r="A151" s="23" t="s">
        <v>768</v>
      </c>
      <c r="B151" s="23" t="s">
        <v>746</v>
      </c>
      <c r="C151" s="23" t="s">
        <v>76</v>
      </c>
      <c r="D151" s="24" t="s">
        <v>122</v>
      </c>
      <c r="E151" s="24" t="s">
        <v>12</v>
      </c>
      <c r="F151" s="24" t="s">
        <v>105</v>
      </c>
      <c r="G151" s="24" t="s">
        <v>13</v>
      </c>
      <c r="H151" s="24" t="s">
        <v>123</v>
      </c>
      <c r="I151" s="24" t="s">
        <v>1018</v>
      </c>
      <c r="J151" s="23" t="s">
        <v>749</v>
      </c>
      <c r="K151" s="23" t="s">
        <v>934</v>
      </c>
    </row>
    <row r="152" spans="1:11" ht="13.8" thickBot="1" x14ac:dyDescent="0.25">
      <c r="A152" s="23" t="s">
        <v>936</v>
      </c>
      <c r="B152" s="23" t="s">
        <v>746</v>
      </c>
      <c r="C152" s="23" t="s">
        <v>77</v>
      </c>
      <c r="D152" s="24" t="s">
        <v>90</v>
      </c>
      <c r="E152" s="24" t="s">
        <v>1233</v>
      </c>
      <c r="F152" s="24" t="s">
        <v>91</v>
      </c>
      <c r="G152" s="24" t="s">
        <v>13</v>
      </c>
      <c r="H152" s="24" t="s">
        <v>92</v>
      </c>
      <c r="I152" s="24" t="s">
        <v>1234</v>
      </c>
      <c r="J152" s="23" t="s">
        <v>749</v>
      </c>
      <c r="K152" s="23" t="s">
        <v>932</v>
      </c>
    </row>
    <row r="153" spans="1:11" ht="13.8" thickBot="1" x14ac:dyDescent="0.25">
      <c r="A153" s="23" t="s">
        <v>788</v>
      </c>
      <c r="B153" s="23" t="s">
        <v>746</v>
      </c>
      <c r="C153" s="23" t="s">
        <v>185</v>
      </c>
      <c r="D153" s="24" t="s">
        <v>103</v>
      </c>
      <c r="E153" s="24" t="s">
        <v>1437</v>
      </c>
      <c r="F153" s="24" t="s">
        <v>104</v>
      </c>
      <c r="G153" s="24" t="s">
        <v>37</v>
      </c>
      <c r="H153" s="24" t="s">
        <v>119</v>
      </c>
      <c r="I153" s="24" t="s">
        <v>1438</v>
      </c>
      <c r="J153" s="23" t="s">
        <v>772</v>
      </c>
      <c r="K153" s="23" t="s">
        <v>846</v>
      </c>
    </row>
    <row r="154" spans="1:11" ht="13.8" thickBot="1" x14ac:dyDescent="0.25">
      <c r="A154" s="23" t="s">
        <v>757</v>
      </c>
      <c r="B154" s="23" t="s">
        <v>746</v>
      </c>
      <c r="C154" s="23" t="s">
        <v>186</v>
      </c>
      <c r="D154" s="24" t="s">
        <v>112</v>
      </c>
      <c r="E154" s="24" t="s">
        <v>140</v>
      </c>
      <c r="F154" s="24" t="s">
        <v>113</v>
      </c>
      <c r="G154" s="24" t="s">
        <v>73</v>
      </c>
      <c r="H154" s="24" t="s">
        <v>114</v>
      </c>
      <c r="I154" s="24" t="s">
        <v>1015</v>
      </c>
      <c r="J154" s="23" t="s">
        <v>772</v>
      </c>
      <c r="K154" s="23" t="s">
        <v>932</v>
      </c>
    </row>
    <row r="155" spans="1:11" ht="13.8" thickBot="1" x14ac:dyDescent="0.25">
      <c r="A155" s="23" t="s">
        <v>773</v>
      </c>
      <c r="B155" s="23" t="s">
        <v>746</v>
      </c>
      <c r="C155" s="23" t="s">
        <v>199</v>
      </c>
      <c r="D155" s="24" t="s">
        <v>132</v>
      </c>
      <c r="E155" s="24" t="s">
        <v>78</v>
      </c>
      <c r="F155" s="24" t="s">
        <v>106</v>
      </c>
      <c r="G155" s="24" t="s">
        <v>73</v>
      </c>
      <c r="H155" s="24" t="s">
        <v>133</v>
      </c>
      <c r="I155" s="24" t="s">
        <v>1235</v>
      </c>
      <c r="J155" s="23" t="s">
        <v>776</v>
      </c>
      <c r="K155" s="23" t="s">
        <v>932</v>
      </c>
    </row>
    <row r="156" spans="1:11" ht="13.8" thickBot="1" x14ac:dyDescent="0.25">
      <c r="A156" s="23" t="s">
        <v>764</v>
      </c>
      <c r="B156" s="23" t="s">
        <v>746</v>
      </c>
      <c r="C156" s="23" t="s">
        <v>251</v>
      </c>
      <c r="D156" s="24" t="s">
        <v>95</v>
      </c>
      <c r="E156" s="24" t="s">
        <v>1435</v>
      </c>
      <c r="F156" s="24" t="s">
        <v>96</v>
      </c>
      <c r="G156" s="24" t="s">
        <v>37</v>
      </c>
      <c r="H156" s="24" t="s">
        <v>97</v>
      </c>
      <c r="I156" s="24" t="s">
        <v>1439</v>
      </c>
      <c r="J156" s="23" t="s">
        <v>801</v>
      </c>
      <c r="K156" s="23" t="s">
        <v>934</v>
      </c>
    </row>
    <row r="157" spans="1:11" ht="13.8" thickBot="1" x14ac:dyDescent="0.25">
      <c r="A157" s="23" t="s">
        <v>782</v>
      </c>
      <c r="B157" s="23" t="s">
        <v>746</v>
      </c>
      <c r="C157" s="23" t="s">
        <v>252</v>
      </c>
      <c r="D157" s="24" t="s">
        <v>112</v>
      </c>
      <c r="E157" s="24" t="s">
        <v>140</v>
      </c>
      <c r="F157" s="24" t="s">
        <v>113</v>
      </c>
      <c r="G157" s="24" t="s">
        <v>73</v>
      </c>
      <c r="H157" s="24" t="s">
        <v>114</v>
      </c>
      <c r="I157" s="24" t="s">
        <v>1023</v>
      </c>
      <c r="J157" s="23" t="s">
        <v>801</v>
      </c>
      <c r="K157" s="23" t="s">
        <v>937</v>
      </c>
    </row>
    <row r="158" spans="1:11" ht="13.8" thickBot="1" x14ac:dyDescent="0.25">
      <c r="A158" s="23" t="s">
        <v>806</v>
      </c>
      <c r="B158" s="23" t="s">
        <v>746</v>
      </c>
      <c r="C158" s="23" t="s">
        <v>253</v>
      </c>
      <c r="D158" s="24" t="s">
        <v>103</v>
      </c>
      <c r="E158" s="24" t="s">
        <v>33</v>
      </c>
      <c r="F158" s="24" t="s">
        <v>104</v>
      </c>
      <c r="G158" s="24" t="s">
        <v>37</v>
      </c>
      <c r="H158" s="24" t="s">
        <v>119</v>
      </c>
      <c r="I158" s="24"/>
      <c r="J158" s="23" t="s">
        <v>787</v>
      </c>
      <c r="K158" s="23" t="s">
        <v>934</v>
      </c>
    </row>
    <row r="159" spans="1:11" ht="13.8" thickBot="1" x14ac:dyDescent="0.25">
      <c r="A159" s="23" t="s">
        <v>941</v>
      </c>
      <c r="B159" s="23" t="s">
        <v>746</v>
      </c>
      <c r="C159" s="23" t="s">
        <v>569</v>
      </c>
      <c r="D159" s="24" t="s">
        <v>95</v>
      </c>
      <c r="E159" s="24" t="s">
        <v>1440</v>
      </c>
      <c r="F159" s="24" t="s">
        <v>96</v>
      </c>
      <c r="G159" s="24" t="s">
        <v>37</v>
      </c>
      <c r="H159" s="24" t="s">
        <v>97</v>
      </c>
      <c r="I159" s="24" t="s">
        <v>1441</v>
      </c>
      <c r="J159" s="23" t="s">
        <v>787</v>
      </c>
      <c r="K159" s="23" t="s">
        <v>937</v>
      </c>
    </row>
    <row r="160" spans="1:11" ht="13.8" thickBot="1" x14ac:dyDescent="0.25">
      <c r="A160" s="23" t="s">
        <v>765</v>
      </c>
      <c r="B160" s="23" t="s">
        <v>746</v>
      </c>
      <c r="C160" s="23" t="s">
        <v>571</v>
      </c>
      <c r="D160" s="24" t="s">
        <v>95</v>
      </c>
      <c r="E160" s="24" t="s">
        <v>1435</v>
      </c>
      <c r="F160" s="24" t="s">
        <v>96</v>
      </c>
      <c r="G160" s="24" t="s">
        <v>37</v>
      </c>
      <c r="H160" s="24" t="s">
        <v>97</v>
      </c>
      <c r="I160" s="24" t="s">
        <v>1442</v>
      </c>
      <c r="J160" s="23" t="s">
        <v>790</v>
      </c>
      <c r="K160" s="23" t="s">
        <v>863</v>
      </c>
    </row>
    <row r="161" spans="1:11" ht="13.8" thickBot="1" x14ac:dyDescent="0.25">
      <c r="A161" s="23" t="s">
        <v>940</v>
      </c>
      <c r="B161" s="23" t="s">
        <v>746</v>
      </c>
      <c r="C161" s="23" t="s">
        <v>573</v>
      </c>
      <c r="D161" s="24" t="s">
        <v>95</v>
      </c>
      <c r="E161" s="24" t="s">
        <v>33</v>
      </c>
      <c r="F161" s="24" t="s">
        <v>96</v>
      </c>
      <c r="G161" s="24" t="s">
        <v>37</v>
      </c>
      <c r="H161" s="24" t="s">
        <v>97</v>
      </c>
      <c r="I161" s="24"/>
      <c r="J161" s="23" t="s">
        <v>799</v>
      </c>
      <c r="K161" s="23" t="s">
        <v>1038</v>
      </c>
    </row>
    <row r="162" spans="1:11" ht="13.8" thickBot="1" x14ac:dyDescent="0.25">
      <c r="A162" s="23" t="s">
        <v>1037</v>
      </c>
      <c r="B162" s="23" t="s">
        <v>1036</v>
      </c>
      <c r="C162" s="23" t="s">
        <v>11</v>
      </c>
      <c r="D162" s="24" t="s">
        <v>187</v>
      </c>
      <c r="E162" s="24" t="s">
        <v>1238</v>
      </c>
      <c r="F162" s="24" t="s">
        <v>188</v>
      </c>
      <c r="G162" s="24" t="s">
        <v>13</v>
      </c>
      <c r="H162" s="24" t="s">
        <v>189</v>
      </c>
      <c r="I162" s="24" t="s">
        <v>1239</v>
      </c>
      <c r="J162" s="23" t="s">
        <v>760</v>
      </c>
      <c r="K162" s="23" t="s">
        <v>1041</v>
      </c>
    </row>
    <row r="163" spans="1:11" ht="13.8" thickBot="1" x14ac:dyDescent="0.25">
      <c r="A163" s="23" t="s">
        <v>1160</v>
      </c>
      <c r="B163" s="23" t="s">
        <v>1036</v>
      </c>
      <c r="C163" s="23" t="s">
        <v>14</v>
      </c>
      <c r="D163" s="24" t="s">
        <v>90</v>
      </c>
      <c r="E163" s="24" t="s">
        <v>145</v>
      </c>
      <c r="F163" s="24" t="s">
        <v>91</v>
      </c>
      <c r="G163" s="24" t="s">
        <v>13</v>
      </c>
      <c r="H163" s="24" t="s">
        <v>92</v>
      </c>
      <c r="I163" s="24"/>
      <c r="J163" s="23" t="s">
        <v>772</v>
      </c>
      <c r="K163" s="23" t="s">
        <v>934</v>
      </c>
    </row>
    <row r="164" spans="1:11" ht="13.8" thickBot="1" x14ac:dyDescent="0.25">
      <c r="A164" s="23" t="s">
        <v>1162</v>
      </c>
      <c r="B164" s="23" t="s">
        <v>1036</v>
      </c>
      <c r="C164" s="23" t="s">
        <v>15</v>
      </c>
      <c r="D164" s="24" t="s">
        <v>90</v>
      </c>
      <c r="E164" s="24" t="s">
        <v>145</v>
      </c>
      <c r="F164" s="24" t="s">
        <v>91</v>
      </c>
      <c r="G164" s="24" t="s">
        <v>13</v>
      </c>
      <c r="H164" s="24" t="s">
        <v>92</v>
      </c>
      <c r="I164" s="24"/>
      <c r="J164" s="23" t="s">
        <v>801</v>
      </c>
      <c r="K164" s="23" t="s">
        <v>863</v>
      </c>
    </row>
    <row r="165" spans="1:11" ht="13.8" thickBot="1" x14ac:dyDescent="0.25">
      <c r="A165" s="23" t="s">
        <v>759</v>
      </c>
      <c r="B165" s="23" t="s">
        <v>1036</v>
      </c>
      <c r="C165" s="23" t="s">
        <v>16</v>
      </c>
      <c r="D165" s="24" t="s">
        <v>81</v>
      </c>
      <c r="E165" s="24" t="s">
        <v>1443</v>
      </c>
      <c r="F165" s="24" t="s">
        <v>82</v>
      </c>
      <c r="G165" s="24" t="s">
        <v>13</v>
      </c>
      <c r="H165" s="24" t="s">
        <v>100</v>
      </c>
      <c r="I165" s="24" t="s">
        <v>1444</v>
      </c>
      <c r="J165" s="23" t="s">
        <v>787</v>
      </c>
      <c r="K165" s="23" t="s">
        <v>1040</v>
      </c>
    </row>
    <row r="166" spans="1:11" ht="13.8" thickBot="1" x14ac:dyDescent="0.25">
      <c r="A166" s="23" t="s">
        <v>1042</v>
      </c>
      <c r="B166" s="23" t="s">
        <v>1036</v>
      </c>
      <c r="C166" s="23" t="s">
        <v>17</v>
      </c>
      <c r="D166" s="24" t="s">
        <v>122</v>
      </c>
      <c r="E166" s="24" t="s">
        <v>1245</v>
      </c>
      <c r="F166" s="24" t="s">
        <v>105</v>
      </c>
      <c r="G166" s="24" t="s">
        <v>13</v>
      </c>
      <c r="H166" s="24" t="s">
        <v>123</v>
      </c>
      <c r="I166" s="24" t="s">
        <v>1246</v>
      </c>
      <c r="J166" s="23" t="s">
        <v>790</v>
      </c>
      <c r="K166" s="23" t="s">
        <v>1041</v>
      </c>
    </row>
    <row r="167" spans="1:11" ht="13.8" thickBot="1" x14ac:dyDescent="0.25">
      <c r="A167" s="23" t="s">
        <v>1039</v>
      </c>
      <c r="B167" s="23" t="s">
        <v>1036</v>
      </c>
      <c r="C167" s="23" t="s">
        <v>18</v>
      </c>
      <c r="D167" s="24" t="s">
        <v>187</v>
      </c>
      <c r="E167" s="24" t="s">
        <v>1242</v>
      </c>
      <c r="F167" s="24" t="s">
        <v>188</v>
      </c>
      <c r="G167" s="24" t="s">
        <v>13</v>
      </c>
      <c r="H167" s="24" t="s">
        <v>189</v>
      </c>
      <c r="I167" s="24" t="s">
        <v>1243</v>
      </c>
      <c r="J167" s="23" t="s">
        <v>790</v>
      </c>
      <c r="K167" s="23" t="s">
        <v>1051</v>
      </c>
    </row>
    <row r="168" spans="1:11" ht="13.8" thickBot="1" x14ac:dyDescent="0.25">
      <c r="A168" s="23" t="s">
        <v>1157</v>
      </c>
      <c r="B168" s="23" t="s">
        <v>1036</v>
      </c>
      <c r="C168" s="23" t="s">
        <v>19</v>
      </c>
      <c r="D168" s="24" t="s">
        <v>98</v>
      </c>
      <c r="E168" s="24" t="s">
        <v>1240</v>
      </c>
      <c r="F168" s="24" t="s">
        <v>94</v>
      </c>
      <c r="G168" s="24" t="s">
        <v>13</v>
      </c>
      <c r="H168" s="24" t="s">
        <v>99</v>
      </c>
      <c r="I168" s="24" t="s">
        <v>1241</v>
      </c>
      <c r="J168" s="23" t="s">
        <v>805</v>
      </c>
      <c r="K168" s="23" t="s">
        <v>1045</v>
      </c>
    </row>
    <row r="169" spans="1:11" ht="13.8" thickBot="1" x14ac:dyDescent="0.25">
      <c r="A169" s="23" t="s">
        <v>1048</v>
      </c>
      <c r="B169" s="23" t="s">
        <v>1036</v>
      </c>
      <c r="C169" s="23" t="s">
        <v>20</v>
      </c>
      <c r="D169" s="24" t="s">
        <v>112</v>
      </c>
      <c r="E169" s="24" t="s">
        <v>1252</v>
      </c>
      <c r="F169" s="24" t="s">
        <v>113</v>
      </c>
      <c r="G169" s="24" t="s">
        <v>73</v>
      </c>
      <c r="H169" s="24" t="s">
        <v>114</v>
      </c>
      <c r="I169" s="24" t="s">
        <v>1253</v>
      </c>
      <c r="J169" s="23" t="s">
        <v>805</v>
      </c>
      <c r="K169" s="23" t="s">
        <v>1041</v>
      </c>
    </row>
    <row r="170" spans="1:11" ht="13.8" thickBot="1" x14ac:dyDescent="0.25">
      <c r="A170" s="23" t="s">
        <v>1049</v>
      </c>
      <c r="B170" s="23" t="s">
        <v>1036</v>
      </c>
      <c r="C170" s="23" t="s">
        <v>21</v>
      </c>
      <c r="D170" s="24" t="s">
        <v>112</v>
      </c>
      <c r="E170" s="24" t="s">
        <v>1252</v>
      </c>
      <c r="F170" s="24" t="s">
        <v>113</v>
      </c>
      <c r="G170" s="24" t="s">
        <v>73</v>
      </c>
      <c r="H170" s="24" t="s">
        <v>114</v>
      </c>
      <c r="I170" s="24" t="s">
        <v>1255</v>
      </c>
      <c r="J170" s="23" t="s">
        <v>805</v>
      </c>
      <c r="K170" s="23" t="s">
        <v>1041</v>
      </c>
    </row>
    <row r="171" spans="1:11" ht="13.8" thickBot="1" x14ac:dyDescent="0.25">
      <c r="A171" s="23" t="s">
        <v>1185</v>
      </c>
      <c r="B171" s="23" t="s">
        <v>1036</v>
      </c>
      <c r="C171" s="23" t="s">
        <v>22</v>
      </c>
      <c r="D171" s="24" t="s">
        <v>101</v>
      </c>
      <c r="E171" s="24" t="s">
        <v>145</v>
      </c>
      <c r="F171" s="24" t="s">
        <v>102</v>
      </c>
      <c r="G171" s="24" t="s">
        <v>37</v>
      </c>
      <c r="H171" s="24" t="s">
        <v>118</v>
      </c>
      <c r="I171" s="24"/>
      <c r="J171" s="23" t="s">
        <v>844</v>
      </c>
      <c r="K171" s="23" t="s">
        <v>1040</v>
      </c>
    </row>
    <row r="172" spans="1:11" ht="13.8" thickBot="1" x14ac:dyDescent="0.25">
      <c r="A172" s="23" t="s">
        <v>1043</v>
      </c>
      <c r="B172" s="23" t="s">
        <v>1036</v>
      </c>
      <c r="C172" s="23" t="s">
        <v>23</v>
      </c>
      <c r="D172" s="24" t="s">
        <v>122</v>
      </c>
      <c r="E172" s="24" t="s">
        <v>1247</v>
      </c>
      <c r="F172" s="24" t="s">
        <v>105</v>
      </c>
      <c r="G172" s="24" t="s">
        <v>13</v>
      </c>
      <c r="H172" s="24" t="s">
        <v>123</v>
      </c>
      <c r="I172" s="24" t="s">
        <v>1248</v>
      </c>
      <c r="J172" s="23" t="s">
        <v>844</v>
      </c>
      <c r="K172" s="23" t="s">
        <v>1046</v>
      </c>
    </row>
    <row r="173" spans="1:11" ht="13.8" thickBot="1" x14ac:dyDescent="0.25">
      <c r="A173" s="23" t="s">
        <v>1163</v>
      </c>
      <c r="B173" s="23" t="s">
        <v>1036</v>
      </c>
      <c r="C173" s="23" t="s">
        <v>24</v>
      </c>
      <c r="D173" s="24" t="s">
        <v>90</v>
      </c>
      <c r="E173" s="24" t="s">
        <v>145</v>
      </c>
      <c r="F173" s="24" t="s">
        <v>91</v>
      </c>
      <c r="G173" s="24" t="s">
        <v>13</v>
      </c>
      <c r="H173" s="24" t="s">
        <v>92</v>
      </c>
      <c r="I173" s="24"/>
      <c r="J173" s="23" t="s">
        <v>844</v>
      </c>
      <c r="K173" s="23" t="s">
        <v>1045</v>
      </c>
    </row>
    <row r="174" spans="1:11" ht="13.8" thickBot="1" x14ac:dyDescent="0.25">
      <c r="A174" s="23" t="s">
        <v>1055</v>
      </c>
      <c r="B174" s="23" t="s">
        <v>1036</v>
      </c>
      <c r="C174" s="23" t="s">
        <v>25</v>
      </c>
      <c r="D174" s="24" t="s">
        <v>132</v>
      </c>
      <c r="E174" s="24" t="s">
        <v>1238</v>
      </c>
      <c r="F174" s="24" t="s">
        <v>106</v>
      </c>
      <c r="G174" s="24" t="s">
        <v>73</v>
      </c>
      <c r="H174" s="24" t="s">
        <v>133</v>
      </c>
      <c r="I174" s="24" t="s">
        <v>1257</v>
      </c>
      <c r="J174" s="23" t="s">
        <v>1032</v>
      </c>
      <c r="K174" s="23" t="s">
        <v>1044</v>
      </c>
    </row>
    <row r="175" spans="1:11" ht="13.8" thickBot="1" x14ac:dyDescent="0.25">
      <c r="A175" s="23" t="s">
        <v>803</v>
      </c>
      <c r="B175" s="23" t="s">
        <v>1036</v>
      </c>
      <c r="C175" s="23" t="s">
        <v>26</v>
      </c>
      <c r="D175" s="24" t="s">
        <v>101</v>
      </c>
      <c r="E175" s="24" t="s">
        <v>1066</v>
      </c>
      <c r="F175" s="24" t="s">
        <v>102</v>
      </c>
      <c r="G175" s="24" t="s">
        <v>37</v>
      </c>
      <c r="H175" s="24" t="s">
        <v>118</v>
      </c>
      <c r="I175" s="24"/>
      <c r="J175" s="23" t="s">
        <v>846</v>
      </c>
      <c r="K175" s="23" t="s">
        <v>1044</v>
      </c>
    </row>
    <row r="176" spans="1:11" ht="13.8" thickBot="1" x14ac:dyDescent="0.25">
      <c r="A176" s="23" t="s">
        <v>1159</v>
      </c>
      <c r="B176" s="23" t="s">
        <v>1036</v>
      </c>
      <c r="C176" s="23" t="s">
        <v>27</v>
      </c>
      <c r="D176" s="24" t="s">
        <v>122</v>
      </c>
      <c r="E176" s="24" t="s">
        <v>12</v>
      </c>
      <c r="F176" s="24" t="s">
        <v>105</v>
      </c>
      <c r="G176" s="24" t="s">
        <v>13</v>
      </c>
      <c r="H176" s="24" t="s">
        <v>123</v>
      </c>
      <c r="I176" s="24" t="s">
        <v>1249</v>
      </c>
      <c r="J176" s="23" t="s">
        <v>846</v>
      </c>
      <c r="K176" s="23" t="s">
        <v>1051</v>
      </c>
    </row>
    <row r="177" spans="1:11" ht="13.8" thickBot="1" x14ac:dyDescent="0.25">
      <c r="A177" s="23" t="s">
        <v>1170</v>
      </c>
      <c r="B177" s="23" t="s">
        <v>1036</v>
      </c>
      <c r="C177" s="23" t="s">
        <v>28</v>
      </c>
      <c r="D177" s="24" t="s">
        <v>120</v>
      </c>
      <c r="E177" s="24" t="s">
        <v>181</v>
      </c>
      <c r="F177" s="24" t="s">
        <v>107</v>
      </c>
      <c r="G177" s="24" t="s">
        <v>73</v>
      </c>
      <c r="H177" s="24" t="s">
        <v>121</v>
      </c>
      <c r="I177" s="24"/>
      <c r="J177" s="23" t="s">
        <v>846</v>
      </c>
      <c r="K177" s="23" t="s">
        <v>1045</v>
      </c>
    </row>
    <row r="178" spans="1:11" ht="13.8" thickBot="1" x14ac:dyDescent="0.25">
      <c r="A178" s="23" t="s">
        <v>1182</v>
      </c>
      <c r="B178" s="23" t="s">
        <v>1036</v>
      </c>
      <c r="C178" s="23" t="s">
        <v>29</v>
      </c>
      <c r="D178" s="24" t="s">
        <v>103</v>
      </c>
      <c r="E178" s="24" t="s">
        <v>145</v>
      </c>
      <c r="F178" s="24" t="s">
        <v>104</v>
      </c>
      <c r="G178" s="24" t="s">
        <v>37</v>
      </c>
      <c r="H178" s="24" t="s">
        <v>119</v>
      </c>
      <c r="I178" s="24"/>
      <c r="J178" s="23" t="s">
        <v>1050</v>
      </c>
      <c r="K178" s="23" t="s">
        <v>1045</v>
      </c>
    </row>
    <row r="179" spans="1:11" ht="13.8" thickBot="1" x14ac:dyDescent="0.25">
      <c r="A179" s="23" t="s">
        <v>1156</v>
      </c>
      <c r="B179" s="23" t="s">
        <v>1036</v>
      </c>
      <c r="C179" s="23" t="s">
        <v>31</v>
      </c>
      <c r="D179" s="24" t="s">
        <v>79</v>
      </c>
      <c r="E179" s="24" t="s">
        <v>1236</v>
      </c>
      <c r="F179" s="24" t="s">
        <v>80</v>
      </c>
      <c r="G179" s="24" t="s">
        <v>13</v>
      </c>
      <c r="H179" s="24" t="s">
        <v>124</v>
      </c>
      <c r="I179" s="24" t="s">
        <v>1237</v>
      </c>
      <c r="J179" s="23" t="s">
        <v>932</v>
      </c>
      <c r="K179" s="23" t="s">
        <v>1065</v>
      </c>
    </row>
    <row r="180" spans="1:11" ht="13.8" thickBot="1" x14ac:dyDescent="0.25">
      <c r="A180" s="23" t="s">
        <v>1058</v>
      </c>
      <c r="B180" s="23" t="s">
        <v>1036</v>
      </c>
      <c r="C180" s="23" t="s">
        <v>32</v>
      </c>
      <c r="D180" s="24" t="s">
        <v>132</v>
      </c>
      <c r="E180" s="24" t="s">
        <v>1252</v>
      </c>
      <c r="F180" s="24" t="s">
        <v>106</v>
      </c>
      <c r="G180" s="24" t="s">
        <v>73</v>
      </c>
      <c r="H180" s="24" t="s">
        <v>133</v>
      </c>
      <c r="I180" s="24" t="s">
        <v>1258</v>
      </c>
      <c r="J180" s="23" t="s">
        <v>932</v>
      </c>
      <c r="K180" s="23" t="s">
        <v>1047</v>
      </c>
    </row>
    <row r="181" spans="1:11" ht="13.8" thickBot="1" x14ac:dyDescent="0.25">
      <c r="A181" s="23" t="s">
        <v>1161</v>
      </c>
      <c r="B181" s="23" t="s">
        <v>1036</v>
      </c>
      <c r="C181" s="23" t="s">
        <v>34</v>
      </c>
      <c r="D181" s="24" t="s">
        <v>122</v>
      </c>
      <c r="E181" s="24" t="s">
        <v>140</v>
      </c>
      <c r="F181" s="24" t="s">
        <v>105</v>
      </c>
      <c r="G181" s="24" t="s">
        <v>13</v>
      </c>
      <c r="H181" s="24" t="s">
        <v>123</v>
      </c>
      <c r="I181" s="24" t="s">
        <v>1250</v>
      </c>
      <c r="J181" s="23" t="s">
        <v>932</v>
      </c>
      <c r="K181" s="23" t="s">
        <v>1054</v>
      </c>
    </row>
    <row r="182" spans="1:11" ht="13.8" thickBot="1" x14ac:dyDescent="0.25">
      <c r="A182" s="23" t="s">
        <v>1053</v>
      </c>
      <c r="B182" s="23" t="s">
        <v>1036</v>
      </c>
      <c r="C182" s="23" t="s">
        <v>35</v>
      </c>
      <c r="D182" s="24" t="s">
        <v>132</v>
      </c>
      <c r="E182" s="24" t="s">
        <v>1238</v>
      </c>
      <c r="F182" s="24" t="s">
        <v>106</v>
      </c>
      <c r="G182" s="24" t="s">
        <v>73</v>
      </c>
      <c r="H182" s="24" t="s">
        <v>133</v>
      </c>
      <c r="I182" s="24" t="s">
        <v>1256</v>
      </c>
      <c r="J182" s="23" t="s">
        <v>934</v>
      </c>
      <c r="K182" s="23" t="s">
        <v>1051</v>
      </c>
    </row>
    <row r="183" spans="1:11" ht="13.8" thickBot="1" x14ac:dyDescent="0.25">
      <c r="A183" s="23" t="s">
        <v>780</v>
      </c>
      <c r="B183" s="23" t="s">
        <v>1036</v>
      </c>
      <c r="C183" s="23" t="s">
        <v>36</v>
      </c>
      <c r="D183" s="24" t="s">
        <v>132</v>
      </c>
      <c r="E183" s="24" t="s">
        <v>1173</v>
      </c>
      <c r="F183" s="24" t="s">
        <v>106</v>
      </c>
      <c r="G183" s="24" t="s">
        <v>73</v>
      </c>
      <c r="H183" s="24" t="s">
        <v>133</v>
      </c>
      <c r="I183" s="24" t="s">
        <v>1174</v>
      </c>
      <c r="J183" s="23" t="s">
        <v>934</v>
      </c>
      <c r="K183" s="23" t="s">
        <v>1051</v>
      </c>
    </row>
    <row r="184" spans="1:11" ht="13.8" thickBot="1" x14ac:dyDescent="0.25">
      <c r="A184" s="23" t="s">
        <v>1164</v>
      </c>
      <c r="B184" s="23" t="s">
        <v>1036</v>
      </c>
      <c r="C184" s="23" t="s">
        <v>38</v>
      </c>
      <c r="D184" s="24" t="s">
        <v>90</v>
      </c>
      <c r="E184" s="24" t="s">
        <v>145</v>
      </c>
      <c r="F184" s="24" t="s">
        <v>91</v>
      </c>
      <c r="G184" s="24" t="s">
        <v>13</v>
      </c>
      <c r="H184" s="24" t="s">
        <v>92</v>
      </c>
      <c r="I184" s="24"/>
      <c r="J184" s="23" t="s">
        <v>934</v>
      </c>
      <c r="K184" s="23" t="s">
        <v>1054</v>
      </c>
    </row>
    <row r="185" spans="1:11" ht="13.8" thickBot="1" x14ac:dyDescent="0.25">
      <c r="A185" s="23" t="s">
        <v>807</v>
      </c>
      <c r="B185" s="23" t="s">
        <v>1036</v>
      </c>
      <c r="C185" s="23" t="s">
        <v>39</v>
      </c>
      <c r="D185" s="24" t="s">
        <v>101</v>
      </c>
      <c r="E185" s="24" t="s">
        <v>1068</v>
      </c>
      <c r="F185" s="24" t="s">
        <v>102</v>
      </c>
      <c r="G185" s="24" t="s">
        <v>37</v>
      </c>
      <c r="H185" s="24" t="s">
        <v>118</v>
      </c>
      <c r="I185" s="24" t="s">
        <v>1069</v>
      </c>
      <c r="J185" s="23" t="s">
        <v>937</v>
      </c>
      <c r="K185" s="23" t="s">
        <v>1051</v>
      </c>
    </row>
    <row r="186" spans="1:11" ht="13.8" thickBot="1" x14ac:dyDescent="0.25">
      <c r="A186" s="23" t="s">
        <v>753</v>
      </c>
      <c r="B186" s="23" t="s">
        <v>1036</v>
      </c>
      <c r="C186" s="23" t="s">
        <v>40</v>
      </c>
      <c r="D186" s="24" t="s">
        <v>81</v>
      </c>
      <c r="E186" s="24" t="s">
        <v>1445</v>
      </c>
      <c r="F186" s="24" t="s">
        <v>82</v>
      </c>
      <c r="G186" s="24" t="s">
        <v>13</v>
      </c>
      <c r="H186" s="24" t="s">
        <v>100</v>
      </c>
      <c r="I186" s="24" t="s">
        <v>1446</v>
      </c>
      <c r="J186" s="23" t="s">
        <v>863</v>
      </c>
      <c r="K186" s="23" t="s">
        <v>1062</v>
      </c>
    </row>
    <row r="187" spans="1:11" ht="13.8" thickBot="1" x14ac:dyDescent="0.25">
      <c r="A187" s="23" t="s">
        <v>1158</v>
      </c>
      <c r="B187" s="23" t="s">
        <v>1036</v>
      </c>
      <c r="C187" s="23" t="s">
        <v>41</v>
      </c>
      <c r="D187" s="24" t="s">
        <v>98</v>
      </c>
      <c r="E187" s="24" t="s">
        <v>78</v>
      </c>
      <c r="F187" s="24" t="s">
        <v>94</v>
      </c>
      <c r="G187" s="24" t="s">
        <v>13</v>
      </c>
      <c r="H187" s="24" t="s">
        <v>99</v>
      </c>
      <c r="I187" s="24" t="s">
        <v>1244</v>
      </c>
      <c r="J187" s="23" t="s">
        <v>863</v>
      </c>
      <c r="K187" s="23" t="s">
        <v>1062</v>
      </c>
    </row>
    <row r="188" spans="1:11" ht="13.8" thickBot="1" x14ac:dyDescent="0.25">
      <c r="A188" s="23" t="s">
        <v>1176</v>
      </c>
      <c r="B188" s="23" t="s">
        <v>1036</v>
      </c>
      <c r="C188" s="23" t="s">
        <v>65</v>
      </c>
      <c r="D188" s="24" t="s">
        <v>120</v>
      </c>
      <c r="E188" s="24" t="s">
        <v>140</v>
      </c>
      <c r="F188" s="24" t="s">
        <v>107</v>
      </c>
      <c r="G188" s="24" t="s">
        <v>73</v>
      </c>
      <c r="H188" s="24" t="s">
        <v>121</v>
      </c>
      <c r="I188" s="24" t="s">
        <v>1259</v>
      </c>
      <c r="J188" s="23" t="s">
        <v>863</v>
      </c>
      <c r="K188" s="23" t="s">
        <v>1054</v>
      </c>
    </row>
    <row r="189" spans="1:11" ht="13.8" thickBot="1" x14ac:dyDescent="0.25">
      <c r="A189" s="23" t="s">
        <v>1059</v>
      </c>
      <c r="B189" s="23" t="s">
        <v>1036</v>
      </c>
      <c r="C189" s="23" t="s">
        <v>66</v>
      </c>
      <c r="D189" s="24" t="s">
        <v>103</v>
      </c>
      <c r="E189" s="24" t="s">
        <v>1060</v>
      </c>
      <c r="F189" s="24" t="s">
        <v>104</v>
      </c>
      <c r="G189" s="24" t="s">
        <v>37</v>
      </c>
      <c r="H189" s="24" t="s">
        <v>119</v>
      </c>
      <c r="I189" s="24" t="s">
        <v>1061</v>
      </c>
      <c r="J189" s="23" t="s">
        <v>1038</v>
      </c>
      <c r="K189" s="23" t="s">
        <v>1054</v>
      </c>
    </row>
    <row r="190" spans="1:11" ht="13.8" thickBot="1" x14ac:dyDescent="0.25">
      <c r="A190" s="23" t="s">
        <v>766</v>
      </c>
      <c r="B190" s="23" t="s">
        <v>1036</v>
      </c>
      <c r="C190" s="23" t="s">
        <v>67</v>
      </c>
      <c r="D190" s="24" t="s">
        <v>81</v>
      </c>
      <c r="E190" s="24" t="s">
        <v>145</v>
      </c>
      <c r="F190" s="24" t="s">
        <v>82</v>
      </c>
      <c r="G190" s="24" t="s">
        <v>13</v>
      </c>
      <c r="H190" s="24" t="s">
        <v>100</v>
      </c>
      <c r="I190" s="24"/>
      <c r="J190" s="23" t="s">
        <v>1040</v>
      </c>
      <c r="K190" s="23" t="s">
        <v>1064</v>
      </c>
    </row>
    <row r="191" spans="1:11" ht="13.8" thickBot="1" x14ac:dyDescent="0.25">
      <c r="A191" s="23" t="s">
        <v>1179</v>
      </c>
      <c r="B191" s="23" t="s">
        <v>1036</v>
      </c>
      <c r="C191" s="23" t="s">
        <v>68</v>
      </c>
      <c r="D191" s="24" t="s">
        <v>95</v>
      </c>
      <c r="E191" s="24" t="s">
        <v>145</v>
      </c>
      <c r="F191" s="24" t="s">
        <v>96</v>
      </c>
      <c r="G191" s="24" t="s">
        <v>37</v>
      </c>
      <c r="H191" s="24" t="s">
        <v>97</v>
      </c>
      <c r="I191" s="24"/>
      <c r="J191" s="23" t="s">
        <v>1040</v>
      </c>
      <c r="K191" s="23" t="s">
        <v>1057</v>
      </c>
    </row>
    <row r="192" spans="1:11" ht="13.8" thickBot="1" x14ac:dyDescent="0.25">
      <c r="A192" s="23" t="s">
        <v>1177</v>
      </c>
      <c r="B192" s="23" t="s">
        <v>1036</v>
      </c>
      <c r="C192" s="23" t="s">
        <v>69</v>
      </c>
      <c r="D192" s="24" t="s">
        <v>120</v>
      </c>
      <c r="E192" s="24" t="s">
        <v>140</v>
      </c>
      <c r="F192" s="24" t="s">
        <v>107</v>
      </c>
      <c r="G192" s="24" t="s">
        <v>73</v>
      </c>
      <c r="H192" s="24" t="s">
        <v>121</v>
      </c>
      <c r="I192" s="24" t="s">
        <v>1260</v>
      </c>
      <c r="J192" s="23" t="s">
        <v>1040</v>
      </c>
      <c r="K192" s="23" t="s">
        <v>1057</v>
      </c>
    </row>
    <row r="193" spans="1:11" ht="13.8" thickBot="1" x14ac:dyDescent="0.25">
      <c r="A193" s="23" t="s">
        <v>755</v>
      </c>
      <c r="B193" s="23" t="s">
        <v>1036</v>
      </c>
      <c r="C193" s="23" t="s">
        <v>70</v>
      </c>
      <c r="D193" s="24" t="s">
        <v>81</v>
      </c>
      <c r="E193" s="24" t="s">
        <v>1447</v>
      </c>
      <c r="F193" s="24" t="s">
        <v>82</v>
      </c>
      <c r="G193" s="24" t="s">
        <v>13</v>
      </c>
      <c r="H193" s="24" t="s">
        <v>100</v>
      </c>
      <c r="I193" s="24" t="s">
        <v>1448</v>
      </c>
      <c r="J193" s="23" t="s">
        <v>1041</v>
      </c>
      <c r="K193" s="23" t="s">
        <v>1065</v>
      </c>
    </row>
    <row r="194" spans="1:11" ht="13.8" thickBot="1" x14ac:dyDescent="0.25">
      <c r="A194" s="23" t="s">
        <v>1180</v>
      </c>
      <c r="B194" s="23" t="s">
        <v>1036</v>
      </c>
      <c r="C194" s="23" t="s">
        <v>71</v>
      </c>
      <c r="D194" s="24" t="s">
        <v>101</v>
      </c>
      <c r="E194" s="24" t="s">
        <v>145</v>
      </c>
      <c r="F194" s="24" t="s">
        <v>102</v>
      </c>
      <c r="G194" s="24" t="s">
        <v>73</v>
      </c>
      <c r="H194" s="24" t="s">
        <v>118</v>
      </c>
      <c r="I194" s="24"/>
      <c r="J194" s="23" t="s">
        <v>1041</v>
      </c>
      <c r="K194" s="23" t="s">
        <v>1062</v>
      </c>
    </row>
    <row r="195" spans="1:11" ht="13.8" thickBot="1" x14ac:dyDescent="0.25">
      <c r="A195" s="23" t="s">
        <v>1251</v>
      </c>
      <c r="B195" s="23" t="s">
        <v>1036</v>
      </c>
      <c r="C195" s="23" t="s">
        <v>72</v>
      </c>
      <c r="D195" s="24" t="s">
        <v>81</v>
      </c>
      <c r="E195" s="24" t="s">
        <v>145</v>
      </c>
      <c r="F195" s="24" t="s">
        <v>82</v>
      </c>
      <c r="G195" s="24" t="s">
        <v>13</v>
      </c>
      <c r="H195" s="24" t="s">
        <v>100</v>
      </c>
      <c r="I195" s="24"/>
      <c r="J195" s="23" t="s">
        <v>1041</v>
      </c>
      <c r="K195" s="23" t="s">
        <v>1065</v>
      </c>
    </row>
    <row r="196" spans="1:11" ht="13.8" thickBot="1" x14ac:dyDescent="0.25">
      <c r="A196" s="23" t="s">
        <v>1183</v>
      </c>
      <c r="B196" s="23" t="s">
        <v>1036</v>
      </c>
      <c r="C196" s="23" t="s">
        <v>74</v>
      </c>
      <c r="D196" s="24" t="s">
        <v>103</v>
      </c>
      <c r="E196" s="24" t="s">
        <v>1000</v>
      </c>
      <c r="F196" s="24" t="s">
        <v>104</v>
      </c>
      <c r="G196" s="24" t="s">
        <v>37</v>
      </c>
      <c r="H196" s="24" t="s">
        <v>119</v>
      </c>
      <c r="I196" s="24" t="s">
        <v>1263</v>
      </c>
      <c r="J196" s="23" t="s">
        <v>1044</v>
      </c>
      <c r="K196" s="23" t="s">
        <v>1062</v>
      </c>
    </row>
    <row r="197" spans="1:11" ht="13.8" thickBot="1" x14ac:dyDescent="0.25">
      <c r="A197" s="23" t="s">
        <v>1181</v>
      </c>
      <c r="B197" s="23" t="s">
        <v>1036</v>
      </c>
      <c r="C197" s="23" t="s">
        <v>75</v>
      </c>
      <c r="D197" s="24" t="s">
        <v>95</v>
      </c>
      <c r="E197" s="24" t="s">
        <v>145</v>
      </c>
      <c r="F197" s="24" t="s">
        <v>96</v>
      </c>
      <c r="G197" s="24" t="s">
        <v>37</v>
      </c>
      <c r="H197" s="24" t="s">
        <v>97</v>
      </c>
      <c r="I197" s="24"/>
      <c r="J197" s="23" t="s">
        <v>1045</v>
      </c>
      <c r="K197" s="23" t="s">
        <v>1064</v>
      </c>
    </row>
    <row r="198" spans="1:11" ht="13.8" thickBot="1" x14ac:dyDescent="0.25">
      <c r="A198" s="23" t="s">
        <v>1261</v>
      </c>
      <c r="B198" s="23" t="s">
        <v>1036</v>
      </c>
      <c r="C198" s="23" t="s">
        <v>76</v>
      </c>
      <c r="D198" s="24" t="s">
        <v>95</v>
      </c>
      <c r="E198" s="24" t="s">
        <v>145</v>
      </c>
      <c r="F198" s="24" t="s">
        <v>96</v>
      </c>
      <c r="G198" s="24" t="s">
        <v>37</v>
      </c>
      <c r="H198" s="24" t="s">
        <v>97</v>
      </c>
      <c r="I198" s="24"/>
      <c r="J198" s="23" t="s">
        <v>1045</v>
      </c>
      <c r="K198" s="23" t="s">
        <v>1064</v>
      </c>
    </row>
    <row r="199" spans="1:11" ht="13.8" thickBot="1" x14ac:dyDescent="0.25">
      <c r="A199" s="23" t="s">
        <v>1254</v>
      </c>
      <c r="B199" s="23" t="s">
        <v>1036</v>
      </c>
      <c r="C199" s="23" t="s">
        <v>77</v>
      </c>
      <c r="D199" s="24" t="s">
        <v>90</v>
      </c>
      <c r="E199" s="24" t="s">
        <v>145</v>
      </c>
      <c r="F199" s="24" t="s">
        <v>91</v>
      </c>
      <c r="G199" s="24" t="s">
        <v>13</v>
      </c>
      <c r="H199" s="24" t="s">
        <v>92</v>
      </c>
      <c r="I199" s="24"/>
      <c r="J199" s="23" t="s">
        <v>1045</v>
      </c>
      <c r="K199" s="23" t="s">
        <v>1067</v>
      </c>
    </row>
    <row r="200" spans="1:11" ht="13.8" thickBot="1" x14ac:dyDescent="0.25">
      <c r="A200" s="23" t="s">
        <v>1171</v>
      </c>
      <c r="B200" s="23" t="s">
        <v>1036</v>
      </c>
      <c r="C200" s="23" t="s">
        <v>185</v>
      </c>
      <c r="D200" s="24" t="s">
        <v>120</v>
      </c>
      <c r="E200" s="24" t="s">
        <v>181</v>
      </c>
      <c r="F200" s="24" t="s">
        <v>107</v>
      </c>
      <c r="G200" s="24" t="s">
        <v>73</v>
      </c>
      <c r="H200" s="24" t="s">
        <v>121</v>
      </c>
      <c r="I200" s="24"/>
      <c r="J200" s="23" t="s">
        <v>1046</v>
      </c>
      <c r="K200" s="23" t="s">
        <v>1065</v>
      </c>
    </row>
    <row r="201" spans="1:11" ht="13.8" thickBot="1" x14ac:dyDescent="0.25">
      <c r="A201" s="23" t="s">
        <v>1172</v>
      </c>
      <c r="B201" s="23" t="s">
        <v>1036</v>
      </c>
      <c r="C201" s="23" t="s">
        <v>186</v>
      </c>
      <c r="D201" s="24" t="s">
        <v>120</v>
      </c>
      <c r="E201" s="24" t="s">
        <v>1449</v>
      </c>
      <c r="F201" s="24" t="s">
        <v>107</v>
      </c>
      <c r="G201" s="24" t="s">
        <v>73</v>
      </c>
      <c r="H201" s="24" t="s">
        <v>121</v>
      </c>
      <c r="I201" s="24" t="s">
        <v>1450</v>
      </c>
      <c r="J201" s="23" t="s">
        <v>1046</v>
      </c>
      <c r="K201" s="23" t="s">
        <v>1065</v>
      </c>
    </row>
    <row r="202" spans="1:11" ht="13.8" thickBot="1" x14ac:dyDescent="0.25">
      <c r="A202" s="23" t="s">
        <v>1165</v>
      </c>
      <c r="B202" s="23" t="s">
        <v>1036</v>
      </c>
      <c r="C202" s="23" t="s">
        <v>199</v>
      </c>
      <c r="D202" s="24" t="s">
        <v>112</v>
      </c>
      <c r="E202" s="24" t="s">
        <v>181</v>
      </c>
      <c r="F202" s="24" t="s">
        <v>113</v>
      </c>
      <c r="G202" s="24" t="s">
        <v>73</v>
      </c>
      <c r="H202" s="24" t="s">
        <v>114</v>
      </c>
      <c r="I202" s="24"/>
      <c r="J202" s="23" t="s">
        <v>1046</v>
      </c>
      <c r="K202" s="23" t="s">
        <v>1067</v>
      </c>
    </row>
    <row r="203" spans="1:11" ht="13.8" thickBot="1" x14ac:dyDescent="0.25">
      <c r="A203" s="23" t="s">
        <v>1175</v>
      </c>
      <c r="B203" s="23" t="s">
        <v>1036</v>
      </c>
      <c r="C203" s="23" t="s">
        <v>251</v>
      </c>
      <c r="D203" s="24" t="s">
        <v>120</v>
      </c>
      <c r="E203" s="24" t="s">
        <v>1449</v>
      </c>
      <c r="F203" s="24" t="s">
        <v>107</v>
      </c>
      <c r="G203" s="24" t="s">
        <v>73</v>
      </c>
      <c r="H203" s="24" t="s">
        <v>121</v>
      </c>
      <c r="I203" s="24" t="s">
        <v>1451</v>
      </c>
      <c r="J203" s="23" t="s">
        <v>1047</v>
      </c>
      <c r="K203" s="23" t="s">
        <v>1067</v>
      </c>
    </row>
    <row r="204" spans="1:11" ht="13.8" thickBot="1" x14ac:dyDescent="0.25">
      <c r="A204" s="23" t="s">
        <v>1178</v>
      </c>
      <c r="B204" s="23" t="s">
        <v>1036</v>
      </c>
      <c r="C204" s="23" t="s">
        <v>252</v>
      </c>
      <c r="D204" s="24" t="s">
        <v>120</v>
      </c>
      <c r="E204" s="24" t="s">
        <v>1452</v>
      </c>
      <c r="F204" s="24" t="s">
        <v>107</v>
      </c>
      <c r="G204" s="24" t="s">
        <v>73</v>
      </c>
      <c r="H204" s="24" t="s">
        <v>121</v>
      </c>
      <c r="I204" s="24" t="s">
        <v>1453</v>
      </c>
      <c r="J204" s="23" t="s">
        <v>1047</v>
      </c>
      <c r="K204" s="23" t="s">
        <v>1067</v>
      </c>
    </row>
    <row r="205" spans="1:11" ht="13.8" thickBot="1" x14ac:dyDescent="0.25">
      <c r="A205" s="23" t="s">
        <v>808</v>
      </c>
      <c r="B205" s="23" t="s">
        <v>1036</v>
      </c>
      <c r="C205" s="23" t="s">
        <v>253</v>
      </c>
      <c r="D205" s="24" t="s">
        <v>101</v>
      </c>
      <c r="E205" s="24" t="s">
        <v>145</v>
      </c>
      <c r="F205" s="24" t="s">
        <v>102</v>
      </c>
      <c r="G205" s="24" t="s">
        <v>37</v>
      </c>
      <c r="H205" s="24" t="s">
        <v>118</v>
      </c>
      <c r="I205" s="24"/>
      <c r="J205" s="23" t="s">
        <v>1051</v>
      </c>
      <c r="K205" s="23" t="s">
        <v>1067</v>
      </c>
    </row>
    <row r="206" spans="1:11" ht="13.8" thickBot="1" x14ac:dyDescent="0.25">
      <c r="A206" s="23" t="s">
        <v>1166</v>
      </c>
      <c r="B206" s="23" t="s">
        <v>1036</v>
      </c>
      <c r="C206" s="23" t="s">
        <v>569</v>
      </c>
      <c r="D206" s="24" t="s">
        <v>112</v>
      </c>
      <c r="E206" s="24" t="s">
        <v>1452</v>
      </c>
      <c r="F206" s="24" t="s">
        <v>113</v>
      </c>
      <c r="G206" s="24" t="s">
        <v>73</v>
      </c>
      <c r="H206" s="24" t="s">
        <v>114</v>
      </c>
      <c r="I206" s="24" t="s">
        <v>1454</v>
      </c>
      <c r="J206" s="23" t="s">
        <v>1051</v>
      </c>
      <c r="K206" s="23" t="s">
        <v>1071</v>
      </c>
    </row>
    <row r="207" spans="1:11" ht="13.8" thickBot="1" x14ac:dyDescent="0.25">
      <c r="A207" s="23" t="s">
        <v>1167</v>
      </c>
      <c r="B207" s="23" t="s">
        <v>1036</v>
      </c>
      <c r="C207" s="23" t="s">
        <v>571</v>
      </c>
      <c r="D207" s="24" t="s">
        <v>95</v>
      </c>
      <c r="E207" s="24" t="s">
        <v>1168</v>
      </c>
      <c r="F207" s="24" t="s">
        <v>96</v>
      </c>
      <c r="G207" s="24" t="s">
        <v>73</v>
      </c>
      <c r="H207" s="24" t="s">
        <v>97</v>
      </c>
      <c r="I207" s="24" t="s">
        <v>1169</v>
      </c>
      <c r="J207" s="23" t="s">
        <v>1051</v>
      </c>
      <c r="K207" s="23" t="s">
        <v>1071</v>
      </c>
    </row>
    <row r="208" spans="1:11" ht="13.8" thickBot="1" x14ac:dyDescent="0.25">
      <c r="A208" s="23" t="s">
        <v>1184</v>
      </c>
      <c r="B208" s="23" t="s">
        <v>1036</v>
      </c>
      <c r="C208" s="23" t="s">
        <v>573</v>
      </c>
      <c r="D208" s="24" t="s">
        <v>101</v>
      </c>
      <c r="E208" s="24" t="s">
        <v>145</v>
      </c>
      <c r="F208" s="24" t="s">
        <v>102</v>
      </c>
      <c r="G208" s="24" t="s">
        <v>37</v>
      </c>
      <c r="H208" s="24" t="s">
        <v>118</v>
      </c>
      <c r="I208" s="24"/>
      <c r="J208" s="23" t="s">
        <v>1052</v>
      </c>
      <c r="K208" s="23" t="s">
        <v>1070</v>
      </c>
    </row>
    <row r="209" spans="1:11" ht="13.8" thickBot="1" x14ac:dyDescent="0.25">
      <c r="A209" s="23" t="s">
        <v>1262</v>
      </c>
      <c r="B209" s="23" t="s">
        <v>1036</v>
      </c>
      <c r="C209" s="23" t="s">
        <v>925</v>
      </c>
      <c r="D209" s="24" t="s">
        <v>95</v>
      </c>
      <c r="E209" s="24" t="s">
        <v>145</v>
      </c>
      <c r="F209" s="24" t="s">
        <v>96</v>
      </c>
      <c r="G209" s="24" t="s">
        <v>37</v>
      </c>
      <c r="H209" s="24" t="s">
        <v>97</v>
      </c>
      <c r="I209" s="24"/>
      <c r="J209" s="23" t="s">
        <v>1052</v>
      </c>
      <c r="K209" s="23" t="s">
        <v>1071</v>
      </c>
    </row>
    <row r="210" spans="1:11" ht="13.8" thickBot="1" x14ac:dyDescent="0.25">
      <c r="A210" s="23" t="s">
        <v>1264</v>
      </c>
      <c r="B210" s="23" t="s">
        <v>1036</v>
      </c>
      <c r="C210" s="23" t="s">
        <v>1265</v>
      </c>
      <c r="D210" s="24" t="s">
        <v>103</v>
      </c>
      <c r="E210" s="24" t="s">
        <v>145</v>
      </c>
      <c r="F210" s="24" t="s">
        <v>104</v>
      </c>
      <c r="G210" s="24" t="s">
        <v>37</v>
      </c>
      <c r="H210" s="24" t="s">
        <v>119</v>
      </c>
      <c r="I210" s="24"/>
      <c r="J210" s="23" t="s">
        <v>1052</v>
      </c>
      <c r="K210" s="23" t="s">
        <v>1070</v>
      </c>
    </row>
    <row r="211" spans="1:11" ht="13.8" thickBot="1" x14ac:dyDescent="0.25">
      <c r="A211" s="23" t="s">
        <v>1266</v>
      </c>
      <c r="B211" s="23" t="s">
        <v>1267</v>
      </c>
      <c r="C211" s="23" t="s">
        <v>11</v>
      </c>
      <c r="D211" s="24" t="s">
        <v>79</v>
      </c>
      <c r="E211" s="24" t="s">
        <v>145</v>
      </c>
      <c r="F211" s="24" t="s">
        <v>80</v>
      </c>
      <c r="G211" s="24" t="s">
        <v>13</v>
      </c>
      <c r="H211" s="24" t="s">
        <v>124</v>
      </c>
      <c r="I211" s="24"/>
      <c r="J211" s="23" t="s">
        <v>1038</v>
      </c>
      <c r="K211" s="23" t="s">
        <v>1268</v>
      </c>
    </row>
    <row r="212" spans="1:11" ht="13.8" thickBot="1" x14ac:dyDescent="0.25">
      <c r="A212" s="23" t="s">
        <v>1269</v>
      </c>
      <c r="B212" s="23" t="s">
        <v>1267</v>
      </c>
      <c r="C212" s="23" t="s">
        <v>14</v>
      </c>
      <c r="D212" s="24" t="s">
        <v>79</v>
      </c>
      <c r="E212" s="24" t="s">
        <v>1270</v>
      </c>
      <c r="F212" s="24" t="s">
        <v>80</v>
      </c>
      <c r="G212" s="24" t="s">
        <v>13</v>
      </c>
      <c r="H212" s="24" t="s">
        <v>124</v>
      </c>
      <c r="I212" s="24" t="s">
        <v>1271</v>
      </c>
      <c r="J212" s="23" t="s">
        <v>1038</v>
      </c>
      <c r="K212" s="23" t="s">
        <v>1268</v>
      </c>
    </row>
    <row r="213" spans="1:11" ht="13.8" thickBot="1" x14ac:dyDescent="0.25">
      <c r="A213" s="23" t="s">
        <v>1272</v>
      </c>
      <c r="B213" s="23" t="s">
        <v>1267</v>
      </c>
      <c r="C213" s="23" t="s">
        <v>15</v>
      </c>
      <c r="D213" s="24" t="s">
        <v>187</v>
      </c>
      <c r="E213" s="24" t="s">
        <v>181</v>
      </c>
      <c r="F213" s="24" t="s">
        <v>188</v>
      </c>
      <c r="G213" s="24" t="s">
        <v>13</v>
      </c>
      <c r="H213" s="24" t="s">
        <v>189</v>
      </c>
      <c r="I213" s="24"/>
      <c r="J213" s="23" t="s">
        <v>1040</v>
      </c>
      <c r="K213" s="23" t="s">
        <v>1273</v>
      </c>
    </row>
    <row r="214" spans="1:11" ht="13.8" thickBot="1" x14ac:dyDescent="0.25">
      <c r="A214" s="23" t="s">
        <v>1274</v>
      </c>
      <c r="B214" s="23" t="s">
        <v>1267</v>
      </c>
      <c r="C214" s="23" t="s">
        <v>16</v>
      </c>
      <c r="D214" s="24" t="s">
        <v>81</v>
      </c>
      <c r="E214" s="24" t="s">
        <v>145</v>
      </c>
      <c r="F214" s="24" t="s">
        <v>82</v>
      </c>
      <c r="G214" s="24" t="s">
        <v>13</v>
      </c>
      <c r="H214" s="24" t="s">
        <v>100</v>
      </c>
      <c r="I214" s="24"/>
      <c r="J214" s="23" t="s">
        <v>1041</v>
      </c>
      <c r="K214" s="23" t="s">
        <v>1065</v>
      </c>
    </row>
    <row r="215" spans="1:11" ht="13.8" thickBot="1" x14ac:dyDescent="0.25">
      <c r="A215" s="23" t="s">
        <v>1275</v>
      </c>
      <c r="B215" s="23" t="s">
        <v>1267</v>
      </c>
      <c r="C215" s="23" t="s">
        <v>17</v>
      </c>
      <c r="D215" s="24" t="s">
        <v>81</v>
      </c>
      <c r="E215" s="24" t="s">
        <v>145</v>
      </c>
      <c r="F215" s="24" t="s">
        <v>82</v>
      </c>
      <c r="G215" s="24" t="s">
        <v>13</v>
      </c>
      <c r="H215" s="24" t="s">
        <v>100</v>
      </c>
      <c r="I215" s="24"/>
      <c r="J215" s="23" t="s">
        <v>1044</v>
      </c>
      <c r="K215" s="23" t="s">
        <v>1067</v>
      </c>
    </row>
    <row r="216" spans="1:11" ht="13.8" thickBot="1" x14ac:dyDescent="0.25">
      <c r="A216" s="23" t="s">
        <v>1276</v>
      </c>
      <c r="B216" s="23" t="s">
        <v>1267</v>
      </c>
      <c r="C216" s="23" t="s">
        <v>18</v>
      </c>
      <c r="D216" s="24" t="s">
        <v>81</v>
      </c>
      <c r="E216" s="24" t="s">
        <v>145</v>
      </c>
      <c r="F216" s="24" t="s">
        <v>82</v>
      </c>
      <c r="G216" s="24" t="s">
        <v>13</v>
      </c>
      <c r="H216" s="24" t="s">
        <v>100</v>
      </c>
      <c r="I216" s="24"/>
      <c r="J216" s="23" t="s">
        <v>1044</v>
      </c>
      <c r="K216" s="23" t="s">
        <v>1067</v>
      </c>
    </row>
    <row r="217" spans="1:11" ht="13.8" thickBot="1" x14ac:dyDescent="0.25">
      <c r="A217" s="23" t="s">
        <v>1277</v>
      </c>
      <c r="B217" s="23" t="s">
        <v>1267</v>
      </c>
      <c r="C217" s="23" t="s">
        <v>19</v>
      </c>
      <c r="D217" s="24" t="s">
        <v>122</v>
      </c>
      <c r="E217" s="24" t="s">
        <v>183</v>
      </c>
      <c r="F217" s="24" t="s">
        <v>105</v>
      </c>
      <c r="G217" s="24" t="s">
        <v>13</v>
      </c>
      <c r="H217" s="24" t="s">
        <v>123</v>
      </c>
      <c r="I217" s="24"/>
      <c r="J217" s="23" t="s">
        <v>1045</v>
      </c>
      <c r="K217" s="23" t="s">
        <v>1070</v>
      </c>
    </row>
    <row r="218" spans="1:11" ht="13.8" thickBot="1" x14ac:dyDescent="0.25">
      <c r="A218" s="23" t="s">
        <v>1278</v>
      </c>
      <c r="B218" s="23" t="s">
        <v>1267</v>
      </c>
      <c r="C218" s="23" t="s">
        <v>20</v>
      </c>
      <c r="D218" s="24" t="s">
        <v>122</v>
      </c>
      <c r="E218" s="24" t="s">
        <v>1455</v>
      </c>
      <c r="F218" s="24" t="s">
        <v>105</v>
      </c>
      <c r="G218" s="24" t="s">
        <v>13</v>
      </c>
      <c r="H218" s="24" t="s">
        <v>123</v>
      </c>
      <c r="I218" s="24" t="s">
        <v>1456</v>
      </c>
      <c r="J218" s="23" t="s">
        <v>1046</v>
      </c>
      <c r="K218" s="23" t="s">
        <v>1071</v>
      </c>
    </row>
    <row r="219" spans="1:11" ht="13.8" thickBot="1" x14ac:dyDescent="0.25">
      <c r="A219" s="23" t="s">
        <v>1279</v>
      </c>
      <c r="B219" s="23" t="s">
        <v>1267</v>
      </c>
      <c r="C219" s="23" t="s">
        <v>21</v>
      </c>
      <c r="D219" s="24" t="s">
        <v>122</v>
      </c>
      <c r="E219" s="24" t="s">
        <v>195</v>
      </c>
      <c r="F219" s="24" t="s">
        <v>105</v>
      </c>
      <c r="G219" s="24" t="s">
        <v>13</v>
      </c>
      <c r="H219" s="24" t="s">
        <v>123</v>
      </c>
      <c r="I219" s="24" t="s">
        <v>1457</v>
      </c>
      <c r="J219" s="23" t="s">
        <v>1046</v>
      </c>
      <c r="K219" s="23" t="s">
        <v>1071</v>
      </c>
    </row>
    <row r="220" spans="1:11" ht="13.8" thickBot="1" x14ac:dyDescent="0.25">
      <c r="A220" s="23" t="s">
        <v>1280</v>
      </c>
      <c r="B220" s="23" t="s">
        <v>1267</v>
      </c>
      <c r="C220" s="23" t="s">
        <v>22</v>
      </c>
      <c r="D220" s="24" t="s">
        <v>122</v>
      </c>
      <c r="E220" s="24" t="s">
        <v>176</v>
      </c>
      <c r="F220" s="24" t="s">
        <v>105</v>
      </c>
      <c r="G220" s="24" t="s">
        <v>13</v>
      </c>
      <c r="H220" s="24" t="s">
        <v>123</v>
      </c>
      <c r="I220" s="24"/>
      <c r="J220" s="23" t="s">
        <v>1047</v>
      </c>
      <c r="K220" s="23" t="s">
        <v>1268</v>
      </c>
    </row>
    <row r="221" spans="1:11" ht="13.8" thickBot="1" x14ac:dyDescent="0.25">
      <c r="A221" s="23" t="s">
        <v>1281</v>
      </c>
      <c r="B221" s="23" t="s">
        <v>1267</v>
      </c>
      <c r="C221" s="23" t="s">
        <v>23</v>
      </c>
      <c r="D221" s="24" t="s">
        <v>81</v>
      </c>
      <c r="E221" s="24" t="s">
        <v>145</v>
      </c>
      <c r="F221" s="24" t="s">
        <v>82</v>
      </c>
      <c r="G221" s="24" t="s">
        <v>13</v>
      </c>
      <c r="H221" s="24" t="s">
        <v>100</v>
      </c>
      <c r="I221" s="24"/>
      <c r="J221" s="23" t="s">
        <v>1047</v>
      </c>
      <c r="K221" s="23" t="s">
        <v>1268</v>
      </c>
    </row>
    <row r="222" spans="1:11" ht="13.8" thickBot="1" x14ac:dyDescent="0.25">
      <c r="A222" s="23" t="s">
        <v>1282</v>
      </c>
      <c r="B222" s="23" t="s">
        <v>1267</v>
      </c>
      <c r="C222" s="23" t="s">
        <v>24</v>
      </c>
      <c r="D222" s="24" t="s">
        <v>81</v>
      </c>
      <c r="E222" s="24" t="s">
        <v>145</v>
      </c>
      <c r="F222" s="24" t="s">
        <v>82</v>
      </c>
      <c r="G222" s="24" t="s">
        <v>13</v>
      </c>
      <c r="H222" s="24" t="s">
        <v>100</v>
      </c>
      <c r="I222" s="24"/>
      <c r="J222" s="23" t="s">
        <v>1051</v>
      </c>
      <c r="K222" s="23" t="s">
        <v>1273</v>
      </c>
    </row>
    <row r="223" spans="1:11" ht="13.8" thickBot="1" x14ac:dyDescent="0.25">
      <c r="A223" s="23" t="s">
        <v>1283</v>
      </c>
      <c r="B223" s="23" t="s">
        <v>1267</v>
      </c>
      <c r="C223" s="23" t="s">
        <v>25</v>
      </c>
      <c r="D223" s="24" t="s">
        <v>90</v>
      </c>
      <c r="E223" s="24" t="s">
        <v>145</v>
      </c>
      <c r="F223" s="24" t="s">
        <v>91</v>
      </c>
      <c r="G223" s="24" t="s">
        <v>13</v>
      </c>
      <c r="H223" s="24" t="s">
        <v>92</v>
      </c>
      <c r="I223" s="24"/>
      <c r="J223" s="23" t="s">
        <v>1052</v>
      </c>
      <c r="K223" s="23" t="s">
        <v>1273</v>
      </c>
    </row>
    <row r="224" spans="1:11" ht="13.8" thickBot="1" x14ac:dyDescent="0.25">
      <c r="A224" s="23" t="s">
        <v>1284</v>
      </c>
      <c r="B224" s="23" t="s">
        <v>1267</v>
      </c>
      <c r="C224" s="23" t="s">
        <v>26</v>
      </c>
      <c r="D224" s="24" t="s">
        <v>90</v>
      </c>
      <c r="E224" s="24" t="s">
        <v>145</v>
      </c>
      <c r="F224" s="24" t="s">
        <v>91</v>
      </c>
      <c r="G224" s="24" t="s">
        <v>13</v>
      </c>
      <c r="H224" s="24" t="s">
        <v>92</v>
      </c>
      <c r="I224" s="24"/>
      <c r="J224" s="23" t="s">
        <v>1052</v>
      </c>
      <c r="K224" s="23" t="s">
        <v>1273</v>
      </c>
    </row>
    <row r="225" spans="1:11" ht="13.8" thickBot="1" x14ac:dyDescent="0.25">
      <c r="A225" s="23" t="s">
        <v>1286</v>
      </c>
      <c r="B225" s="23" t="s">
        <v>1267</v>
      </c>
      <c r="C225" s="23" t="s">
        <v>27</v>
      </c>
      <c r="D225" s="24" t="s">
        <v>90</v>
      </c>
      <c r="E225" s="24" t="s">
        <v>145</v>
      </c>
      <c r="F225" s="24" t="s">
        <v>91</v>
      </c>
      <c r="G225" s="24" t="s">
        <v>13</v>
      </c>
      <c r="H225" s="24" t="s">
        <v>92</v>
      </c>
      <c r="I225" s="24"/>
      <c r="J225" s="23" t="s">
        <v>1054</v>
      </c>
      <c r="K225" s="23" t="s">
        <v>1285</v>
      </c>
    </row>
    <row r="226" spans="1:11" ht="13.8" thickBot="1" x14ac:dyDescent="0.25">
      <c r="A226" s="23" t="s">
        <v>1287</v>
      </c>
      <c r="B226" s="23" t="s">
        <v>1267</v>
      </c>
      <c r="C226" s="23" t="s">
        <v>28</v>
      </c>
      <c r="D226" s="24" t="s">
        <v>90</v>
      </c>
      <c r="E226" s="24" t="s">
        <v>145</v>
      </c>
      <c r="F226" s="24" t="s">
        <v>91</v>
      </c>
      <c r="G226" s="24" t="s">
        <v>13</v>
      </c>
      <c r="H226" s="24" t="s">
        <v>92</v>
      </c>
      <c r="I226" s="24"/>
      <c r="J226" s="23" t="s">
        <v>1056</v>
      </c>
      <c r="K226" s="23" t="s">
        <v>1288</v>
      </c>
    </row>
    <row r="227" spans="1:11" ht="13.8" thickBot="1" x14ac:dyDescent="0.25">
      <c r="A227" s="23" t="s">
        <v>1317</v>
      </c>
      <c r="B227" s="23" t="s">
        <v>1267</v>
      </c>
      <c r="C227" s="23" t="s">
        <v>29</v>
      </c>
      <c r="D227" s="24" t="s">
        <v>1318</v>
      </c>
      <c r="E227" s="24" t="s">
        <v>145</v>
      </c>
      <c r="F227" s="24" t="s">
        <v>80</v>
      </c>
      <c r="G227" s="24" t="s">
        <v>13</v>
      </c>
      <c r="H227" s="24" t="s">
        <v>1319</v>
      </c>
      <c r="I227" s="24"/>
      <c r="J227" s="23" t="s">
        <v>1056</v>
      </c>
      <c r="K227" s="23" t="s">
        <v>1288</v>
      </c>
    </row>
    <row r="228" spans="1:11" ht="13.8" thickBot="1" x14ac:dyDescent="0.25">
      <c r="A228" s="23" t="s">
        <v>1289</v>
      </c>
      <c r="B228" s="23" t="s">
        <v>1267</v>
      </c>
      <c r="C228" s="23" t="s">
        <v>31</v>
      </c>
      <c r="D228" s="24" t="s">
        <v>90</v>
      </c>
      <c r="E228" s="24" t="s">
        <v>145</v>
      </c>
      <c r="F228" s="24" t="s">
        <v>91</v>
      </c>
      <c r="G228" s="24" t="s">
        <v>13</v>
      </c>
      <c r="H228" s="24" t="s">
        <v>92</v>
      </c>
      <c r="I228" s="24"/>
      <c r="J228" s="23" t="s">
        <v>1057</v>
      </c>
      <c r="K228" s="23" t="s">
        <v>1291</v>
      </c>
    </row>
    <row r="229" spans="1:11" ht="13.8" thickBot="1" x14ac:dyDescent="0.25">
      <c r="A229" s="23" t="s">
        <v>1290</v>
      </c>
      <c r="B229" s="23" t="s">
        <v>1267</v>
      </c>
      <c r="C229" s="23" t="s">
        <v>32</v>
      </c>
      <c r="D229" s="24" t="s">
        <v>90</v>
      </c>
      <c r="E229" s="24" t="s">
        <v>145</v>
      </c>
      <c r="F229" s="24" t="s">
        <v>91</v>
      </c>
      <c r="G229" s="24" t="s">
        <v>13</v>
      </c>
      <c r="H229" s="24" t="s">
        <v>92</v>
      </c>
      <c r="I229" s="24"/>
      <c r="J229" s="23" t="s">
        <v>1057</v>
      </c>
      <c r="K229" s="23" t="s">
        <v>1291</v>
      </c>
    </row>
    <row r="230" spans="1:11" ht="13.8" thickBot="1" x14ac:dyDescent="0.25">
      <c r="A230" s="23" t="s">
        <v>1292</v>
      </c>
      <c r="B230" s="23" t="s">
        <v>1267</v>
      </c>
      <c r="C230" s="23" t="s">
        <v>34</v>
      </c>
      <c r="D230" s="24" t="s">
        <v>112</v>
      </c>
      <c r="E230" s="24" t="s">
        <v>181</v>
      </c>
      <c r="F230" s="24" t="s">
        <v>113</v>
      </c>
      <c r="G230" s="24" t="s">
        <v>73</v>
      </c>
      <c r="H230" s="24" t="s">
        <v>114</v>
      </c>
      <c r="I230" s="24"/>
      <c r="J230" s="23" t="s">
        <v>1062</v>
      </c>
      <c r="K230" s="23" t="s">
        <v>1293</v>
      </c>
    </row>
    <row r="231" spans="1:11" ht="13.8" thickBot="1" x14ac:dyDescent="0.25">
      <c r="A231" s="23" t="s">
        <v>1294</v>
      </c>
      <c r="B231" s="23" t="s">
        <v>1267</v>
      </c>
      <c r="C231" s="23" t="s">
        <v>35</v>
      </c>
      <c r="D231" s="24" t="s">
        <v>112</v>
      </c>
      <c r="E231" s="24" t="s">
        <v>181</v>
      </c>
      <c r="F231" s="24" t="s">
        <v>113</v>
      </c>
      <c r="G231" s="24" t="s">
        <v>73</v>
      </c>
      <c r="H231" s="24" t="s">
        <v>114</v>
      </c>
      <c r="I231" s="24"/>
      <c r="J231" s="23" t="s">
        <v>1062</v>
      </c>
      <c r="K231" s="23" t="s">
        <v>1293</v>
      </c>
    </row>
    <row r="232" spans="1:11" ht="13.8" thickBot="1" x14ac:dyDescent="0.25">
      <c r="A232" s="23" t="s">
        <v>1295</v>
      </c>
      <c r="B232" s="23" t="s">
        <v>1267</v>
      </c>
      <c r="C232" s="23" t="s">
        <v>36</v>
      </c>
      <c r="D232" s="24" t="s">
        <v>112</v>
      </c>
      <c r="E232" s="24" t="s">
        <v>181</v>
      </c>
      <c r="F232" s="24" t="s">
        <v>113</v>
      </c>
      <c r="G232" s="24" t="s">
        <v>73</v>
      </c>
      <c r="H232" s="24" t="s">
        <v>114</v>
      </c>
      <c r="I232" s="24"/>
      <c r="J232" s="23" t="s">
        <v>1063</v>
      </c>
      <c r="K232" s="23" t="s">
        <v>1291</v>
      </c>
    </row>
    <row r="233" spans="1:11" ht="13.8" thickBot="1" x14ac:dyDescent="0.25">
      <c r="A233" s="23" t="s">
        <v>1297</v>
      </c>
      <c r="B233" s="23" t="s">
        <v>1267</v>
      </c>
      <c r="C233" s="23" t="s">
        <v>38</v>
      </c>
      <c r="D233" s="24" t="s">
        <v>120</v>
      </c>
      <c r="E233" s="24" t="s">
        <v>1298</v>
      </c>
      <c r="F233" s="24" t="s">
        <v>107</v>
      </c>
      <c r="G233" s="24" t="s">
        <v>73</v>
      </c>
      <c r="H233" s="24" t="s">
        <v>121</v>
      </c>
      <c r="I233" s="24" t="s">
        <v>1299</v>
      </c>
      <c r="J233" s="23" t="s">
        <v>1064</v>
      </c>
      <c r="K233" s="23" t="s">
        <v>1291</v>
      </c>
    </row>
    <row r="234" spans="1:11" ht="13.8" thickBot="1" x14ac:dyDescent="0.25">
      <c r="A234" s="23" t="s">
        <v>1296</v>
      </c>
      <c r="B234" s="23" t="s">
        <v>1267</v>
      </c>
      <c r="C234" s="23" t="s">
        <v>39</v>
      </c>
      <c r="D234" s="24" t="s">
        <v>112</v>
      </c>
      <c r="E234" s="24" t="s">
        <v>181</v>
      </c>
      <c r="F234" s="24" t="s">
        <v>113</v>
      </c>
      <c r="G234" s="24" t="s">
        <v>73</v>
      </c>
      <c r="H234" s="24" t="s">
        <v>114</v>
      </c>
      <c r="I234" s="24"/>
      <c r="J234" s="23" t="s">
        <v>1064</v>
      </c>
      <c r="K234" s="23" t="s">
        <v>1303</v>
      </c>
    </row>
    <row r="235" spans="1:11" ht="13.8" thickBot="1" x14ac:dyDescent="0.25">
      <c r="A235" s="23" t="s">
        <v>1300</v>
      </c>
      <c r="B235" s="23" t="s">
        <v>1267</v>
      </c>
      <c r="C235" s="23" t="s">
        <v>40</v>
      </c>
      <c r="D235" s="24" t="s">
        <v>120</v>
      </c>
      <c r="E235" s="24" t="s">
        <v>1298</v>
      </c>
      <c r="F235" s="24" t="s">
        <v>107</v>
      </c>
      <c r="G235" s="24" t="s">
        <v>73</v>
      </c>
      <c r="H235" s="24" t="s">
        <v>121</v>
      </c>
      <c r="I235" s="24" t="s">
        <v>1301</v>
      </c>
      <c r="J235" s="23" t="s">
        <v>1065</v>
      </c>
      <c r="K235" s="23" t="s">
        <v>1303</v>
      </c>
    </row>
    <row r="236" spans="1:11" ht="13.8" thickBot="1" x14ac:dyDescent="0.25">
      <c r="A236" s="23" t="s">
        <v>1302</v>
      </c>
      <c r="B236" s="23" t="s">
        <v>1267</v>
      </c>
      <c r="C236" s="23" t="s">
        <v>41</v>
      </c>
      <c r="D236" s="24" t="s">
        <v>120</v>
      </c>
      <c r="E236" s="24" t="s">
        <v>181</v>
      </c>
      <c r="F236" s="24" t="s">
        <v>107</v>
      </c>
      <c r="G236" s="24" t="s">
        <v>73</v>
      </c>
      <c r="H236" s="24" t="s">
        <v>121</v>
      </c>
      <c r="I236" s="24"/>
      <c r="J236" s="23" t="s">
        <v>1065</v>
      </c>
      <c r="K236" s="23" t="s">
        <v>1303</v>
      </c>
    </row>
    <row r="237" spans="1:11" ht="13.8" thickBot="1" x14ac:dyDescent="0.25">
      <c r="A237" s="23" t="s">
        <v>1304</v>
      </c>
      <c r="B237" s="23" t="s">
        <v>1267</v>
      </c>
      <c r="C237" s="23" t="s">
        <v>65</v>
      </c>
      <c r="D237" s="24" t="s">
        <v>120</v>
      </c>
      <c r="E237" s="24" t="s">
        <v>182</v>
      </c>
      <c r="F237" s="24" t="s">
        <v>107</v>
      </c>
      <c r="G237" s="24" t="s">
        <v>73</v>
      </c>
      <c r="H237" s="24" t="s">
        <v>121</v>
      </c>
      <c r="I237" s="24"/>
      <c r="J237" s="23" t="s">
        <v>1067</v>
      </c>
      <c r="K237" s="23" t="s">
        <v>1306</v>
      </c>
    </row>
    <row r="238" spans="1:11" ht="13.8" thickBot="1" x14ac:dyDescent="0.25">
      <c r="A238" s="23" t="s">
        <v>1305</v>
      </c>
      <c r="B238" s="23" t="s">
        <v>1267</v>
      </c>
      <c r="C238" s="23" t="s">
        <v>66</v>
      </c>
      <c r="D238" s="24" t="s">
        <v>120</v>
      </c>
      <c r="E238" s="24" t="s">
        <v>183</v>
      </c>
      <c r="F238" s="24" t="s">
        <v>107</v>
      </c>
      <c r="G238" s="24" t="s">
        <v>73</v>
      </c>
      <c r="H238" s="24" t="s">
        <v>121</v>
      </c>
      <c r="I238" s="24"/>
      <c r="J238" s="23" t="s">
        <v>1067</v>
      </c>
      <c r="K238" s="23" t="s">
        <v>1306</v>
      </c>
    </row>
    <row r="239" spans="1:11" ht="13.8" thickBot="1" x14ac:dyDescent="0.25">
      <c r="A239" s="23" t="s">
        <v>1307</v>
      </c>
      <c r="B239" s="23" t="s">
        <v>1267</v>
      </c>
      <c r="C239" s="23" t="s">
        <v>67</v>
      </c>
      <c r="D239" s="24" t="s">
        <v>120</v>
      </c>
      <c r="E239" s="24" t="s">
        <v>529</v>
      </c>
      <c r="F239" s="24" t="s">
        <v>107</v>
      </c>
      <c r="G239" s="24" t="s">
        <v>73</v>
      </c>
      <c r="H239" s="24" t="s">
        <v>121</v>
      </c>
      <c r="I239" s="24"/>
      <c r="J239" s="23" t="s">
        <v>1070</v>
      </c>
      <c r="K239" s="23" t="s">
        <v>1311</v>
      </c>
    </row>
    <row r="240" spans="1:11" ht="13.8" thickBot="1" x14ac:dyDescent="0.25">
      <c r="A240" s="23" t="s">
        <v>1308</v>
      </c>
      <c r="B240" s="23" t="s">
        <v>1267</v>
      </c>
      <c r="C240" s="23" t="s">
        <v>68</v>
      </c>
      <c r="D240" s="24" t="s">
        <v>132</v>
      </c>
      <c r="E240" s="24" t="s">
        <v>1309</v>
      </c>
      <c r="F240" s="24" t="s">
        <v>106</v>
      </c>
      <c r="G240" s="24" t="s">
        <v>73</v>
      </c>
      <c r="H240" s="24" t="s">
        <v>133</v>
      </c>
      <c r="I240" s="24" t="s">
        <v>1310</v>
      </c>
      <c r="J240" s="23" t="s">
        <v>1070</v>
      </c>
      <c r="K240" s="23" t="s">
        <v>1311</v>
      </c>
    </row>
    <row r="241" spans="1:11" ht="13.8" thickBot="1" x14ac:dyDescent="0.25">
      <c r="A241" s="23" t="s">
        <v>1312</v>
      </c>
      <c r="B241" s="23" t="s">
        <v>1267</v>
      </c>
      <c r="C241" s="23" t="s">
        <v>69</v>
      </c>
      <c r="D241" s="24" t="s">
        <v>132</v>
      </c>
      <c r="E241" s="24" t="s">
        <v>1309</v>
      </c>
      <c r="F241" s="24" t="s">
        <v>106</v>
      </c>
      <c r="G241" s="24" t="s">
        <v>73</v>
      </c>
      <c r="H241" s="24" t="s">
        <v>133</v>
      </c>
      <c r="I241" s="24" t="s">
        <v>1313</v>
      </c>
      <c r="J241" s="23" t="s">
        <v>1071</v>
      </c>
      <c r="K241" s="23" t="s">
        <v>1315</v>
      </c>
    </row>
    <row r="242" spans="1:11" ht="13.8" thickBot="1" x14ac:dyDescent="0.25">
      <c r="A242" s="23" t="s">
        <v>1314</v>
      </c>
      <c r="B242" s="23" t="s">
        <v>1267</v>
      </c>
      <c r="C242" s="23" t="s">
        <v>70</v>
      </c>
      <c r="D242" s="24" t="s">
        <v>132</v>
      </c>
      <c r="E242" s="24" t="s">
        <v>181</v>
      </c>
      <c r="F242" s="24" t="s">
        <v>106</v>
      </c>
      <c r="G242" s="24" t="s">
        <v>73</v>
      </c>
      <c r="H242" s="24" t="s">
        <v>133</v>
      </c>
      <c r="I242" s="24"/>
      <c r="J242" s="23" t="s">
        <v>1071</v>
      </c>
      <c r="K242" s="23" t="s">
        <v>1315</v>
      </c>
    </row>
    <row r="243" spans="1:11" ht="13.8" thickBot="1" x14ac:dyDescent="0.25">
      <c r="A243" s="23" t="s">
        <v>1316</v>
      </c>
      <c r="B243" s="23" t="s">
        <v>1267</v>
      </c>
      <c r="C243" s="23" t="s">
        <v>71</v>
      </c>
      <c r="D243" s="24" t="s">
        <v>120</v>
      </c>
      <c r="E243" s="24" t="s">
        <v>176</v>
      </c>
      <c r="F243" s="24" t="s">
        <v>107</v>
      </c>
      <c r="G243" s="24" t="s">
        <v>73</v>
      </c>
      <c r="H243" s="24" t="s">
        <v>121</v>
      </c>
      <c r="I243" s="24"/>
      <c r="J243" s="23" t="s">
        <v>1268</v>
      </c>
      <c r="K243" s="23" t="s">
        <v>1322</v>
      </c>
    </row>
    <row r="244" spans="1:11" ht="13.8" thickBot="1" x14ac:dyDescent="0.25">
      <c r="A244" s="23" t="s">
        <v>1321</v>
      </c>
      <c r="B244" s="23" t="s">
        <v>1267</v>
      </c>
      <c r="C244" s="23" t="s">
        <v>72</v>
      </c>
      <c r="D244" s="24" t="s">
        <v>101</v>
      </c>
      <c r="E244" s="24" t="s">
        <v>1443</v>
      </c>
      <c r="F244" s="24" t="s">
        <v>102</v>
      </c>
      <c r="G244" s="24" t="s">
        <v>73</v>
      </c>
      <c r="H244" s="24" t="s">
        <v>118</v>
      </c>
      <c r="I244" s="24" t="s">
        <v>1458</v>
      </c>
      <c r="J244" s="23" t="s">
        <v>1268</v>
      </c>
      <c r="K244" s="23" t="s">
        <v>1322</v>
      </c>
    </row>
    <row r="245" spans="1:11" ht="13.8" thickBot="1" x14ac:dyDescent="0.25">
      <c r="A245" s="23" t="s">
        <v>1323</v>
      </c>
      <c r="B245" s="23" t="s">
        <v>1267</v>
      </c>
      <c r="C245" s="23" t="s">
        <v>74</v>
      </c>
      <c r="D245" s="24" t="s">
        <v>132</v>
      </c>
      <c r="E245" s="24" t="s">
        <v>1324</v>
      </c>
      <c r="F245" s="24" t="s">
        <v>106</v>
      </c>
      <c r="G245" s="24" t="s">
        <v>73</v>
      </c>
      <c r="H245" s="24" t="s">
        <v>133</v>
      </c>
      <c r="I245" s="24"/>
      <c r="J245" s="23" t="s">
        <v>1273</v>
      </c>
      <c r="K245" s="23" t="s">
        <v>1325</v>
      </c>
    </row>
    <row r="246" spans="1:11" ht="13.8" thickBot="1" x14ac:dyDescent="0.25">
      <c r="A246" s="23" t="s">
        <v>1326</v>
      </c>
      <c r="B246" s="23" t="s">
        <v>1267</v>
      </c>
      <c r="C246" s="23" t="s">
        <v>75</v>
      </c>
      <c r="D246" s="24" t="s">
        <v>132</v>
      </c>
      <c r="E246" s="24" t="s">
        <v>183</v>
      </c>
      <c r="F246" s="24" t="s">
        <v>106</v>
      </c>
      <c r="G246" s="24" t="s">
        <v>73</v>
      </c>
      <c r="H246" s="24" t="s">
        <v>133</v>
      </c>
      <c r="I246" s="24"/>
      <c r="J246" s="23" t="s">
        <v>1273</v>
      </c>
      <c r="K246" s="23" t="s">
        <v>1325</v>
      </c>
    </row>
    <row r="247" spans="1:11" ht="13.8" thickBot="1" x14ac:dyDescent="0.25">
      <c r="A247" s="23" t="s">
        <v>1327</v>
      </c>
      <c r="B247" s="23" t="s">
        <v>1267</v>
      </c>
      <c r="C247" s="23" t="s">
        <v>76</v>
      </c>
      <c r="D247" s="24" t="s">
        <v>132</v>
      </c>
      <c r="E247" s="24" t="s">
        <v>501</v>
      </c>
      <c r="F247" s="24" t="s">
        <v>106</v>
      </c>
      <c r="G247" s="24" t="s">
        <v>73</v>
      </c>
      <c r="H247" s="24" t="s">
        <v>133</v>
      </c>
      <c r="I247" s="24"/>
      <c r="J247" s="23" t="s">
        <v>1285</v>
      </c>
      <c r="K247" s="23" t="s">
        <v>1328</v>
      </c>
    </row>
    <row r="248" spans="1:11" ht="13.8" thickBot="1" x14ac:dyDescent="0.25">
      <c r="A248" s="23" t="s">
        <v>1329</v>
      </c>
      <c r="B248" s="23" t="s">
        <v>1267</v>
      </c>
      <c r="C248" s="23" t="s">
        <v>77</v>
      </c>
      <c r="D248" s="24" t="s">
        <v>132</v>
      </c>
      <c r="E248" s="24" t="s">
        <v>501</v>
      </c>
      <c r="F248" s="24" t="s">
        <v>106</v>
      </c>
      <c r="G248" s="24" t="s">
        <v>73</v>
      </c>
      <c r="H248" s="24" t="s">
        <v>133</v>
      </c>
      <c r="I248" s="24"/>
      <c r="J248" s="23" t="s">
        <v>1285</v>
      </c>
      <c r="K248" s="23" t="s">
        <v>1328</v>
      </c>
    </row>
    <row r="249" spans="1:11" ht="13.8" thickBot="1" x14ac:dyDescent="0.25">
      <c r="A249" s="23" t="s">
        <v>1330</v>
      </c>
      <c r="B249" s="23" t="s">
        <v>1267</v>
      </c>
      <c r="C249" s="23" t="s">
        <v>185</v>
      </c>
      <c r="D249" s="24" t="s">
        <v>95</v>
      </c>
      <c r="E249" s="24" t="s">
        <v>145</v>
      </c>
      <c r="F249" s="24" t="s">
        <v>96</v>
      </c>
      <c r="G249" s="24" t="s">
        <v>37</v>
      </c>
      <c r="H249" s="24" t="s">
        <v>97</v>
      </c>
      <c r="I249" s="24"/>
      <c r="J249" s="23" t="s">
        <v>1288</v>
      </c>
      <c r="K249" s="23" t="s">
        <v>1331</v>
      </c>
    </row>
    <row r="250" spans="1:11" ht="13.8" thickBot="1" x14ac:dyDescent="0.25">
      <c r="A250" s="23" t="s">
        <v>1332</v>
      </c>
      <c r="B250" s="23" t="s">
        <v>1267</v>
      </c>
      <c r="C250" s="23" t="s">
        <v>186</v>
      </c>
      <c r="D250" s="24" t="s">
        <v>95</v>
      </c>
      <c r="E250" s="24" t="s">
        <v>145</v>
      </c>
      <c r="F250" s="24" t="s">
        <v>96</v>
      </c>
      <c r="G250" s="24" t="s">
        <v>37</v>
      </c>
      <c r="H250" s="24" t="s">
        <v>97</v>
      </c>
      <c r="I250" s="24"/>
      <c r="J250" s="23" t="s">
        <v>1288</v>
      </c>
      <c r="K250" s="23" t="s">
        <v>1331</v>
      </c>
    </row>
    <row r="251" spans="1:11" ht="13.8" thickBot="1" x14ac:dyDescent="0.25">
      <c r="A251" s="23" t="s">
        <v>1333</v>
      </c>
      <c r="B251" s="23" t="s">
        <v>1267</v>
      </c>
      <c r="C251" s="23" t="s">
        <v>199</v>
      </c>
      <c r="D251" s="24" t="s">
        <v>103</v>
      </c>
      <c r="E251" s="24" t="s">
        <v>145</v>
      </c>
      <c r="F251" s="24" t="s">
        <v>104</v>
      </c>
      <c r="G251" s="24" t="s">
        <v>37</v>
      </c>
      <c r="H251" s="24" t="s">
        <v>119</v>
      </c>
      <c r="I251" s="24"/>
      <c r="J251" s="23" t="s">
        <v>1293</v>
      </c>
      <c r="K251" s="23" t="s">
        <v>1331</v>
      </c>
    </row>
    <row r="252" spans="1:11" ht="13.8" thickBot="1" x14ac:dyDescent="0.25">
      <c r="A252" s="23" t="s">
        <v>1334</v>
      </c>
      <c r="B252" s="23" t="s">
        <v>1267</v>
      </c>
      <c r="C252" s="23" t="s">
        <v>251</v>
      </c>
      <c r="D252" s="24" t="s">
        <v>103</v>
      </c>
      <c r="E252" s="24" t="s">
        <v>145</v>
      </c>
      <c r="F252" s="24" t="s">
        <v>104</v>
      </c>
      <c r="G252" s="24" t="s">
        <v>37</v>
      </c>
      <c r="H252" s="24" t="s">
        <v>119</v>
      </c>
      <c r="I252" s="24"/>
      <c r="J252" s="23" t="s">
        <v>1293</v>
      </c>
      <c r="K252" s="23" t="s">
        <v>1331</v>
      </c>
    </row>
    <row r="253" spans="1:11" ht="13.8" thickBot="1" x14ac:dyDescent="0.25">
      <c r="A253" s="23" t="s">
        <v>1335</v>
      </c>
      <c r="B253" s="23" t="s">
        <v>1267</v>
      </c>
      <c r="C253" s="23" t="s">
        <v>252</v>
      </c>
      <c r="D253" s="24" t="s">
        <v>103</v>
      </c>
      <c r="E253" s="24" t="s">
        <v>1459</v>
      </c>
      <c r="F253" s="24" t="s">
        <v>104</v>
      </c>
      <c r="G253" s="24" t="s">
        <v>37</v>
      </c>
      <c r="H253" s="24" t="s">
        <v>119</v>
      </c>
      <c r="I253" s="24" t="s">
        <v>1460</v>
      </c>
      <c r="J253" s="23" t="s">
        <v>1291</v>
      </c>
      <c r="K253" s="23" t="s">
        <v>1336</v>
      </c>
    </row>
    <row r="254" spans="1:11" ht="13.8" thickBot="1" x14ac:dyDescent="0.25">
      <c r="A254" s="23" t="s">
        <v>1337</v>
      </c>
      <c r="B254" s="23" t="s">
        <v>1267</v>
      </c>
      <c r="C254" s="23" t="s">
        <v>253</v>
      </c>
      <c r="D254" s="24" t="s">
        <v>103</v>
      </c>
      <c r="E254" s="24" t="s">
        <v>145</v>
      </c>
      <c r="F254" s="24" t="s">
        <v>104</v>
      </c>
      <c r="G254" s="24" t="s">
        <v>37</v>
      </c>
      <c r="H254" s="24" t="s">
        <v>119</v>
      </c>
      <c r="I254" s="24"/>
      <c r="J254" s="23" t="s">
        <v>1291</v>
      </c>
      <c r="K254" s="23" t="s">
        <v>1336</v>
      </c>
    </row>
    <row r="255" spans="1:11" ht="13.8" thickBot="1" x14ac:dyDescent="0.25">
      <c r="A255" s="23" t="s">
        <v>1338</v>
      </c>
      <c r="B255" s="23" t="s">
        <v>1267</v>
      </c>
      <c r="C255" s="23" t="s">
        <v>569</v>
      </c>
      <c r="D255" s="24" t="s">
        <v>101</v>
      </c>
      <c r="E255" s="24" t="s">
        <v>145</v>
      </c>
      <c r="F255" s="24" t="s">
        <v>102</v>
      </c>
      <c r="G255" s="24" t="s">
        <v>37</v>
      </c>
      <c r="H255" s="24" t="s">
        <v>118</v>
      </c>
      <c r="I255" s="24"/>
      <c r="J255" s="23" t="s">
        <v>1303</v>
      </c>
      <c r="K255" s="23" t="s">
        <v>1339</v>
      </c>
    </row>
    <row r="256" spans="1:11" ht="13.8" thickBot="1" x14ac:dyDescent="0.25">
      <c r="A256" s="23" t="s">
        <v>1340</v>
      </c>
      <c r="B256" s="23" t="s">
        <v>1267</v>
      </c>
      <c r="C256" s="23" t="s">
        <v>571</v>
      </c>
      <c r="D256" s="24" t="s">
        <v>101</v>
      </c>
      <c r="E256" s="24" t="s">
        <v>145</v>
      </c>
      <c r="F256" s="24" t="s">
        <v>102</v>
      </c>
      <c r="G256" s="24" t="s">
        <v>37</v>
      </c>
      <c r="H256" s="24" t="s">
        <v>118</v>
      </c>
      <c r="I256" s="24"/>
      <c r="J256" s="23" t="s">
        <v>1303</v>
      </c>
      <c r="K256" s="23" t="s">
        <v>1339</v>
      </c>
    </row>
    <row r="257" spans="1:11" ht="13.8" thickBot="1" x14ac:dyDescent="0.25">
      <c r="A257" s="23" t="s">
        <v>1341</v>
      </c>
      <c r="B257" s="23" t="s">
        <v>1267</v>
      </c>
      <c r="C257" s="23" t="s">
        <v>573</v>
      </c>
      <c r="D257" s="24" t="s">
        <v>101</v>
      </c>
      <c r="E257" s="24" t="s">
        <v>145</v>
      </c>
      <c r="F257" s="24" t="s">
        <v>102</v>
      </c>
      <c r="G257" s="24" t="s">
        <v>37</v>
      </c>
      <c r="H257" s="24" t="s">
        <v>118</v>
      </c>
      <c r="I257" s="24"/>
      <c r="J257" s="23" t="s">
        <v>1306</v>
      </c>
      <c r="K257" s="23" t="s">
        <v>1342</v>
      </c>
    </row>
    <row r="258" spans="1:11" ht="13.8" thickBot="1" x14ac:dyDescent="0.25">
      <c r="A258" s="23" t="s">
        <v>1343</v>
      </c>
      <c r="B258" s="23" t="s">
        <v>1267</v>
      </c>
      <c r="C258" s="23" t="s">
        <v>925</v>
      </c>
      <c r="D258" s="24" t="s">
        <v>101</v>
      </c>
      <c r="E258" s="24" t="s">
        <v>145</v>
      </c>
      <c r="F258" s="24" t="s">
        <v>102</v>
      </c>
      <c r="G258" s="24" t="s">
        <v>37</v>
      </c>
      <c r="H258" s="24" t="s">
        <v>118</v>
      </c>
      <c r="I258" s="24"/>
      <c r="J258" s="23" t="s">
        <v>1306</v>
      </c>
      <c r="K258" s="23" t="s">
        <v>1342</v>
      </c>
    </row>
    <row r="259" spans="1:11" ht="13.8" thickBot="1" x14ac:dyDescent="0.25">
      <c r="A259" s="23" t="s">
        <v>1344</v>
      </c>
      <c r="B259" s="23" t="s">
        <v>1267</v>
      </c>
      <c r="C259" s="23" t="s">
        <v>1265</v>
      </c>
      <c r="D259" s="24" t="s">
        <v>101</v>
      </c>
      <c r="E259" s="24" t="s">
        <v>145</v>
      </c>
      <c r="F259" s="24" t="s">
        <v>102</v>
      </c>
      <c r="G259" s="24" t="s">
        <v>37</v>
      </c>
      <c r="H259" s="24" t="s">
        <v>118</v>
      </c>
      <c r="I259" s="24"/>
      <c r="J259" s="23" t="s">
        <v>1306</v>
      </c>
      <c r="K259" s="23" t="s">
        <v>1342</v>
      </c>
    </row>
    <row r="260" spans="1:11" ht="13.8" thickBot="1" x14ac:dyDescent="0.25">
      <c r="A260" s="23" t="s">
        <v>1461</v>
      </c>
      <c r="B260" s="23" t="s">
        <v>1462</v>
      </c>
      <c r="C260" s="23" t="s">
        <v>11</v>
      </c>
      <c r="D260" s="24" t="s">
        <v>79</v>
      </c>
      <c r="E260" s="24" t="s">
        <v>145</v>
      </c>
      <c r="F260" s="24" t="s">
        <v>80</v>
      </c>
      <c r="G260" s="24" t="s">
        <v>13</v>
      </c>
      <c r="H260" s="24" t="s">
        <v>124</v>
      </c>
      <c r="I260" s="24"/>
      <c r="J260" s="23" t="s">
        <v>1268</v>
      </c>
      <c r="K260" s="23" t="s">
        <v>1463</v>
      </c>
    </row>
    <row r="261" spans="1:11" ht="13.8" thickBot="1" x14ac:dyDescent="0.25">
      <c r="A261" s="23" t="s">
        <v>1464</v>
      </c>
      <c r="B261" s="23" t="s">
        <v>1462</v>
      </c>
      <c r="C261" s="23" t="s">
        <v>14</v>
      </c>
      <c r="D261" s="24" t="s">
        <v>187</v>
      </c>
      <c r="E261" s="24" t="s">
        <v>184</v>
      </c>
      <c r="F261" s="24" t="s">
        <v>188</v>
      </c>
      <c r="G261" s="24" t="s">
        <v>13</v>
      </c>
      <c r="H261" s="24" t="s">
        <v>189</v>
      </c>
      <c r="I261" s="24"/>
      <c r="J261" s="23" t="s">
        <v>1273</v>
      </c>
      <c r="K261" s="23" t="s">
        <v>1465</v>
      </c>
    </row>
    <row r="262" spans="1:11" ht="13.8" thickBot="1" x14ac:dyDescent="0.25">
      <c r="A262" s="23" t="s">
        <v>1466</v>
      </c>
      <c r="B262" s="23" t="s">
        <v>1462</v>
      </c>
      <c r="C262" s="23" t="s">
        <v>15</v>
      </c>
      <c r="D262" s="24" t="s">
        <v>98</v>
      </c>
      <c r="E262" s="24" t="s">
        <v>1066</v>
      </c>
      <c r="F262" s="24" t="s">
        <v>94</v>
      </c>
      <c r="G262" s="24" t="s">
        <v>13</v>
      </c>
      <c r="H262" s="24" t="s">
        <v>99</v>
      </c>
      <c r="I262" s="24"/>
      <c r="J262" s="23" t="s">
        <v>1285</v>
      </c>
      <c r="K262" s="23" t="s">
        <v>1339</v>
      </c>
    </row>
    <row r="263" spans="1:11" ht="13.8" thickBot="1" x14ac:dyDescent="0.25">
      <c r="A263" s="23" t="s">
        <v>1467</v>
      </c>
      <c r="B263" s="23" t="s">
        <v>1462</v>
      </c>
      <c r="C263" s="23" t="s">
        <v>16</v>
      </c>
      <c r="D263" s="24" t="s">
        <v>79</v>
      </c>
      <c r="E263" s="24" t="s">
        <v>145</v>
      </c>
      <c r="F263" s="24" t="s">
        <v>80</v>
      </c>
      <c r="G263" s="24" t="s">
        <v>13</v>
      </c>
      <c r="H263" s="24" t="s">
        <v>124</v>
      </c>
      <c r="I263" s="24"/>
      <c r="J263" s="23" t="s">
        <v>1285</v>
      </c>
      <c r="K263" s="23" t="s">
        <v>1468</v>
      </c>
    </row>
    <row r="264" spans="1:11" ht="13.8" thickBot="1" x14ac:dyDescent="0.25">
      <c r="A264" s="23" t="s">
        <v>1469</v>
      </c>
      <c r="B264" s="23" t="s">
        <v>1462</v>
      </c>
      <c r="C264" s="23" t="s">
        <v>17</v>
      </c>
      <c r="D264" s="24" t="s">
        <v>81</v>
      </c>
      <c r="E264" s="24" t="s">
        <v>1470</v>
      </c>
      <c r="F264" s="24" t="s">
        <v>82</v>
      </c>
      <c r="G264" s="24" t="s">
        <v>13</v>
      </c>
      <c r="H264" s="24" t="s">
        <v>100</v>
      </c>
      <c r="I264" s="24" t="s">
        <v>1471</v>
      </c>
      <c r="J264" s="23" t="s">
        <v>1288</v>
      </c>
      <c r="K264" s="23" t="s">
        <v>1342</v>
      </c>
    </row>
    <row r="265" spans="1:11" ht="13.8" thickBot="1" x14ac:dyDescent="0.25">
      <c r="A265" s="23" t="s">
        <v>1472</v>
      </c>
      <c r="B265" s="23" t="s">
        <v>1462</v>
      </c>
      <c r="C265" s="23" t="s">
        <v>18</v>
      </c>
      <c r="D265" s="24" t="s">
        <v>81</v>
      </c>
      <c r="E265" s="24" t="s">
        <v>145</v>
      </c>
      <c r="F265" s="24" t="s">
        <v>82</v>
      </c>
      <c r="G265" s="24" t="s">
        <v>13</v>
      </c>
      <c r="H265" s="24" t="s">
        <v>100</v>
      </c>
      <c r="I265" s="24"/>
      <c r="J265" s="23" t="s">
        <v>1293</v>
      </c>
      <c r="K265" s="23" t="s">
        <v>1375</v>
      </c>
    </row>
    <row r="266" spans="1:11" ht="13.8" thickBot="1" x14ac:dyDescent="0.25">
      <c r="A266" s="23" t="s">
        <v>1473</v>
      </c>
      <c r="B266" s="23" t="s">
        <v>1462</v>
      </c>
      <c r="C266" s="23" t="s">
        <v>19</v>
      </c>
      <c r="D266" s="24" t="s">
        <v>122</v>
      </c>
      <c r="E266" s="24" t="s">
        <v>1066</v>
      </c>
      <c r="F266" s="24" t="s">
        <v>105</v>
      </c>
      <c r="G266" s="24" t="s">
        <v>13</v>
      </c>
      <c r="H266" s="24" t="s">
        <v>123</v>
      </c>
      <c r="I266" s="24"/>
      <c r="J266" s="23" t="s">
        <v>1291</v>
      </c>
      <c r="K266" s="23" t="s">
        <v>1463</v>
      </c>
    </row>
    <row r="267" spans="1:11" ht="13.8" thickBot="1" x14ac:dyDescent="0.25">
      <c r="A267" s="23" t="s">
        <v>1474</v>
      </c>
      <c r="B267" s="23" t="s">
        <v>1462</v>
      </c>
      <c r="C267" s="23" t="s">
        <v>20</v>
      </c>
      <c r="D267" s="24" t="s">
        <v>122</v>
      </c>
      <c r="E267" s="24" t="s">
        <v>183</v>
      </c>
      <c r="F267" s="24" t="s">
        <v>105</v>
      </c>
      <c r="G267" s="24" t="s">
        <v>13</v>
      </c>
      <c r="H267" s="24" t="s">
        <v>123</v>
      </c>
      <c r="I267" s="24"/>
      <c r="J267" s="23" t="s">
        <v>1291</v>
      </c>
      <c r="K267" s="23" t="s">
        <v>1463</v>
      </c>
    </row>
    <row r="268" spans="1:11" ht="13.8" thickBot="1" x14ac:dyDescent="0.25">
      <c r="A268" s="23" t="s">
        <v>1475</v>
      </c>
      <c r="B268" s="23" t="s">
        <v>1462</v>
      </c>
      <c r="C268" s="23" t="s">
        <v>21</v>
      </c>
      <c r="D268" s="24" t="s">
        <v>122</v>
      </c>
      <c r="E268" s="24" t="s">
        <v>1066</v>
      </c>
      <c r="F268" s="24" t="s">
        <v>105</v>
      </c>
      <c r="G268" s="24" t="s">
        <v>13</v>
      </c>
      <c r="H268" s="24" t="s">
        <v>123</v>
      </c>
      <c r="I268" s="24"/>
      <c r="J268" s="23" t="s">
        <v>1303</v>
      </c>
      <c r="K268" s="23" t="s">
        <v>1465</v>
      </c>
    </row>
    <row r="269" spans="1:11" ht="13.8" thickBot="1" x14ac:dyDescent="0.25">
      <c r="A269" s="23" t="s">
        <v>1476</v>
      </c>
      <c r="B269" s="23" t="s">
        <v>1462</v>
      </c>
      <c r="C269" s="23" t="s">
        <v>22</v>
      </c>
      <c r="D269" s="24" t="s">
        <v>122</v>
      </c>
      <c r="E269" s="24" t="s">
        <v>1324</v>
      </c>
      <c r="F269" s="24" t="s">
        <v>105</v>
      </c>
      <c r="G269" s="24" t="s">
        <v>13</v>
      </c>
      <c r="H269" s="24" t="s">
        <v>123</v>
      </c>
      <c r="I269" s="24"/>
      <c r="J269" s="23" t="s">
        <v>1306</v>
      </c>
      <c r="K269" s="23" t="s">
        <v>1477</v>
      </c>
    </row>
    <row r="270" spans="1:11" ht="13.8" thickBot="1" x14ac:dyDescent="0.25">
      <c r="A270" s="23" t="s">
        <v>1478</v>
      </c>
      <c r="B270" s="23" t="s">
        <v>1462</v>
      </c>
      <c r="C270" s="23" t="s">
        <v>23</v>
      </c>
      <c r="D270" s="24" t="s">
        <v>122</v>
      </c>
      <c r="E270" s="24" t="s">
        <v>184</v>
      </c>
      <c r="F270" s="24" t="s">
        <v>105</v>
      </c>
      <c r="G270" s="24" t="s">
        <v>13</v>
      </c>
      <c r="H270" s="24" t="s">
        <v>123</v>
      </c>
      <c r="I270" s="24"/>
      <c r="J270" s="23" t="s">
        <v>1306</v>
      </c>
      <c r="K270" s="23" t="s">
        <v>1477</v>
      </c>
    </row>
    <row r="271" spans="1:11" ht="13.8" thickBot="1" x14ac:dyDescent="0.25">
      <c r="A271" s="23" t="s">
        <v>1479</v>
      </c>
      <c r="B271" s="23" t="s">
        <v>1462</v>
      </c>
      <c r="C271" s="23" t="s">
        <v>24</v>
      </c>
      <c r="D271" s="24" t="s">
        <v>122</v>
      </c>
      <c r="E271" s="24" t="s">
        <v>184</v>
      </c>
      <c r="F271" s="24" t="s">
        <v>105</v>
      </c>
      <c r="G271" s="24" t="s">
        <v>13</v>
      </c>
      <c r="H271" s="24" t="s">
        <v>123</v>
      </c>
      <c r="I271" s="24"/>
      <c r="J271" s="23" t="s">
        <v>1311</v>
      </c>
      <c r="K271" s="23" t="s">
        <v>1468</v>
      </c>
    </row>
    <row r="272" spans="1:11" ht="13.8" thickBot="1" x14ac:dyDescent="0.25">
      <c r="A272" s="23" t="s">
        <v>1480</v>
      </c>
      <c r="B272" s="23" t="s">
        <v>1462</v>
      </c>
      <c r="C272" s="23" t="s">
        <v>25</v>
      </c>
      <c r="D272" s="24" t="s">
        <v>81</v>
      </c>
      <c r="E272" s="24" t="s">
        <v>145</v>
      </c>
      <c r="F272" s="24" t="s">
        <v>82</v>
      </c>
      <c r="G272" s="24" t="s">
        <v>13</v>
      </c>
      <c r="H272" s="24" t="s">
        <v>100</v>
      </c>
      <c r="I272" s="24"/>
      <c r="J272" s="23" t="s">
        <v>1315</v>
      </c>
      <c r="K272" s="23" t="s">
        <v>1481</v>
      </c>
    </row>
    <row r="273" spans="1:11" ht="13.8" thickBot="1" x14ac:dyDescent="0.25">
      <c r="A273" s="23" t="s">
        <v>1482</v>
      </c>
      <c r="B273" s="23" t="s">
        <v>1462</v>
      </c>
      <c r="C273" s="23" t="s">
        <v>26</v>
      </c>
      <c r="D273" s="24" t="s">
        <v>90</v>
      </c>
      <c r="E273" s="24" t="s">
        <v>145</v>
      </c>
      <c r="F273" s="24" t="s">
        <v>91</v>
      </c>
      <c r="G273" s="24" t="s">
        <v>13</v>
      </c>
      <c r="H273" s="24" t="s">
        <v>92</v>
      </c>
      <c r="I273" s="24"/>
      <c r="J273" s="23" t="s">
        <v>1322</v>
      </c>
      <c r="K273" s="23" t="s">
        <v>1483</v>
      </c>
    </row>
    <row r="274" spans="1:11" ht="13.8" thickBot="1" x14ac:dyDescent="0.25">
      <c r="A274" s="23" t="s">
        <v>1484</v>
      </c>
      <c r="B274" s="23" t="s">
        <v>1462</v>
      </c>
      <c r="C274" s="23" t="s">
        <v>27</v>
      </c>
      <c r="D274" s="24" t="s">
        <v>81</v>
      </c>
      <c r="E274" s="24" t="s">
        <v>145</v>
      </c>
      <c r="F274" s="24" t="s">
        <v>82</v>
      </c>
      <c r="G274" s="24" t="s">
        <v>13</v>
      </c>
      <c r="H274" s="24" t="s">
        <v>100</v>
      </c>
      <c r="I274" s="24"/>
      <c r="J274" s="23" t="s">
        <v>1322</v>
      </c>
      <c r="K274" s="23" t="s">
        <v>1483</v>
      </c>
    </row>
    <row r="275" spans="1:11" ht="13.8" thickBot="1" x14ac:dyDescent="0.25">
      <c r="A275" s="23" t="s">
        <v>1485</v>
      </c>
      <c r="B275" s="23" t="s">
        <v>1462</v>
      </c>
      <c r="C275" s="23" t="s">
        <v>28</v>
      </c>
      <c r="D275" s="24" t="s">
        <v>90</v>
      </c>
      <c r="E275" s="24" t="s">
        <v>145</v>
      </c>
      <c r="F275" s="24" t="s">
        <v>91</v>
      </c>
      <c r="G275" s="24" t="s">
        <v>13</v>
      </c>
      <c r="H275" s="24" t="s">
        <v>92</v>
      </c>
      <c r="I275" s="24"/>
      <c r="J275" s="23" t="s">
        <v>1325</v>
      </c>
      <c r="K275" s="23" t="s">
        <v>1486</v>
      </c>
    </row>
    <row r="276" spans="1:11" ht="13.8" thickBot="1" x14ac:dyDescent="0.25">
      <c r="A276" s="23" t="s">
        <v>1487</v>
      </c>
      <c r="B276" s="23" t="s">
        <v>1462</v>
      </c>
      <c r="C276" s="23" t="s">
        <v>29</v>
      </c>
      <c r="D276" s="24" t="s">
        <v>90</v>
      </c>
      <c r="E276" s="24" t="s">
        <v>145</v>
      </c>
      <c r="F276" s="24" t="s">
        <v>91</v>
      </c>
      <c r="G276" s="24" t="s">
        <v>13</v>
      </c>
      <c r="H276" s="24" t="s">
        <v>92</v>
      </c>
      <c r="I276" s="24"/>
      <c r="J276" s="23" t="s">
        <v>1328</v>
      </c>
      <c r="K276" s="23" t="s">
        <v>1486</v>
      </c>
    </row>
    <row r="277" spans="1:11" ht="13.8" thickBot="1" x14ac:dyDescent="0.25">
      <c r="A277" s="23" t="s">
        <v>1488</v>
      </c>
      <c r="B277" s="23" t="s">
        <v>1462</v>
      </c>
      <c r="C277" s="23" t="s">
        <v>31</v>
      </c>
      <c r="D277" s="24" t="s">
        <v>90</v>
      </c>
      <c r="E277" s="24" t="s">
        <v>145</v>
      </c>
      <c r="F277" s="24" t="s">
        <v>91</v>
      </c>
      <c r="G277" s="24" t="s">
        <v>13</v>
      </c>
      <c r="H277" s="24" t="s">
        <v>92</v>
      </c>
      <c r="I277" s="24"/>
      <c r="J277" s="23" t="s">
        <v>1328</v>
      </c>
      <c r="K277" s="23" t="s">
        <v>1486</v>
      </c>
    </row>
    <row r="278" spans="1:11" ht="13.8" thickBot="1" x14ac:dyDescent="0.25">
      <c r="A278" s="23" t="s">
        <v>1489</v>
      </c>
      <c r="B278" s="23" t="s">
        <v>1462</v>
      </c>
      <c r="C278" s="23" t="s">
        <v>32</v>
      </c>
      <c r="D278" s="24" t="s">
        <v>90</v>
      </c>
      <c r="E278" s="24" t="s">
        <v>145</v>
      </c>
      <c r="F278" s="24" t="s">
        <v>91</v>
      </c>
      <c r="G278" s="24" t="s">
        <v>13</v>
      </c>
      <c r="H278" s="24" t="s">
        <v>92</v>
      </c>
      <c r="I278" s="24"/>
      <c r="J278" s="23" t="s">
        <v>1331</v>
      </c>
      <c r="K278" s="23" t="s">
        <v>1490</v>
      </c>
    </row>
    <row r="279" spans="1:11" ht="13.8" thickBot="1" x14ac:dyDescent="0.25">
      <c r="A279" s="23" t="s">
        <v>1491</v>
      </c>
      <c r="B279" s="23" t="s">
        <v>1462</v>
      </c>
      <c r="C279" s="23" t="s">
        <v>34</v>
      </c>
      <c r="D279" s="24" t="s">
        <v>112</v>
      </c>
      <c r="E279" s="24" t="s">
        <v>181</v>
      </c>
      <c r="F279" s="24" t="s">
        <v>113</v>
      </c>
      <c r="G279" s="24" t="s">
        <v>73</v>
      </c>
      <c r="H279" s="24" t="s">
        <v>114</v>
      </c>
      <c r="I279" s="24"/>
      <c r="J279" s="23" t="s">
        <v>1336</v>
      </c>
      <c r="K279" s="23" t="s">
        <v>1492</v>
      </c>
    </row>
    <row r="280" spans="1:11" ht="13.8" thickBot="1" x14ac:dyDescent="0.25">
      <c r="A280" s="23" t="s">
        <v>1493</v>
      </c>
      <c r="B280" s="23" t="s">
        <v>1462</v>
      </c>
      <c r="C280" s="23" t="s">
        <v>35</v>
      </c>
      <c r="D280" s="24" t="s">
        <v>90</v>
      </c>
      <c r="E280" s="24" t="s">
        <v>145</v>
      </c>
      <c r="F280" s="24" t="s">
        <v>91</v>
      </c>
      <c r="G280" s="24" t="s">
        <v>13</v>
      </c>
      <c r="H280" s="24" t="s">
        <v>92</v>
      </c>
      <c r="I280" s="24"/>
      <c r="J280" s="23" t="s">
        <v>1336</v>
      </c>
      <c r="K280" s="23" t="s">
        <v>1490</v>
      </c>
    </row>
    <row r="281" spans="1:11" ht="13.8" thickBot="1" x14ac:dyDescent="0.25">
      <c r="A281" s="23" t="s">
        <v>1494</v>
      </c>
      <c r="B281" s="23" t="s">
        <v>1462</v>
      </c>
      <c r="C281" s="23" t="s">
        <v>36</v>
      </c>
      <c r="D281" s="24" t="s">
        <v>112</v>
      </c>
      <c r="E281" s="24" t="s">
        <v>181</v>
      </c>
      <c r="F281" s="24" t="s">
        <v>113</v>
      </c>
      <c r="G281" s="24" t="s">
        <v>73</v>
      </c>
      <c r="H281" s="24" t="s">
        <v>114</v>
      </c>
      <c r="I281" s="24"/>
      <c r="J281" s="23" t="s">
        <v>1339</v>
      </c>
      <c r="K281" s="23" t="s">
        <v>1490</v>
      </c>
    </row>
    <row r="282" spans="1:11" ht="13.8" thickBot="1" x14ac:dyDescent="0.25">
      <c r="A282" s="23" t="s">
        <v>1495</v>
      </c>
      <c r="B282" s="23" t="s">
        <v>1462</v>
      </c>
      <c r="C282" s="23" t="s">
        <v>38</v>
      </c>
      <c r="D282" s="24" t="s">
        <v>112</v>
      </c>
      <c r="E282" s="24" t="s">
        <v>181</v>
      </c>
      <c r="F282" s="24" t="s">
        <v>113</v>
      </c>
      <c r="G282" s="24" t="s">
        <v>73</v>
      </c>
      <c r="H282" s="24" t="s">
        <v>114</v>
      </c>
      <c r="I282" s="24"/>
      <c r="J282" s="23" t="s">
        <v>1342</v>
      </c>
      <c r="K282" s="23" t="s">
        <v>1496</v>
      </c>
    </row>
    <row r="283" spans="1:11" ht="13.8" thickBot="1" x14ac:dyDescent="0.25">
      <c r="A283" s="23" t="s">
        <v>1497</v>
      </c>
      <c r="B283" s="23" t="s">
        <v>1462</v>
      </c>
      <c r="C283" s="23" t="s">
        <v>39</v>
      </c>
      <c r="D283" s="24" t="s">
        <v>95</v>
      </c>
      <c r="E283" s="24" t="s">
        <v>145</v>
      </c>
      <c r="F283" s="24" t="s">
        <v>96</v>
      </c>
      <c r="G283" s="24" t="s">
        <v>73</v>
      </c>
      <c r="H283" s="24" t="s">
        <v>97</v>
      </c>
      <c r="I283" s="24"/>
      <c r="J283" s="23" t="s">
        <v>1342</v>
      </c>
      <c r="K283" s="23" t="s">
        <v>1496</v>
      </c>
    </row>
    <row r="284" spans="1:11" ht="13.8" thickBot="1" x14ac:dyDescent="0.25">
      <c r="A284" s="23" t="s">
        <v>1498</v>
      </c>
      <c r="B284" s="23" t="s">
        <v>1462</v>
      </c>
      <c r="C284" s="23" t="s">
        <v>40</v>
      </c>
      <c r="D284" s="24" t="s">
        <v>120</v>
      </c>
      <c r="E284" s="24" t="s">
        <v>181</v>
      </c>
      <c r="F284" s="24" t="s">
        <v>107</v>
      </c>
      <c r="G284" s="24" t="s">
        <v>73</v>
      </c>
      <c r="H284" s="24" t="s">
        <v>121</v>
      </c>
      <c r="I284" s="24"/>
      <c r="J284" s="23" t="s">
        <v>1375</v>
      </c>
      <c r="K284" s="23" t="s">
        <v>1496</v>
      </c>
    </row>
    <row r="285" spans="1:11" ht="13.8" thickBot="1" x14ac:dyDescent="0.25">
      <c r="A285" s="23" t="s">
        <v>1499</v>
      </c>
      <c r="B285" s="23" t="s">
        <v>1462</v>
      </c>
      <c r="C285" s="23" t="s">
        <v>41</v>
      </c>
      <c r="D285" s="24" t="s">
        <v>120</v>
      </c>
      <c r="E285" s="24" t="s">
        <v>181</v>
      </c>
      <c r="F285" s="24" t="s">
        <v>107</v>
      </c>
      <c r="G285" s="24" t="s">
        <v>73</v>
      </c>
      <c r="H285" s="24" t="s">
        <v>121</v>
      </c>
      <c r="I285" s="24"/>
      <c r="J285" s="23" t="s">
        <v>1375</v>
      </c>
      <c r="K285" s="23" t="s">
        <v>1496</v>
      </c>
    </row>
    <row r="286" spans="1:11" ht="13.8" thickBot="1" x14ac:dyDescent="0.25">
      <c r="A286" s="23" t="s">
        <v>1500</v>
      </c>
      <c r="B286" s="23" t="s">
        <v>1462</v>
      </c>
      <c r="C286" s="23" t="s">
        <v>65</v>
      </c>
      <c r="D286" s="24" t="s">
        <v>120</v>
      </c>
      <c r="E286" s="24" t="s">
        <v>181</v>
      </c>
      <c r="F286" s="24" t="s">
        <v>107</v>
      </c>
      <c r="G286" s="24" t="s">
        <v>73</v>
      </c>
      <c r="H286" s="24" t="s">
        <v>121</v>
      </c>
      <c r="I286" s="24"/>
      <c r="J286" s="23" t="s">
        <v>1463</v>
      </c>
      <c r="K286" s="23" t="s">
        <v>1501</v>
      </c>
    </row>
    <row r="287" spans="1:11" ht="13.8" thickBot="1" x14ac:dyDescent="0.25">
      <c r="A287" s="23" t="s">
        <v>1502</v>
      </c>
      <c r="B287" s="23" t="s">
        <v>1462</v>
      </c>
      <c r="C287" s="23" t="s">
        <v>66</v>
      </c>
      <c r="D287" s="24" t="s">
        <v>120</v>
      </c>
      <c r="E287" s="24" t="s">
        <v>181</v>
      </c>
      <c r="F287" s="24" t="s">
        <v>107</v>
      </c>
      <c r="G287" s="24" t="s">
        <v>73</v>
      </c>
      <c r="H287" s="24" t="s">
        <v>121</v>
      </c>
      <c r="I287" s="24"/>
      <c r="J287" s="23" t="s">
        <v>1465</v>
      </c>
      <c r="K287" s="23" t="s">
        <v>1503</v>
      </c>
    </row>
    <row r="288" spans="1:11" ht="13.8" thickBot="1" x14ac:dyDescent="0.25">
      <c r="A288" s="23" t="s">
        <v>1504</v>
      </c>
      <c r="B288" s="23" t="s">
        <v>1462</v>
      </c>
      <c r="C288" s="23" t="s">
        <v>67</v>
      </c>
      <c r="D288" s="24" t="s">
        <v>132</v>
      </c>
      <c r="E288" s="24" t="s">
        <v>181</v>
      </c>
      <c r="F288" s="24" t="s">
        <v>106</v>
      </c>
      <c r="G288" s="24" t="s">
        <v>73</v>
      </c>
      <c r="H288" s="24" t="s">
        <v>133</v>
      </c>
      <c r="I288" s="24"/>
      <c r="J288" s="23" t="s">
        <v>1465</v>
      </c>
      <c r="K288" s="23" t="s">
        <v>1503</v>
      </c>
    </row>
    <row r="289" spans="1:11" ht="13.8" thickBot="1" x14ac:dyDescent="0.25">
      <c r="A289" s="23" t="s">
        <v>1505</v>
      </c>
      <c r="B289" s="23" t="s">
        <v>1462</v>
      </c>
      <c r="C289" s="23" t="s">
        <v>68</v>
      </c>
      <c r="D289" s="24" t="s">
        <v>132</v>
      </c>
      <c r="E289" s="24" t="s">
        <v>181</v>
      </c>
      <c r="F289" s="24" t="s">
        <v>106</v>
      </c>
      <c r="G289" s="24" t="s">
        <v>73</v>
      </c>
      <c r="H289" s="24" t="s">
        <v>133</v>
      </c>
      <c r="I289" s="24"/>
      <c r="J289" s="23" t="s">
        <v>1477</v>
      </c>
      <c r="K289" s="23" t="s">
        <v>1506</v>
      </c>
    </row>
    <row r="290" spans="1:11" ht="13.8" thickBot="1" x14ac:dyDescent="0.25">
      <c r="A290" s="23" t="s">
        <v>1507</v>
      </c>
      <c r="B290" s="23" t="s">
        <v>1462</v>
      </c>
      <c r="C290" s="23" t="s">
        <v>69</v>
      </c>
      <c r="D290" s="24" t="s">
        <v>132</v>
      </c>
      <c r="E290" s="24" t="s">
        <v>181</v>
      </c>
      <c r="F290" s="24" t="s">
        <v>106</v>
      </c>
      <c r="G290" s="24" t="s">
        <v>73</v>
      </c>
      <c r="H290" s="24" t="s">
        <v>133</v>
      </c>
      <c r="I290" s="24"/>
      <c r="J290" s="23" t="s">
        <v>1477</v>
      </c>
      <c r="K290" s="23" t="s">
        <v>1506</v>
      </c>
    </row>
    <row r="291" spans="1:11" ht="13.8" thickBot="1" x14ac:dyDescent="0.25">
      <c r="A291" s="23" t="s">
        <v>1508</v>
      </c>
      <c r="B291" s="23" t="s">
        <v>1462</v>
      </c>
      <c r="C291" s="23" t="s">
        <v>70</v>
      </c>
      <c r="D291" s="24" t="s">
        <v>120</v>
      </c>
      <c r="E291" s="24" t="s">
        <v>181</v>
      </c>
      <c r="F291" s="24" t="s">
        <v>107</v>
      </c>
      <c r="G291" s="24" t="s">
        <v>73</v>
      </c>
      <c r="H291" s="24" t="s">
        <v>121</v>
      </c>
      <c r="I291" s="24"/>
      <c r="J291" s="23" t="s">
        <v>1468</v>
      </c>
      <c r="K291" s="23" t="s">
        <v>1509</v>
      </c>
    </row>
    <row r="292" spans="1:11" ht="13.8" thickBot="1" x14ac:dyDescent="0.25">
      <c r="A292" s="23" t="s">
        <v>1510</v>
      </c>
      <c r="B292" s="23" t="s">
        <v>1462</v>
      </c>
      <c r="C292" s="23" t="s">
        <v>71</v>
      </c>
      <c r="D292" s="24" t="s">
        <v>120</v>
      </c>
      <c r="E292" s="24" t="s">
        <v>181</v>
      </c>
      <c r="F292" s="24" t="s">
        <v>107</v>
      </c>
      <c r="G292" s="24" t="s">
        <v>73</v>
      </c>
      <c r="H292" s="24" t="s">
        <v>121</v>
      </c>
      <c r="I292" s="24"/>
      <c r="J292" s="23" t="s">
        <v>1481</v>
      </c>
      <c r="K292" s="23" t="s">
        <v>1511</v>
      </c>
    </row>
    <row r="293" spans="1:11" ht="13.8" thickBot="1" x14ac:dyDescent="0.25">
      <c r="A293" s="23" t="s">
        <v>1512</v>
      </c>
      <c r="B293" s="23" t="s">
        <v>1462</v>
      </c>
      <c r="C293" s="23" t="s">
        <v>72</v>
      </c>
      <c r="D293" s="24" t="s">
        <v>120</v>
      </c>
      <c r="E293" s="24" t="s">
        <v>183</v>
      </c>
      <c r="F293" s="24" t="s">
        <v>107</v>
      </c>
      <c r="G293" s="24" t="s">
        <v>73</v>
      </c>
      <c r="H293" s="24" t="s">
        <v>121</v>
      </c>
      <c r="I293" s="24"/>
      <c r="J293" s="23" t="s">
        <v>1481</v>
      </c>
      <c r="K293" s="23" t="s">
        <v>1511</v>
      </c>
    </row>
    <row r="294" spans="1:11" ht="13.8" thickBot="1" x14ac:dyDescent="0.25">
      <c r="A294" s="23" t="s">
        <v>1513</v>
      </c>
      <c r="B294" s="23" t="s">
        <v>1462</v>
      </c>
      <c r="C294" s="23" t="s">
        <v>74</v>
      </c>
      <c r="D294" s="24" t="s">
        <v>132</v>
      </c>
      <c r="E294" s="24" t="s">
        <v>181</v>
      </c>
      <c r="F294" s="24" t="s">
        <v>106</v>
      </c>
      <c r="G294" s="24" t="s">
        <v>73</v>
      </c>
      <c r="H294" s="24" t="s">
        <v>133</v>
      </c>
      <c r="I294" s="24"/>
      <c r="J294" s="23" t="s">
        <v>1483</v>
      </c>
      <c r="K294" s="23" t="s">
        <v>1514</v>
      </c>
    </row>
    <row r="295" spans="1:11" ht="13.8" thickBot="1" x14ac:dyDescent="0.25">
      <c r="A295" s="23" t="s">
        <v>1515</v>
      </c>
      <c r="B295" s="23" t="s">
        <v>1462</v>
      </c>
      <c r="C295" s="23" t="s">
        <v>75</v>
      </c>
      <c r="D295" s="24" t="s">
        <v>101</v>
      </c>
      <c r="E295" s="24" t="s">
        <v>145</v>
      </c>
      <c r="F295" s="24" t="s">
        <v>102</v>
      </c>
      <c r="G295" s="24" t="s">
        <v>73</v>
      </c>
      <c r="H295" s="24" t="s">
        <v>118</v>
      </c>
      <c r="I295" s="24"/>
      <c r="J295" s="23" t="s">
        <v>1483</v>
      </c>
      <c r="K295" s="23" t="s">
        <v>1514</v>
      </c>
    </row>
    <row r="296" spans="1:11" ht="13.8" thickBot="1" x14ac:dyDescent="0.25">
      <c r="A296" s="23" t="s">
        <v>1516</v>
      </c>
      <c r="B296" s="23" t="s">
        <v>1462</v>
      </c>
      <c r="C296" s="23" t="s">
        <v>76</v>
      </c>
      <c r="D296" s="24" t="s">
        <v>95</v>
      </c>
      <c r="E296" s="24" t="s">
        <v>145</v>
      </c>
      <c r="F296" s="24" t="s">
        <v>96</v>
      </c>
      <c r="G296" s="24" t="s">
        <v>37</v>
      </c>
      <c r="H296" s="24" t="s">
        <v>97</v>
      </c>
      <c r="I296" s="24"/>
      <c r="J296" s="23" t="s">
        <v>1486</v>
      </c>
      <c r="K296" s="23" t="s">
        <v>1517</v>
      </c>
    </row>
    <row r="297" spans="1:11" ht="13.8" thickBot="1" x14ac:dyDescent="0.25">
      <c r="A297" s="23" t="s">
        <v>1518</v>
      </c>
      <c r="B297" s="23" t="s">
        <v>1462</v>
      </c>
      <c r="C297" s="23" t="s">
        <v>77</v>
      </c>
      <c r="D297" s="24" t="s">
        <v>95</v>
      </c>
      <c r="E297" s="24" t="s">
        <v>145</v>
      </c>
      <c r="F297" s="24" t="s">
        <v>96</v>
      </c>
      <c r="G297" s="24" t="s">
        <v>37</v>
      </c>
      <c r="H297" s="24" t="s">
        <v>97</v>
      </c>
      <c r="I297" s="24"/>
      <c r="J297" s="23" t="s">
        <v>1492</v>
      </c>
      <c r="K297" s="23" t="s">
        <v>1519</v>
      </c>
    </row>
    <row r="298" spans="1:11" ht="13.8" thickBot="1" x14ac:dyDescent="0.25">
      <c r="A298" s="23" t="s">
        <v>1520</v>
      </c>
      <c r="B298" s="23" t="s">
        <v>1462</v>
      </c>
      <c r="C298" s="23" t="s">
        <v>185</v>
      </c>
      <c r="D298" s="24" t="s">
        <v>95</v>
      </c>
      <c r="E298" s="24" t="s">
        <v>145</v>
      </c>
      <c r="F298" s="24" t="s">
        <v>96</v>
      </c>
      <c r="G298" s="24" t="s">
        <v>37</v>
      </c>
      <c r="H298" s="24" t="s">
        <v>97</v>
      </c>
      <c r="I298" s="24"/>
      <c r="J298" s="23" t="s">
        <v>1492</v>
      </c>
      <c r="K298" s="23" t="s">
        <v>1519</v>
      </c>
    </row>
    <row r="299" spans="1:11" ht="13.8" thickBot="1" x14ac:dyDescent="0.25">
      <c r="A299" s="23" t="s">
        <v>1521</v>
      </c>
      <c r="B299" s="23" t="s">
        <v>1462</v>
      </c>
      <c r="C299" s="23" t="s">
        <v>186</v>
      </c>
      <c r="D299" s="24" t="s">
        <v>103</v>
      </c>
      <c r="E299" s="24" t="s">
        <v>145</v>
      </c>
      <c r="F299" s="24" t="s">
        <v>104</v>
      </c>
      <c r="G299" s="24" t="s">
        <v>37</v>
      </c>
      <c r="H299" s="24" t="s">
        <v>119</v>
      </c>
      <c r="I299" s="24"/>
      <c r="J299" s="23" t="s">
        <v>1490</v>
      </c>
      <c r="K299" s="23" t="s">
        <v>1519</v>
      </c>
    </row>
    <row r="300" spans="1:11" ht="13.8" thickBot="1" x14ac:dyDescent="0.25">
      <c r="A300" s="23" t="s">
        <v>1522</v>
      </c>
      <c r="B300" s="23" t="s">
        <v>1462</v>
      </c>
      <c r="C300" s="23" t="s">
        <v>199</v>
      </c>
      <c r="D300" s="24" t="s">
        <v>103</v>
      </c>
      <c r="E300" s="24" t="s">
        <v>145</v>
      </c>
      <c r="F300" s="24" t="s">
        <v>104</v>
      </c>
      <c r="G300" s="24" t="s">
        <v>37</v>
      </c>
      <c r="H300" s="24" t="s">
        <v>119</v>
      </c>
      <c r="I300" s="24"/>
      <c r="J300" s="23" t="s">
        <v>1490</v>
      </c>
      <c r="K300" s="23" t="s">
        <v>1519</v>
      </c>
    </row>
    <row r="301" spans="1:11" ht="13.8" thickBot="1" x14ac:dyDescent="0.25">
      <c r="A301" s="23" t="s">
        <v>1523</v>
      </c>
      <c r="B301" s="23" t="s">
        <v>1462</v>
      </c>
      <c r="C301" s="23" t="s">
        <v>251</v>
      </c>
      <c r="D301" s="24" t="s">
        <v>101</v>
      </c>
      <c r="E301" s="24" t="s">
        <v>145</v>
      </c>
      <c r="F301" s="24" t="s">
        <v>102</v>
      </c>
      <c r="G301" s="24" t="s">
        <v>37</v>
      </c>
      <c r="H301" s="24" t="s">
        <v>118</v>
      </c>
      <c r="I301" s="24"/>
      <c r="J301" s="23" t="s">
        <v>1496</v>
      </c>
      <c r="K301" s="23" t="s">
        <v>1524</v>
      </c>
    </row>
    <row r="302" spans="1:11" ht="13.8" thickBot="1" x14ac:dyDescent="0.25">
      <c r="A302" s="23" t="s">
        <v>1525</v>
      </c>
      <c r="B302" s="23" t="s">
        <v>1462</v>
      </c>
      <c r="C302" s="23" t="s">
        <v>252</v>
      </c>
      <c r="D302" s="24" t="s">
        <v>101</v>
      </c>
      <c r="E302" s="24" t="s">
        <v>145</v>
      </c>
      <c r="F302" s="24" t="s">
        <v>102</v>
      </c>
      <c r="G302" s="24" t="s">
        <v>37</v>
      </c>
      <c r="H302" s="24" t="s">
        <v>118</v>
      </c>
      <c r="I302" s="24"/>
      <c r="J302" s="23" t="s">
        <v>1496</v>
      </c>
      <c r="K302" s="23" t="s">
        <v>1524</v>
      </c>
    </row>
    <row r="303" spans="1:11" ht="13.8" thickBot="1" x14ac:dyDescent="0.25">
      <c r="A303" s="23" t="s">
        <v>1526</v>
      </c>
      <c r="B303" s="23" t="s">
        <v>1462</v>
      </c>
      <c r="C303" s="23" t="s">
        <v>253</v>
      </c>
      <c r="D303" s="24" t="s">
        <v>101</v>
      </c>
      <c r="E303" s="24" t="s">
        <v>145</v>
      </c>
      <c r="F303" s="24" t="s">
        <v>102</v>
      </c>
      <c r="G303" s="24" t="s">
        <v>37</v>
      </c>
      <c r="H303" s="24" t="s">
        <v>118</v>
      </c>
      <c r="I303" s="24"/>
      <c r="J303" s="23" t="s">
        <v>1501</v>
      </c>
      <c r="K303" s="23" t="s">
        <v>1527</v>
      </c>
    </row>
    <row r="304" spans="1:11" ht="13.8" thickBot="1" x14ac:dyDescent="0.25">
      <c r="A304" s="23" t="s">
        <v>1528</v>
      </c>
      <c r="B304" s="23" t="s">
        <v>1462</v>
      </c>
      <c r="C304" s="23" t="s">
        <v>569</v>
      </c>
      <c r="D304" s="24" t="s">
        <v>101</v>
      </c>
      <c r="E304" s="24" t="s">
        <v>145</v>
      </c>
      <c r="F304" s="24" t="s">
        <v>102</v>
      </c>
      <c r="G304" s="24" t="s">
        <v>37</v>
      </c>
      <c r="H304" s="24" t="s">
        <v>118</v>
      </c>
      <c r="I304" s="24"/>
      <c r="J304" s="23" t="s">
        <v>1501</v>
      </c>
      <c r="K304" s="23" t="s">
        <v>1527</v>
      </c>
    </row>
    <row r="305" spans="1:11" ht="13.8" thickBot="1" x14ac:dyDescent="0.25">
      <c r="A305" s="23" t="s">
        <v>1529</v>
      </c>
      <c r="B305" s="23" t="s">
        <v>1462</v>
      </c>
      <c r="C305" s="23" t="s">
        <v>571</v>
      </c>
      <c r="D305" s="24" t="s">
        <v>101</v>
      </c>
      <c r="E305" s="24" t="s">
        <v>145</v>
      </c>
      <c r="F305" s="24" t="s">
        <v>102</v>
      </c>
      <c r="G305" s="24" t="s">
        <v>37</v>
      </c>
      <c r="H305" s="24" t="s">
        <v>118</v>
      </c>
      <c r="I305" s="24"/>
      <c r="J305" s="23" t="s">
        <v>1503</v>
      </c>
      <c r="K305" s="23" t="s">
        <v>1530</v>
      </c>
    </row>
    <row r="306" spans="1:11" ht="13.8" thickBot="1" x14ac:dyDescent="0.25">
      <c r="A306" s="23" t="s">
        <v>1531</v>
      </c>
      <c r="B306" s="23" t="s">
        <v>1462</v>
      </c>
      <c r="C306" s="23" t="s">
        <v>573</v>
      </c>
      <c r="D306" s="24" t="s">
        <v>101</v>
      </c>
      <c r="E306" s="24" t="s">
        <v>145</v>
      </c>
      <c r="F306" s="24" t="s">
        <v>102</v>
      </c>
      <c r="G306" s="24" t="s">
        <v>37</v>
      </c>
      <c r="H306" s="24" t="s">
        <v>118</v>
      </c>
      <c r="I306" s="24"/>
      <c r="J306" s="23" t="s">
        <v>1503</v>
      </c>
      <c r="K306" s="23" t="s">
        <v>1530</v>
      </c>
    </row>
    <row r="307" spans="1:11" ht="13.8" thickBot="1" x14ac:dyDescent="0.25">
      <c r="A307" s="23" t="s">
        <v>1532</v>
      </c>
      <c r="B307" s="23" t="s">
        <v>1462</v>
      </c>
      <c r="C307" s="23" t="s">
        <v>925</v>
      </c>
      <c r="D307" s="24" t="s">
        <v>103</v>
      </c>
      <c r="E307" s="24" t="s">
        <v>145</v>
      </c>
      <c r="F307" s="24" t="s">
        <v>104</v>
      </c>
      <c r="G307" s="24" t="s">
        <v>37</v>
      </c>
      <c r="H307" s="24" t="s">
        <v>119</v>
      </c>
      <c r="I307" s="24"/>
      <c r="J307" s="23" t="s">
        <v>1506</v>
      </c>
      <c r="K307" s="23" t="s">
        <v>1533</v>
      </c>
    </row>
    <row r="308" spans="1:11" ht="13.8" thickBot="1" x14ac:dyDescent="0.25">
      <c r="A308" s="23" t="s">
        <v>1534</v>
      </c>
      <c r="B308" s="23" t="s">
        <v>1462</v>
      </c>
      <c r="C308" s="23" t="s">
        <v>1265</v>
      </c>
      <c r="D308" s="24" t="s">
        <v>103</v>
      </c>
      <c r="E308" s="24" t="s">
        <v>145</v>
      </c>
      <c r="F308" s="24" t="s">
        <v>104</v>
      </c>
      <c r="G308" s="24" t="s">
        <v>37</v>
      </c>
      <c r="H308" s="24" t="s">
        <v>119</v>
      </c>
      <c r="I308" s="24"/>
      <c r="J308" s="23" t="s">
        <v>1506</v>
      </c>
      <c r="K308" s="23" t="s">
        <v>1533</v>
      </c>
    </row>
  </sheetData>
  <mergeCells count="11">
    <mergeCell ref="H1:H2"/>
    <mergeCell ref="I1:I2"/>
    <mergeCell ref="J1:J2"/>
    <mergeCell ref="K1:K2"/>
    <mergeCell ref="A1:A2"/>
    <mergeCell ref="E1:E2"/>
    <mergeCell ref="F1:F2"/>
    <mergeCell ref="G1:G2"/>
    <mergeCell ref="B1:B2"/>
    <mergeCell ref="C1:C2"/>
    <mergeCell ref="D1:D2"/>
  </mergeCells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C00000"/>
  </sheetPr>
  <dimension ref="A1:I623"/>
  <sheetViews>
    <sheetView workbookViewId="0">
      <selection activeCell="D135" sqref="D135"/>
    </sheetView>
  </sheetViews>
  <sheetFormatPr defaultRowHeight="13.2" x14ac:dyDescent="0.2"/>
  <cols>
    <col min="1" max="1" width="4" bestFit="1" customWidth="1"/>
    <col min="2" max="2" width="12" bestFit="1" customWidth="1"/>
    <col min="3" max="3" width="17.21875" bestFit="1" customWidth="1"/>
    <col min="4" max="4" width="46.77734375" bestFit="1" customWidth="1"/>
    <col min="5" max="5" width="16.109375" bestFit="1" customWidth="1"/>
    <col min="6" max="6" width="14.21875" customWidth="1"/>
    <col min="7" max="7" width="16.109375" customWidth="1"/>
    <col min="9" max="9" width="14.109375" bestFit="1" customWidth="1"/>
  </cols>
  <sheetData>
    <row r="1" spans="1:9" x14ac:dyDescent="0.2">
      <c r="A1" s="9" t="s">
        <v>61</v>
      </c>
      <c r="B1" s="6" t="s">
        <v>56</v>
      </c>
      <c r="C1" s="9" t="s">
        <v>57</v>
      </c>
      <c r="D1" s="3" t="s">
        <v>58</v>
      </c>
      <c r="E1" s="10" t="s">
        <v>62</v>
      </c>
      <c r="F1" s="3" t="s">
        <v>59</v>
      </c>
      <c r="G1" s="6" t="s">
        <v>63</v>
      </c>
      <c r="H1" s="6"/>
      <c r="I1" s="6" t="s">
        <v>64</v>
      </c>
    </row>
    <row r="2" spans="1:9" s="19" customFormat="1" ht="13.5" customHeight="1" thickBot="1" x14ac:dyDescent="0.2">
      <c r="A2" s="11">
        <v>1</v>
      </c>
      <c r="B2" s="7" t="str">
        <f>IFERROR(VLOOKUP(E2,'(新)ﾍﾞﾝﾀﾞｰ小型'!$A$3:$K$300,2,0), "")</f>
        <v>10月 </v>
      </c>
      <c r="C2" s="7" t="str">
        <f>IFERROR(VLOOKUP(E2,'(新)ﾍﾞﾝﾀﾞｰ小型'!$A$3:$K$300,4,0), "")</f>
        <v>EGB1303ARE_EXP </v>
      </c>
      <c r="D2" s="7" t="str">
        <f>IFERROR(VLOOKUP(E2,'(新)ﾍﾞﾝﾀﾞｰ小型'!$A$3:$K$300,5,0), "")</f>
        <v> ＡＭＡＤＡ　ＡＭＥＲＩＣＡ　ＩＮＣ． </v>
      </c>
      <c r="E2" s="23" t="str">
        <f>'(新)ﾍﾞﾝﾀﾞｰ小型'!A3</f>
        <v> TS13329056 </v>
      </c>
      <c r="F2" s="8" t="str">
        <f>IFERROR(VLOOKUP(E2,'(新)ﾍﾞﾝﾀﾞｰ小型'!$A$3:$K$300,8,0), "")</f>
        <v>0E1859 </v>
      </c>
      <c r="G2" s="7" t="str">
        <f>IFERROR(VLOOKUP(E2,'(旧)ﾍﾞﾝﾀﾞｰ小型'!$A$3:$K$310,10,0),"")</f>
        <v>2026/08/01 </v>
      </c>
      <c r="H2" s="12" t="s">
        <v>60</v>
      </c>
      <c r="I2" s="7" t="str">
        <f>IFERROR(VLOOKUP(E2,'(新)ﾍﾞﾝﾀﾞｰ小型'!$A$3:$K$300,10,0),"")</f>
        <v>2026/08/01 </v>
      </c>
    </row>
    <row r="3" spans="1:9" s="19" customFormat="1" ht="13.8" thickBot="1" x14ac:dyDescent="0.2">
      <c r="A3" s="11">
        <v>2</v>
      </c>
      <c r="B3" s="7" t="str">
        <f>IFERROR(VLOOKUP(E3,'(新)ﾍﾞﾝﾀﾞｰ小型'!$A$3:$K$300,2,0), "")</f>
        <v>10月 </v>
      </c>
      <c r="C3" s="7" t="str">
        <f>IFERROR(VLOOKUP(E3,'(新)ﾍﾞﾝﾀﾞｰ小型'!$A$3:$K$300,4,0), "")</f>
        <v>EGB1303AE_EXP </v>
      </c>
      <c r="D3" s="7" t="str">
        <f>IFERROR(VLOOKUP(E3,'(新)ﾍﾞﾝﾀﾞｰ小型'!$A$3:$K$300,5,0), "")</f>
        <v> Ａｍａｄａ　Ｏｃｅａｎｉａ　Ｐｔｙ　Ｌｔ </v>
      </c>
      <c r="E3" s="23" t="str">
        <f>'(新)ﾍﾞﾝﾀﾞｰ小型'!A4</f>
        <v> TS13399252 </v>
      </c>
      <c r="F3" s="8" t="str">
        <f>IFERROR(VLOOKUP(E3,'(新)ﾍﾞﾝﾀﾞｰ小型'!$A$3:$K$300,8,0), "")</f>
        <v>0E1243 </v>
      </c>
      <c r="G3" s="7" t="str">
        <f>IFERROR(VLOOKUP(E3,'(旧)ﾍﾞﾝﾀﾞｰ小型'!$A$3:$K$310,10,0),"")</f>
        <v>2026/08/05 </v>
      </c>
      <c r="H3" s="12" t="s">
        <v>60</v>
      </c>
      <c r="I3" s="7" t="str">
        <f>IFERROR(VLOOKUP(E3,'(新)ﾍﾞﾝﾀﾞｰ小型'!$A$3:$K$300,10,0),"")</f>
        <v>2026/08/05 </v>
      </c>
    </row>
    <row r="4" spans="1:9" s="19" customFormat="1" ht="13.5" customHeight="1" thickBot="1" x14ac:dyDescent="0.2">
      <c r="A4" s="11">
        <v>3</v>
      </c>
      <c r="B4" s="7" t="str">
        <f>IFERROR(VLOOKUP(E4,'(新)ﾍﾞﾝﾀﾞｰ小型'!$A$3:$K$300,2,0), "")</f>
        <v>10月 </v>
      </c>
      <c r="C4" s="7" t="str">
        <f>IFERROR(VLOOKUP(E4,'(新)ﾍﾞﾝﾀﾞｰ小型'!$A$3:$K$300,4,0), "")</f>
        <v>EGB1303AE </v>
      </c>
      <c r="D4" s="7" t="str">
        <f>IFERROR(VLOOKUP(E4,'(新)ﾍﾞﾝﾀﾞｰ小型'!$A$3:$K$300,5,0), "")</f>
        <v> （株）アマダベンディングＳ部 </v>
      </c>
      <c r="E4" s="23" t="str">
        <f>'(新)ﾍﾞﾝﾀﾞｰ小型'!A5</f>
        <v> TS13399248 </v>
      </c>
      <c r="F4" s="8" t="str">
        <f>IFERROR(VLOOKUP(E4,'(新)ﾍﾞﾝﾀﾞｰ小型'!$A$3:$K$300,8,0), "")</f>
        <v>0D9621 </v>
      </c>
      <c r="G4" s="7" t="str">
        <f>IFERROR(VLOOKUP(E4,'(旧)ﾍﾞﾝﾀﾞｰ小型'!$A$3:$K$310,10,0),"")</f>
        <v>2026/08/08 </v>
      </c>
      <c r="H4" s="12" t="s">
        <v>60</v>
      </c>
      <c r="I4" s="7" t="str">
        <f>IFERROR(VLOOKUP(E4,'(新)ﾍﾞﾝﾀﾞｰ小型'!$A$3:$K$300,10,0),"")</f>
        <v>2026/08/08 </v>
      </c>
    </row>
    <row r="5" spans="1:9" s="19" customFormat="1" ht="13.5" customHeight="1" thickBot="1" x14ac:dyDescent="0.2">
      <c r="A5" s="11">
        <v>4</v>
      </c>
      <c r="B5" s="7" t="str">
        <f>IFERROR(VLOOKUP(E5,'(新)ﾍﾞﾝﾀﾞｰ小型'!$A$3:$K$300,2,0), "")</f>
        <v>10月 </v>
      </c>
      <c r="C5" s="7" t="str">
        <f>IFERROR(VLOOKUP(E5,'(新)ﾍﾞﾝﾀﾞｰ小型'!$A$3:$K$300,4,0), "")</f>
        <v>EGB6020AE_EXP </v>
      </c>
      <c r="D5" s="7" t="str">
        <f>IFERROR(VLOOKUP(E5,'(新)ﾍﾞﾝﾀﾞｰ小型'!$A$3:$K$300,5,0), "")</f>
        <v> ＡＭＡＤＡ　ＴＡＩＷＡＮ　ＩＮＣ． </v>
      </c>
      <c r="E5" s="23" t="str">
        <f>'(新)ﾍﾞﾝﾀﾞｰ小型'!A6</f>
        <v> TS60299196 </v>
      </c>
      <c r="F5" s="8" t="str">
        <f>IFERROR(VLOOKUP(E5,'(新)ﾍﾞﾝﾀﾞｰ小型'!$A$3:$K$300,8,0), "")</f>
        <v>0D8050 </v>
      </c>
      <c r="G5" s="7" t="str">
        <f>IFERROR(VLOOKUP(E5,'(旧)ﾍﾞﾝﾀﾞｰ小型'!$A$3:$K$310,10,0),"")</f>
        <v>2026/08/19 </v>
      </c>
      <c r="H5" s="12" t="s">
        <v>60</v>
      </c>
      <c r="I5" s="7" t="str">
        <f>IFERROR(VLOOKUP(E5,'(新)ﾍﾞﾝﾀﾞｰ小型'!$A$3:$K$300,10,0),"")</f>
        <v>2026/08/19 </v>
      </c>
    </row>
    <row r="6" spans="1:9" s="19" customFormat="1" ht="13.5" customHeight="1" thickBot="1" x14ac:dyDescent="0.2">
      <c r="A6" s="11">
        <v>5</v>
      </c>
      <c r="B6" s="7" t="str">
        <f>IFERROR(VLOOKUP(E6,'(新)ﾍﾞﾝﾀﾞｰ小型'!$A$3:$K$300,2,0), "")</f>
        <v>10月 </v>
      </c>
      <c r="C6" s="7" t="str">
        <f>IFERROR(VLOOKUP(E6,'(新)ﾍﾞﾝﾀﾞｰ小型'!$A$3:$K$300,4,0), "")</f>
        <v>EGB1303E </v>
      </c>
      <c r="D6" s="7" t="str">
        <f>IFERROR(VLOOKUP(E6,'(新)ﾍﾞﾝﾀﾞｰ小型'!$A$3:$K$300,5,0), "")</f>
        <v> （株）アマダベンディングＳ部 </v>
      </c>
      <c r="E6" s="23" t="str">
        <f>'(新)ﾍﾞﾝﾀﾞｰ小型'!A7</f>
        <v> TS13377312 </v>
      </c>
      <c r="F6" s="8" t="str">
        <f>IFERROR(VLOOKUP(E6,'(新)ﾍﾞﾝﾀﾞｰ小型'!$A$3:$K$300,8,0), "")</f>
        <v>0D9824 </v>
      </c>
      <c r="G6" s="7" t="str">
        <f>IFERROR(VLOOKUP(E6,'(旧)ﾍﾞﾝﾀﾞｰ小型'!$A$3:$K$310,10,0),"")</f>
        <v>2026/08/26 </v>
      </c>
      <c r="H6" s="12" t="s">
        <v>60</v>
      </c>
      <c r="I6" s="7" t="str">
        <f>IFERROR(VLOOKUP(E6,'(新)ﾍﾞﾝﾀﾞｰ小型'!$A$3:$K$300,10,0),"")</f>
        <v>2026/08/26 </v>
      </c>
    </row>
    <row r="7" spans="1:9" s="19" customFormat="1" ht="13.5" customHeight="1" thickBot="1" x14ac:dyDescent="0.2">
      <c r="A7" s="11">
        <v>6</v>
      </c>
      <c r="B7" s="7" t="str">
        <f>IFERROR(VLOOKUP(E7,'(新)ﾍﾞﾝﾀﾞｰ小型'!$A$3:$K$300,2,0), "")</f>
        <v>10月 </v>
      </c>
      <c r="C7" s="7" t="str">
        <f>IFERROR(VLOOKUP(E7,'(新)ﾍﾞﾝﾀﾞｰ小型'!$A$3:$K$300,4,0), "")</f>
        <v>EGB1303E_EXP </v>
      </c>
      <c r="D7" s="7" t="str">
        <f>IFERROR(VLOOKUP(E7,'(新)ﾍﾞﾝﾀﾞｰ小型'!$A$3:$K$300,5,0), "")</f>
        <v> ＡＭＡＤＡ　ＡＭＥＲＩＣＡ　ＩＮＣ． </v>
      </c>
      <c r="E7" s="23" t="str">
        <f>'(新)ﾍﾞﾝﾀﾞｰ小型'!A8</f>
        <v> TS13377321 </v>
      </c>
      <c r="F7" s="8" t="str">
        <f>IFERROR(VLOOKUP(E7,'(新)ﾍﾞﾝﾀﾞｰ小型'!$A$3:$K$300,8,0), "")</f>
        <v>0D9825 </v>
      </c>
      <c r="G7" s="7" t="str">
        <f>IFERROR(VLOOKUP(E7,'(旧)ﾍﾞﾝﾀﾞｰ小型'!$A$3:$K$310,10,0),"")</f>
        <v>2026/08/26 </v>
      </c>
      <c r="H7" s="12" t="s">
        <v>60</v>
      </c>
      <c r="I7" s="7" t="str">
        <f>IFERROR(VLOOKUP(E7,'(新)ﾍﾞﾝﾀﾞｰ小型'!$A$3:$K$300,10,0),"")</f>
        <v>2026/08/26 </v>
      </c>
    </row>
    <row r="8" spans="1:9" s="19" customFormat="1" ht="13.8" thickBot="1" x14ac:dyDescent="0.2">
      <c r="A8" s="11">
        <v>7</v>
      </c>
      <c r="B8" s="7" t="str">
        <f>IFERROR(VLOOKUP(E8,'(新)ﾍﾞﾝﾀﾞｰ小型'!$A$3:$K$300,2,0), "")</f>
        <v>10月 </v>
      </c>
      <c r="C8" s="7" t="str">
        <f>IFERROR(VLOOKUP(E8,'(新)ﾍﾞﾝﾀﾞｰ小型'!$A$3:$K$300,4,0), "")</f>
        <v>EGB1303E </v>
      </c>
      <c r="D8" s="7" t="str">
        <f>IFERROR(VLOOKUP(E8,'(新)ﾍﾞﾝﾀﾞｰ小型'!$A$3:$K$300,5,0), "")</f>
        <v>  </v>
      </c>
      <c r="E8" s="23" t="str">
        <f>'(新)ﾍﾞﾝﾀﾞｰ小型'!A9</f>
        <v> TS13329993 </v>
      </c>
      <c r="F8" s="8" t="str">
        <f>IFERROR(VLOOKUP(E8,'(新)ﾍﾞﾝﾀﾞｰ小型'!$A$3:$K$300,8,0), "")</f>
        <v>0F5059 </v>
      </c>
      <c r="G8" s="7" t="str">
        <f>IFERROR(VLOOKUP(E8,'(旧)ﾍﾞﾝﾀﾞｰ小型'!$A$3:$K$310,10,0),"")</f>
        <v>2026/08/27 </v>
      </c>
      <c r="H8" s="12" t="s">
        <v>60</v>
      </c>
      <c r="I8" s="7" t="str">
        <f>IFERROR(VLOOKUP(E8,'(新)ﾍﾞﾝﾀﾞｰ小型'!$A$3:$K$300,10,0),"")</f>
        <v>2026/08/27 </v>
      </c>
    </row>
    <row r="9" spans="1:9" s="19" customFormat="1" ht="13.5" customHeight="1" thickBot="1" x14ac:dyDescent="0.2">
      <c r="A9" s="11">
        <v>8</v>
      </c>
      <c r="B9" s="7" t="str">
        <f>IFERROR(VLOOKUP(E9,'(新)ﾍﾞﾝﾀﾞｰ小型'!$A$3:$K$300,2,0), "")</f>
        <v>10月 </v>
      </c>
      <c r="C9" s="7" t="str">
        <f>IFERROR(VLOOKUP(E9,'(新)ﾍﾞﾝﾀﾞｰ小型'!$A$3:$K$300,4,0), "")</f>
        <v>EGB8025E </v>
      </c>
      <c r="D9" s="7" t="str">
        <f>IFERROR(VLOOKUP(E9,'(新)ﾍﾞﾝﾀﾞｰ小型'!$A$3:$K$300,5,0), "")</f>
        <v> だいわ（株） </v>
      </c>
      <c r="E9" s="23" t="str">
        <f>'(新)ﾍﾞﾝﾀﾞｰ小型'!A10</f>
        <v> TS82577266 </v>
      </c>
      <c r="F9" s="8" t="str">
        <f>IFERROR(VLOOKUP(E9,'(新)ﾍﾞﾝﾀﾞｰ小型'!$A$3:$K$300,8,0), "")</f>
        <v>0E1240 </v>
      </c>
      <c r="G9" s="7" t="str">
        <f>IFERROR(VLOOKUP(E9,'(旧)ﾍﾞﾝﾀﾞｰ小型'!$A$3:$K$310,10,0),"")</f>
        <v>2026/08/27 </v>
      </c>
      <c r="H9" s="12" t="s">
        <v>60</v>
      </c>
      <c r="I9" s="7" t="str">
        <f>IFERROR(VLOOKUP(E9,'(新)ﾍﾞﾝﾀﾞｰ小型'!$A$3:$K$300,10,0),"")</f>
        <v>2026/08/27 </v>
      </c>
    </row>
    <row r="10" spans="1:9" s="19" customFormat="1" ht="13.5" customHeight="1" thickBot="1" x14ac:dyDescent="0.2">
      <c r="A10" s="11">
        <v>9</v>
      </c>
      <c r="B10" s="7" t="str">
        <f>IFERROR(VLOOKUP(E10,'(新)ﾍﾞﾝﾀﾞｰ小型'!$A$3:$K$300,2,0), "")</f>
        <v>10月 </v>
      </c>
      <c r="C10" s="7" t="str">
        <f>IFERROR(VLOOKUP(E10,'(新)ﾍﾞﾝﾀﾞｰ小型'!$A$3:$K$300,4,0), "")</f>
        <v>EGB1303E_EXP </v>
      </c>
      <c r="D10" s="7" t="str">
        <f>IFERROR(VLOOKUP(E10,'(新)ﾍﾞﾝﾀﾞｰ小型'!$A$3:$K$300,5,0), "")</f>
        <v> ＡＭＡＤＡ　ＡＭＥＲＩＣＡ　ＩＮＣ． </v>
      </c>
      <c r="E10" s="23" t="str">
        <f>'(新)ﾍﾞﾝﾀﾞｰ小型'!A11</f>
        <v> TS13377322 </v>
      </c>
      <c r="F10" s="8" t="str">
        <f>IFERROR(VLOOKUP(E10,'(新)ﾍﾞﾝﾀﾞｰ小型'!$A$3:$K$300,8,0), "")</f>
        <v>0D9825 </v>
      </c>
      <c r="G10" s="7" t="str">
        <f>IFERROR(VLOOKUP(E10,'(旧)ﾍﾞﾝﾀﾞｰ小型'!$A$3:$K$310,10,0),"")</f>
        <v>2026/08/27 </v>
      </c>
      <c r="H10" s="12" t="s">
        <v>60</v>
      </c>
      <c r="I10" s="7" t="str">
        <f>IFERROR(VLOOKUP(E10,'(新)ﾍﾞﾝﾀﾞｰ小型'!$A$3:$K$300,10,0),"")</f>
        <v>2026/08/27 </v>
      </c>
    </row>
    <row r="11" spans="1:9" s="19" customFormat="1" ht="13.5" customHeight="1" thickBot="1" x14ac:dyDescent="0.2">
      <c r="A11" s="11">
        <v>10</v>
      </c>
      <c r="B11" s="7" t="str">
        <f>IFERROR(VLOOKUP(E11,'(新)ﾍﾞﾝﾀﾞｰ小型'!$A$3:$K$300,2,0), "")</f>
        <v>10月 </v>
      </c>
      <c r="C11" s="7" t="str">
        <f>IFERROR(VLOOKUP(E11,'(新)ﾍﾞﾝﾀﾞｰ小型'!$A$3:$K$300,4,0), "")</f>
        <v>EGB6020AE_CE </v>
      </c>
      <c r="D11" s="7" t="str">
        <f>IFERROR(VLOOKUP(E11,'(新)ﾍﾞﾝﾀﾞｰ小型'!$A$3:$K$300,5,0), "")</f>
        <v> 【AESA】AMADA ITALIA (IT 299154) </v>
      </c>
      <c r="E11" s="23" t="str">
        <f>'(新)ﾍﾞﾝﾀﾞｰ小型'!A12</f>
        <v> TS60299201 </v>
      </c>
      <c r="F11" s="8" t="str">
        <f>IFERROR(VLOOKUP(E11,'(新)ﾍﾞﾝﾀﾞｰ小型'!$A$3:$K$300,8,0), "")</f>
        <v>0G3964 </v>
      </c>
      <c r="G11" s="7" t="str">
        <f>IFERROR(VLOOKUP(E11,'(旧)ﾍﾞﾝﾀﾞｰ小型'!$A$3:$K$310,10,0),"")</f>
        <v>2026/08/29 </v>
      </c>
      <c r="H11" s="12" t="s">
        <v>60</v>
      </c>
      <c r="I11" s="7" t="str">
        <f>IFERROR(VLOOKUP(E11,'(新)ﾍﾞﾝﾀﾞｰ小型'!$A$3:$K$300,10,0),"")</f>
        <v>2026/08/29 </v>
      </c>
    </row>
    <row r="12" spans="1:9" s="19" customFormat="1" ht="13.5" customHeight="1" thickBot="1" x14ac:dyDescent="0.2">
      <c r="A12" s="11">
        <v>11</v>
      </c>
      <c r="B12" s="7" t="str">
        <f>IFERROR(VLOOKUP(E12,'(新)ﾍﾞﾝﾀﾞｰ小型'!$A$3:$K$300,2,0), "")</f>
        <v>10月 </v>
      </c>
      <c r="C12" s="7" t="str">
        <f>IFERROR(VLOOKUP(E12,'(新)ﾍﾞﾝﾀﾞｰ小型'!$A$3:$K$300,4,0), "")</f>
        <v>EGB8025E </v>
      </c>
      <c r="D12" s="7" t="str">
        <f>IFERROR(VLOOKUP(E12,'(新)ﾍﾞﾝﾀﾞｰ小型'!$A$3:$K$300,5,0), "")</f>
        <v> （株）アマダベンディングＳ部 </v>
      </c>
      <c r="E12" s="23" t="str">
        <f>'(新)ﾍﾞﾝﾀﾞｰ小型'!A13</f>
        <v> TS82577267 </v>
      </c>
      <c r="F12" s="8" t="str">
        <f>IFERROR(VLOOKUP(E12,'(新)ﾍﾞﾝﾀﾞｰ小型'!$A$3:$K$300,8,0), "")</f>
        <v>0E1240 </v>
      </c>
      <c r="G12" s="7" t="str">
        <f>IFERROR(VLOOKUP(E12,'(旧)ﾍﾞﾝﾀﾞｰ小型'!$A$3:$K$310,10,0),"")</f>
        <v>2026/09/01 </v>
      </c>
      <c r="H12" s="12" t="s">
        <v>60</v>
      </c>
      <c r="I12" s="7" t="str">
        <f>IFERROR(VLOOKUP(E12,'(新)ﾍﾞﾝﾀﾞｰ小型'!$A$3:$K$300,10,0),"")</f>
        <v>2026/09/01 </v>
      </c>
    </row>
    <row r="13" spans="1:9" s="19" customFormat="1" ht="13.5" customHeight="1" thickBot="1" x14ac:dyDescent="0.2">
      <c r="A13" s="11">
        <v>12</v>
      </c>
      <c r="B13" s="7" t="str">
        <f>IFERROR(VLOOKUP(E13,'(新)ﾍﾞﾝﾀﾞｰ小型'!$A$3:$K$300,2,0), "")</f>
        <v>10月 </v>
      </c>
      <c r="C13" s="7" t="str">
        <f>IFERROR(VLOOKUP(E13,'(新)ﾍﾞﾝﾀﾞｰ小型'!$A$3:$K$300,4,0), "")</f>
        <v>EGB8025E </v>
      </c>
      <c r="D13" s="7" t="str">
        <f>IFERROR(VLOOKUP(E13,'(新)ﾍﾞﾝﾀﾞｰ小型'!$A$3:$K$300,5,0), "")</f>
        <v> （株）アマダベンディングＳ部 </v>
      </c>
      <c r="E13" s="23" t="str">
        <f>'(新)ﾍﾞﾝﾀﾞｰ小型'!A14</f>
        <v> TS82577270 </v>
      </c>
      <c r="F13" s="8" t="str">
        <f>IFERROR(VLOOKUP(E13,'(新)ﾍﾞﾝﾀﾞｰ小型'!$A$3:$K$300,8,0), "")</f>
        <v>0E1240 </v>
      </c>
      <c r="G13" s="7" t="str">
        <f>IFERROR(VLOOKUP(E13,'(旧)ﾍﾞﾝﾀﾞｰ小型'!$A$3:$K$310,10,0),"")</f>
        <v>2026/09/01 </v>
      </c>
      <c r="H13" s="12" t="s">
        <v>60</v>
      </c>
      <c r="I13" s="7" t="str">
        <f>IFERROR(VLOOKUP(E13,'(新)ﾍﾞﾝﾀﾞｰ小型'!$A$3:$K$300,10,0),"")</f>
        <v>2026/09/01 </v>
      </c>
    </row>
    <row r="14" spans="1:9" s="19" customFormat="1" ht="13.5" customHeight="1" thickBot="1" x14ac:dyDescent="0.2">
      <c r="A14" s="11">
        <v>13</v>
      </c>
      <c r="B14" s="7" t="str">
        <f>IFERROR(VLOOKUP(E14,'(新)ﾍﾞﾝﾀﾞｰ小型'!$A$3:$K$300,2,0), "")</f>
        <v>10月 </v>
      </c>
      <c r="C14" s="7" t="str">
        <f>IFERROR(VLOOKUP(E14,'(新)ﾍﾞﾝﾀﾞｰ小型'!$A$3:$K$300,4,0), "")</f>
        <v>EGB1303E </v>
      </c>
      <c r="D14" s="7" t="str">
        <f>IFERROR(VLOOKUP(E14,'(新)ﾍﾞﾝﾀﾞｰ小型'!$A$3:$K$300,5,0), "")</f>
        <v> （株）アマダベンディングＳ部 </v>
      </c>
      <c r="E14" s="23" t="str">
        <f>'(新)ﾍﾞﾝﾀﾞｰ小型'!A15</f>
        <v> TS13377311 </v>
      </c>
      <c r="F14" s="8" t="str">
        <f>IFERROR(VLOOKUP(E14,'(新)ﾍﾞﾝﾀﾞｰ小型'!$A$3:$K$300,8,0), "")</f>
        <v>0D9824 </v>
      </c>
      <c r="G14" s="7" t="str">
        <f>IFERROR(VLOOKUP(E14,'(旧)ﾍﾞﾝﾀﾞｰ小型'!$A$3:$K$310,10,0),"")</f>
        <v>2026/09/03 </v>
      </c>
      <c r="H14" s="12" t="s">
        <v>60</v>
      </c>
      <c r="I14" s="7" t="str">
        <f>IFERROR(VLOOKUP(E14,'(新)ﾍﾞﾝﾀﾞｰ小型'!$A$3:$K$300,10,0),"")</f>
        <v>2026/09/03 </v>
      </c>
    </row>
    <row r="15" spans="1:9" s="19" customFormat="1" ht="13.5" customHeight="1" thickBot="1" x14ac:dyDescent="0.2">
      <c r="A15" s="11">
        <v>14</v>
      </c>
      <c r="B15" s="7" t="str">
        <f>IFERROR(VLOOKUP(E15,'(新)ﾍﾞﾝﾀﾞｰ小型'!$A$3:$K$300,2,0), "")</f>
        <v>10月 </v>
      </c>
      <c r="C15" s="7" t="str">
        <f>IFERROR(VLOOKUP(E15,'(新)ﾍﾞﾝﾀﾞｰ小型'!$A$3:$K$300,4,0), "")</f>
        <v>EGB1303E </v>
      </c>
      <c r="D15" s="7" t="str">
        <f>IFERROR(VLOOKUP(E15,'(新)ﾍﾞﾝﾀﾞｰ小型'!$A$3:$K$300,5,0), "")</f>
        <v> （株）アマダベンディングＳ部 </v>
      </c>
      <c r="E15" s="23" t="str">
        <f>'(新)ﾍﾞﾝﾀﾞｰ小型'!A16</f>
        <v> TS13377315 </v>
      </c>
      <c r="F15" s="8" t="str">
        <f>IFERROR(VLOOKUP(E15,'(新)ﾍﾞﾝﾀﾞｰ小型'!$A$3:$K$300,8,0), "")</f>
        <v>0D9824 </v>
      </c>
      <c r="G15" s="7" t="str">
        <f>IFERROR(VLOOKUP(E15,'(旧)ﾍﾞﾝﾀﾞｰ小型'!$A$3:$K$310,10,0),"")</f>
        <v>2026/09/03 </v>
      </c>
      <c r="H15" s="12" t="s">
        <v>60</v>
      </c>
      <c r="I15" s="7" t="str">
        <f>IFERROR(VLOOKUP(E15,'(新)ﾍﾞﾝﾀﾞｰ小型'!$A$3:$K$300,10,0),"")</f>
        <v>2026/09/03 </v>
      </c>
    </row>
    <row r="16" spans="1:9" s="19" customFormat="1" ht="13.5" customHeight="1" thickBot="1" x14ac:dyDescent="0.2">
      <c r="A16" s="11">
        <v>15</v>
      </c>
      <c r="B16" s="7" t="str">
        <f>IFERROR(VLOOKUP(E16,'(新)ﾍﾞﾝﾀﾞｰ小型'!$A$3:$K$300,2,0), "")</f>
        <v>10月 </v>
      </c>
      <c r="C16" s="7" t="str">
        <f>IFERROR(VLOOKUP(E16,'(新)ﾍﾞﾝﾀﾞｰ小型'!$A$3:$K$300,4,0), "")</f>
        <v>EGB6020E_EXP </v>
      </c>
      <c r="D16" s="7" t="str">
        <f>IFERROR(VLOOKUP(E16,'(新)ﾍﾞﾝﾀﾞｰ小型'!$A$3:$K$300,5,0), "")</f>
        <v> ＡＭＡＤＡ　ＡＭＥＲＩＣＡ　ＩＮＣ． </v>
      </c>
      <c r="E16" s="23" t="str">
        <f>'(新)ﾍﾞﾝﾀﾞｰ小型'!A17</f>
        <v> TS62077154 </v>
      </c>
      <c r="F16" s="8" t="str">
        <f>IFERROR(VLOOKUP(E16,'(新)ﾍﾞﾝﾀﾞｰ小型'!$A$3:$K$300,8,0), "")</f>
        <v>0D7905 </v>
      </c>
      <c r="G16" s="7" t="str">
        <f>IFERROR(VLOOKUP(E16,'(旧)ﾍﾞﾝﾀﾞｰ小型'!$A$3:$K$310,10,0),"")</f>
        <v>2026/09/05 </v>
      </c>
      <c r="H16" s="12" t="s">
        <v>60</v>
      </c>
      <c r="I16" s="7" t="str">
        <f>IFERROR(VLOOKUP(E16,'(新)ﾍﾞﾝﾀﾞｰ小型'!$A$3:$K$300,10,0),"")</f>
        <v>2026/09/05 </v>
      </c>
    </row>
    <row r="17" spans="1:9" s="19" customFormat="1" ht="13.5" customHeight="1" thickBot="1" x14ac:dyDescent="0.2">
      <c r="A17" s="11">
        <v>16</v>
      </c>
      <c r="B17" s="7" t="str">
        <f>IFERROR(VLOOKUP(E17,'(新)ﾍﾞﾝﾀﾞｰ小型'!$A$3:$K$300,2,0), "")</f>
        <v>10月 </v>
      </c>
      <c r="C17" s="7" t="str">
        <f>IFERROR(VLOOKUP(E17,'(新)ﾍﾞﾝﾀﾞｰ小型'!$A$3:$K$300,4,0), "")</f>
        <v>EGB1303E_EXP </v>
      </c>
      <c r="D17" s="7" t="str">
        <f>IFERROR(VLOOKUP(E17,'(新)ﾍﾞﾝﾀﾞｰ小型'!$A$3:$K$300,5,0), "")</f>
        <v> ＡＭＡＤＡ　ＡＭＥＲＩＣＡ　ＩＮＣ． </v>
      </c>
      <c r="E17" s="23" t="str">
        <f>'(新)ﾍﾞﾝﾀﾞｰ小型'!A18</f>
        <v> TS13377323 </v>
      </c>
      <c r="F17" s="8" t="str">
        <f>IFERROR(VLOOKUP(E17,'(新)ﾍﾞﾝﾀﾞｰ小型'!$A$3:$K$300,8,0), "")</f>
        <v>0D9825 </v>
      </c>
      <c r="G17" s="7" t="str">
        <f>IFERROR(VLOOKUP(E17,'(旧)ﾍﾞﾝﾀﾞｰ小型'!$A$3:$K$310,10,0),"")</f>
        <v>2026/09/05 </v>
      </c>
      <c r="H17" s="12" t="s">
        <v>60</v>
      </c>
      <c r="I17" s="7" t="str">
        <f>IFERROR(VLOOKUP(E17,'(新)ﾍﾞﾝﾀﾞｰ小型'!$A$3:$K$300,10,0),"")</f>
        <v>2026/09/05 </v>
      </c>
    </row>
    <row r="18" spans="1:9" s="19" customFormat="1" ht="13.5" customHeight="1" thickBot="1" x14ac:dyDescent="0.2">
      <c r="A18" s="11">
        <v>17</v>
      </c>
      <c r="B18" s="7" t="str">
        <f>IFERROR(VLOOKUP(E18,'(新)ﾍﾞﾝﾀﾞｰ小型'!$A$3:$K$300,2,0), "")</f>
        <v>10月 </v>
      </c>
      <c r="C18" s="7" t="str">
        <f>IFERROR(VLOOKUP(E18,'(新)ﾍﾞﾝﾀﾞｰ小型'!$A$3:$K$300,4,0), "")</f>
        <v>EGB6020E_EXP </v>
      </c>
      <c r="D18" s="7" t="str">
        <f>IFERROR(VLOOKUP(E18,'(新)ﾍﾞﾝﾀﾞｰ小型'!$A$3:$K$300,5,0), "")</f>
        <v> ＡＭＡＤＡ　ＡＭＥＲＩＣＡ　ＩＮＣ． </v>
      </c>
      <c r="E18" s="23" t="str">
        <f>'(新)ﾍﾞﾝﾀﾞｰ小型'!A19</f>
        <v> TS62077153 </v>
      </c>
      <c r="F18" s="8" t="str">
        <f>IFERROR(VLOOKUP(E18,'(新)ﾍﾞﾝﾀﾞｰ小型'!$A$3:$K$300,8,0), "")</f>
        <v>0D7905 </v>
      </c>
      <c r="G18" s="7" t="str">
        <f>IFERROR(VLOOKUP(E18,'(旧)ﾍﾞﾝﾀﾞｰ小型'!$A$3:$K$310,10,0),"")</f>
        <v>2026/09/08 </v>
      </c>
      <c r="H18" s="12" t="s">
        <v>60</v>
      </c>
      <c r="I18" s="7" t="str">
        <f>IFERROR(VLOOKUP(E18,'(新)ﾍﾞﾝﾀﾞｰ小型'!$A$3:$K$300,10,0),"")</f>
        <v>2026/09/08 </v>
      </c>
    </row>
    <row r="19" spans="1:9" s="19" customFormat="1" ht="13.5" customHeight="1" thickBot="1" x14ac:dyDescent="0.2">
      <c r="A19" s="11">
        <v>18</v>
      </c>
      <c r="B19" s="7" t="str">
        <f>IFERROR(VLOOKUP(E19,'(新)ﾍﾞﾝﾀﾞｰ小型'!$A$3:$K$300,2,0), "")</f>
        <v>10月 </v>
      </c>
      <c r="C19" s="7" t="str">
        <f>IFERROR(VLOOKUP(E19,'(新)ﾍﾞﾝﾀﾞｰ小型'!$A$3:$K$300,4,0), "")</f>
        <v>EGB6020E_EXP </v>
      </c>
      <c r="D19" s="7" t="str">
        <f>IFERROR(VLOOKUP(E19,'(新)ﾍﾞﾝﾀﾞｰ小型'!$A$3:$K$300,5,0), "")</f>
        <v> ＡＭＡＤＡ　ＡＭＥＲＩＣＡ　ＩＮＣ． </v>
      </c>
      <c r="E19" s="23" t="str">
        <f>'(新)ﾍﾞﾝﾀﾞｰ小型'!A20</f>
        <v> TS62077155 </v>
      </c>
      <c r="F19" s="8" t="str">
        <f>IFERROR(VLOOKUP(E19,'(新)ﾍﾞﾝﾀﾞｰ小型'!$A$3:$K$300,8,0), "")</f>
        <v>0D7905 </v>
      </c>
      <c r="G19" s="7" t="str">
        <f>IFERROR(VLOOKUP(E19,'(旧)ﾍﾞﾝﾀﾞｰ小型'!$A$3:$K$310,10,0),"")</f>
        <v>2026/09/08 </v>
      </c>
      <c r="H19" s="12" t="s">
        <v>60</v>
      </c>
      <c r="I19" s="7" t="str">
        <f>IFERROR(VLOOKUP(E19,'(新)ﾍﾞﾝﾀﾞｰ小型'!$A$3:$K$300,10,0),"")</f>
        <v>2026/09/08 </v>
      </c>
    </row>
    <row r="20" spans="1:9" s="19" customFormat="1" ht="13.5" customHeight="1" thickBot="1" x14ac:dyDescent="0.2">
      <c r="A20" s="11">
        <v>19</v>
      </c>
      <c r="B20" s="7" t="str">
        <f>IFERROR(VLOOKUP(E20,'(新)ﾍﾞﾝﾀﾞｰ小型'!$A$3:$K$300,2,0), "")</f>
        <v>10月 </v>
      </c>
      <c r="C20" s="7" t="str">
        <f>IFERROR(VLOOKUP(E20,'(新)ﾍﾞﾝﾀﾞｰ小型'!$A$3:$K$300,4,0), "")</f>
        <v>EGB8025E_EXP </v>
      </c>
      <c r="D20" s="7" t="str">
        <f>IFERROR(VLOOKUP(E20,'(新)ﾍﾞﾝﾀﾞｰ小型'!$A$3:$K$300,5,0), "")</f>
        <v> ＡＭＡＤＡ　ＡＭＥＲＩＣＡ　ＩＮＣ． </v>
      </c>
      <c r="E20" s="23" t="str">
        <f>'(新)ﾍﾞﾝﾀﾞｰ小型'!A21</f>
        <v> TS82577276 </v>
      </c>
      <c r="F20" s="8" t="str">
        <f>IFERROR(VLOOKUP(E20,'(新)ﾍﾞﾝﾀﾞｰ小型'!$A$3:$K$300,8,0), "")</f>
        <v>0E1858 </v>
      </c>
      <c r="G20" s="7" t="str">
        <f>IFERROR(VLOOKUP(E20,'(旧)ﾍﾞﾝﾀﾞｰ小型'!$A$3:$K$310,10,0),"")</f>
        <v>2026/09/09 </v>
      </c>
      <c r="H20" s="12" t="s">
        <v>60</v>
      </c>
      <c r="I20" s="7" t="str">
        <f>IFERROR(VLOOKUP(E20,'(新)ﾍﾞﾝﾀﾞｰ小型'!$A$3:$K$300,10,0),"")</f>
        <v>2026/09/09 </v>
      </c>
    </row>
    <row r="21" spans="1:9" s="19" customFormat="1" ht="13.5" customHeight="1" thickBot="1" x14ac:dyDescent="0.2">
      <c r="A21" s="11">
        <v>20</v>
      </c>
      <c r="B21" s="7" t="str">
        <f>IFERROR(VLOOKUP(E21,'(新)ﾍﾞﾝﾀﾞｰ小型'!$A$3:$K$300,2,0), "")</f>
        <v>10月 </v>
      </c>
      <c r="C21" s="7" t="str">
        <f>IFERROR(VLOOKUP(E21,'(新)ﾍﾞﾝﾀﾞｰ小型'!$A$3:$K$300,4,0), "")</f>
        <v>EGB8025E_EXP </v>
      </c>
      <c r="D21" s="7" t="str">
        <f>IFERROR(VLOOKUP(E21,'(新)ﾍﾞﾝﾀﾞｰ小型'!$A$3:$K$300,5,0), "")</f>
        <v> ＡＭＡＤＡ　ＴＡＩＷＡＮ　ＩＮＣ． </v>
      </c>
      <c r="E21" s="23" t="str">
        <f>'(新)ﾍﾞﾝﾀﾞｰ小型'!A22</f>
        <v> TS82577279 </v>
      </c>
      <c r="F21" s="8" t="str">
        <f>IFERROR(VLOOKUP(E21,'(新)ﾍﾞﾝﾀﾞｰ小型'!$A$3:$K$300,8,0), "")</f>
        <v>0E1858 </v>
      </c>
      <c r="G21" s="7" t="str">
        <f>IFERROR(VLOOKUP(E21,'(旧)ﾍﾞﾝﾀﾞｰ小型'!$A$3:$K$310,10,0),"")</f>
        <v>2026/09/09 </v>
      </c>
      <c r="H21" s="12" t="s">
        <v>60</v>
      </c>
      <c r="I21" s="7" t="str">
        <f>IFERROR(VLOOKUP(E21,'(新)ﾍﾞﾝﾀﾞｰ小型'!$A$3:$K$300,10,0),"")</f>
        <v>2026/09/09 </v>
      </c>
    </row>
    <row r="22" spans="1:9" s="19" customFormat="1" ht="13.5" customHeight="1" thickBot="1" x14ac:dyDescent="0.2">
      <c r="A22" s="11">
        <v>21</v>
      </c>
      <c r="B22" s="7" t="str">
        <f>IFERROR(VLOOKUP(E22,'(新)ﾍﾞﾝﾀﾞｰ小型'!$A$3:$K$300,2,0), "")</f>
        <v>10月 </v>
      </c>
      <c r="C22" s="7" t="str">
        <f>IFERROR(VLOOKUP(E22,'(新)ﾍﾞﾝﾀﾞｰ小型'!$A$3:$K$300,4,0), "")</f>
        <v>EGB1303E_EXP </v>
      </c>
      <c r="D22" s="7" t="str">
        <f>IFERROR(VLOOKUP(E22,'(新)ﾍﾞﾝﾀﾞｰ小型'!$A$3:$K$300,5,0), "")</f>
        <v> 【ベトナム】Thu？n Nhat </v>
      </c>
      <c r="E22" s="23" t="str">
        <f>'(新)ﾍﾞﾝﾀﾞｰ小型'!A23</f>
        <v> TS13377327 </v>
      </c>
      <c r="F22" s="8" t="str">
        <f>IFERROR(VLOOKUP(E22,'(新)ﾍﾞﾝﾀﾞｰ小型'!$A$3:$K$300,8,0), "")</f>
        <v>0D9825 </v>
      </c>
      <c r="G22" s="7" t="str">
        <f>IFERROR(VLOOKUP(E22,'(旧)ﾍﾞﾝﾀﾞｰ小型'!$A$3:$K$310,10,0),"")</f>
        <v>2026/09/12 </v>
      </c>
      <c r="H22" s="12" t="s">
        <v>60</v>
      </c>
      <c r="I22" s="7" t="str">
        <f>IFERROR(VLOOKUP(E22,'(新)ﾍﾞﾝﾀﾞｰ小型'!$A$3:$K$300,10,0),"")</f>
        <v>2026/09/12 </v>
      </c>
    </row>
    <row r="23" spans="1:9" s="19" customFormat="1" ht="13.5" customHeight="1" thickBot="1" x14ac:dyDescent="0.2">
      <c r="A23" s="11">
        <v>22</v>
      </c>
      <c r="B23" s="7" t="str">
        <f>IFERROR(VLOOKUP(E23,'(新)ﾍﾞﾝﾀﾞｰ小型'!$A$3:$K$300,2,0), "")</f>
        <v>10月 </v>
      </c>
      <c r="C23" s="7" t="str">
        <f>IFERROR(VLOOKUP(E23,'(新)ﾍﾞﾝﾀﾞｰ小型'!$A$3:$K$300,4,0), "")</f>
        <v>EGB6020E_EXP </v>
      </c>
      <c r="D23" s="7" t="str">
        <f>IFERROR(VLOOKUP(E23,'(新)ﾍﾞﾝﾀﾞｰ小型'!$A$3:$K$300,5,0), "")</f>
        <v> ＡＭＡＤＡ　ＡＭＥＲＩＣＡ　ＩＮＣ． </v>
      </c>
      <c r="E23" s="23" t="str">
        <f>'(新)ﾍﾞﾝﾀﾞｰ小型'!A24</f>
        <v> TS62077156 </v>
      </c>
      <c r="F23" s="8" t="str">
        <f>IFERROR(VLOOKUP(E23,'(新)ﾍﾞﾝﾀﾞｰ小型'!$A$3:$K$300,8,0), "")</f>
        <v>0D7905 </v>
      </c>
      <c r="G23" s="7" t="str">
        <f>IFERROR(VLOOKUP(E23,'(旧)ﾍﾞﾝﾀﾞｰ小型'!$A$3:$K$310,10,0),"")</f>
        <v>2026/09/12 </v>
      </c>
      <c r="H23" s="12" t="s">
        <v>60</v>
      </c>
      <c r="I23" s="7" t="str">
        <f>IFERROR(VLOOKUP(E23,'(新)ﾍﾞﾝﾀﾞｰ小型'!$A$3:$K$300,10,0),"")</f>
        <v>2026/09/12 </v>
      </c>
    </row>
    <row r="24" spans="1:9" s="19" customFormat="1" ht="13.5" customHeight="1" thickBot="1" x14ac:dyDescent="0.2">
      <c r="A24" s="11">
        <v>23</v>
      </c>
      <c r="B24" s="7" t="str">
        <f>IFERROR(VLOOKUP(E24,'(新)ﾍﾞﾝﾀﾞｰ小型'!$A$3:$K$300,2,0), "")</f>
        <v>10月 </v>
      </c>
      <c r="C24" s="7" t="str">
        <f>IFERROR(VLOOKUP(E24,'(新)ﾍﾞﾝﾀﾞｰ小型'!$A$3:$K$300,4,0), "")</f>
        <v>EGB1303E </v>
      </c>
      <c r="D24" s="7" t="str">
        <f>IFERROR(VLOOKUP(E24,'(新)ﾍﾞﾝﾀﾞｰ小型'!$A$3:$K$300,5,0), "")</f>
        <v> （株）新興産業 </v>
      </c>
      <c r="E24" s="23" t="str">
        <f>'(新)ﾍﾞﾝﾀﾞｰ小型'!A25</f>
        <v> TS13377336 </v>
      </c>
      <c r="F24" s="8" t="str">
        <f>IFERROR(VLOOKUP(E24,'(新)ﾍﾞﾝﾀﾞｰ小型'!$A$3:$K$300,8,0), "")</f>
        <v>0D9824 </v>
      </c>
      <c r="G24" s="7" t="str">
        <f>IFERROR(VLOOKUP(E24,'(旧)ﾍﾞﾝﾀﾞｰ小型'!$A$3:$K$310,10,0),"")</f>
        <v>2026/09/16 </v>
      </c>
      <c r="H24" s="12" t="s">
        <v>60</v>
      </c>
      <c r="I24" s="7" t="str">
        <f>IFERROR(VLOOKUP(E24,'(新)ﾍﾞﾝﾀﾞｰ小型'!$A$3:$K$300,10,0),"")</f>
        <v>2026/09/16 </v>
      </c>
    </row>
    <row r="25" spans="1:9" s="19" customFormat="1" ht="13.5" customHeight="1" thickBot="1" x14ac:dyDescent="0.2">
      <c r="A25" s="11">
        <v>24</v>
      </c>
      <c r="B25" s="7" t="str">
        <f>IFERROR(VLOOKUP(E25,'(新)ﾍﾞﾝﾀﾞｰ小型'!$A$3:$K$300,2,0), "")</f>
        <v>10月 </v>
      </c>
      <c r="C25" s="7" t="str">
        <f>IFERROR(VLOOKUP(E25,'(新)ﾍﾞﾝﾀﾞｰ小型'!$A$3:$K$300,4,0), "")</f>
        <v>EGB6020AE </v>
      </c>
      <c r="D25" s="7" t="str">
        <f>IFERROR(VLOOKUP(E25,'(新)ﾍﾞﾝﾀﾞｰ小型'!$A$3:$K$300,5,0), "")</f>
        <v> （株）アマダベンディングＳ部 </v>
      </c>
      <c r="E25" s="23" t="str">
        <f>'(新)ﾍﾞﾝﾀﾞｰ小型'!A26</f>
        <v> TS60299199 </v>
      </c>
      <c r="F25" s="8" t="str">
        <f>IFERROR(VLOOKUP(E25,'(新)ﾍﾞﾝﾀﾞｰ小型'!$A$3:$K$300,8,0), "")</f>
        <v>0D7904 </v>
      </c>
      <c r="G25" s="7" t="str">
        <f>IFERROR(VLOOKUP(E25,'(旧)ﾍﾞﾝﾀﾞｰ小型'!$A$3:$K$310,10,0),"")</f>
        <v>2026/09/16 </v>
      </c>
      <c r="H25" s="12" t="s">
        <v>60</v>
      </c>
      <c r="I25" s="7" t="str">
        <f>IFERROR(VLOOKUP(E25,'(新)ﾍﾞﾝﾀﾞｰ小型'!$A$3:$K$300,10,0),"")</f>
        <v>2026/09/16 </v>
      </c>
    </row>
    <row r="26" spans="1:9" s="19" customFormat="1" ht="13.5" customHeight="1" thickBot="1" x14ac:dyDescent="0.2">
      <c r="A26" s="11">
        <v>25</v>
      </c>
      <c r="B26" s="7" t="str">
        <f>IFERROR(VLOOKUP(E26,'(新)ﾍﾞﾝﾀﾞｰ小型'!$A$3:$K$300,2,0), "")</f>
        <v>10月 </v>
      </c>
      <c r="C26" s="7" t="str">
        <f>IFERROR(VLOOKUP(E26,'(新)ﾍﾞﾝﾀﾞｰ小型'!$A$3:$K$300,4,0), "")</f>
        <v>EGB1303E_EXP </v>
      </c>
      <c r="D26" s="7" t="str">
        <f>IFERROR(VLOOKUP(E26,'(新)ﾍﾞﾝﾀﾞｰ小型'!$A$3:$K$300,5,0), "")</f>
        <v> 【インド】AEROTYNE INDUSTRY PVT LTD. </v>
      </c>
      <c r="E26" s="23" t="str">
        <f>'(新)ﾍﾞﾝﾀﾞｰ小型'!A27</f>
        <v> TS13377331 </v>
      </c>
      <c r="F26" s="8" t="str">
        <f>IFERROR(VLOOKUP(E26,'(新)ﾍﾞﾝﾀﾞｰ小型'!$A$3:$K$300,8,0), "")</f>
        <v>0D9825 </v>
      </c>
      <c r="G26" s="7" t="str">
        <f>IFERROR(VLOOKUP(E26,'(旧)ﾍﾞﾝﾀﾞｰ小型'!$A$3:$K$310,10,0),"")</f>
        <v>2026/09/16 </v>
      </c>
      <c r="H26" s="12" t="s">
        <v>60</v>
      </c>
      <c r="I26" s="7" t="str">
        <f>IFERROR(VLOOKUP(E26,'(新)ﾍﾞﾝﾀﾞｰ小型'!$A$3:$K$300,10,0),"")</f>
        <v>2026/09/16 </v>
      </c>
    </row>
    <row r="27" spans="1:9" s="19" customFormat="1" ht="13.5" customHeight="1" thickBot="1" x14ac:dyDescent="0.2">
      <c r="A27" s="11">
        <v>26</v>
      </c>
      <c r="B27" s="7" t="str">
        <f>IFERROR(VLOOKUP(E27,'(新)ﾍﾞﾝﾀﾞｰ小型'!$A$3:$K$300,2,0), "")</f>
        <v>10月 </v>
      </c>
      <c r="C27" s="7" t="str">
        <f>IFERROR(VLOOKUP(E27,'(新)ﾍﾞﾝﾀﾞｰ小型'!$A$3:$K$300,4,0), "")</f>
        <v>EGB1303E </v>
      </c>
      <c r="D27" s="7" t="str">
        <f>IFERROR(VLOOKUP(E27,'(新)ﾍﾞﾝﾀﾞｰ小型'!$A$3:$K$300,5,0), "")</f>
        <v> （株）アマダベンディングＳ部 </v>
      </c>
      <c r="E27" s="23" t="str">
        <f>'(新)ﾍﾞﾝﾀﾞｰ小型'!A28</f>
        <v> TS13377328 </v>
      </c>
      <c r="F27" s="8" t="str">
        <f>IFERROR(VLOOKUP(E27,'(新)ﾍﾞﾝﾀﾞｰ小型'!$A$3:$K$300,8,0), "")</f>
        <v>0D9824 </v>
      </c>
      <c r="G27" s="7" t="str">
        <f>IFERROR(VLOOKUP(E27,'(旧)ﾍﾞﾝﾀﾞｰ小型'!$A$3:$K$310,10,0),"")</f>
        <v>2026/09/17 </v>
      </c>
      <c r="H27" s="12" t="s">
        <v>60</v>
      </c>
      <c r="I27" s="7" t="str">
        <f>IFERROR(VLOOKUP(E27,'(新)ﾍﾞﾝﾀﾞｰ小型'!$A$3:$K$300,10,0),"")</f>
        <v>2026/09/17 </v>
      </c>
    </row>
    <row r="28" spans="1:9" s="19" customFormat="1" ht="13.5" customHeight="1" thickBot="1" x14ac:dyDescent="0.2">
      <c r="A28" s="11">
        <v>27</v>
      </c>
      <c r="B28" s="7" t="str">
        <f>IFERROR(VLOOKUP(E28,'(新)ﾍﾞﾝﾀﾞｰ小型'!$A$3:$K$300,2,0), "")</f>
        <v>10月 </v>
      </c>
      <c r="C28" s="7" t="str">
        <f>IFERROR(VLOOKUP(E28,'(新)ﾍﾞﾝﾀﾞｰ小型'!$A$3:$K$300,4,0), "")</f>
        <v>EGB8025E_EXP </v>
      </c>
      <c r="D28" s="7" t="str">
        <f>IFERROR(VLOOKUP(E28,'(新)ﾍﾞﾝﾀﾞｰ小型'!$A$3:$K$300,5,0), "")</f>
        <v> ＡＭＡＤＡ　ＡＭＥＲＩＣＡ　ＩＮＣ． </v>
      </c>
      <c r="E28" s="23" t="str">
        <f>'(新)ﾍﾞﾝﾀﾞｰ小型'!A29</f>
        <v> TS82577283 </v>
      </c>
      <c r="F28" s="8" t="str">
        <f>IFERROR(VLOOKUP(E28,'(新)ﾍﾞﾝﾀﾞｰ小型'!$A$3:$K$300,8,0), "")</f>
        <v>0E1858 </v>
      </c>
      <c r="G28" s="7" t="str">
        <f>IFERROR(VLOOKUP(E28,'(旧)ﾍﾞﾝﾀﾞｰ小型'!$A$3:$K$310,10,0),"")</f>
        <v>2026/09/17 </v>
      </c>
      <c r="H28" s="12" t="s">
        <v>60</v>
      </c>
      <c r="I28" s="7" t="str">
        <f>IFERROR(VLOOKUP(E28,'(新)ﾍﾞﾝﾀﾞｰ小型'!$A$3:$K$300,10,0),"")</f>
        <v>2026/09/17 </v>
      </c>
    </row>
    <row r="29" spans="1:9" s="19" customFormat="1" ht="13.5" customHeight="1" thickBot="1" x14ac:dyDescent="0.2">
      <c r="A29" s="11">
        <v>28</v>
      </c>
      <c r="B29" s="7" t="str">
        <f>IFERROR(VLOOKUP(E29,'(新)ﾍﾞﾝﾀﾞｰ小型'!$A$3:$K$300,2,0), "")</f>
        <v>10月 </v>
      </c>
      <c r="C29" s="7" t="str">
        <f>IFERROR(VLOOKUP(E29,'(新)ﾍﾞﾝﾀﾞｰ小型'!$A$3:$K$300,4,0), "")</f>
        <v>EGB6020AE_EXP </v>
      </c>
      <c r="D29" s="7" t="str">
        <f>IFERROR(VLOOKUP(E29,'(新)ﾍﾞﾝﾀﾞｰ小型'!$A$3:$K$300,5,0), "")</f>
        <v> ＡＭＡＤＡ　ＣＡＮＡＤＡ　ＬＴＤ． </v>
      </c>
      <c r="E29" s="23" t="str">
        <f>'(新)ﾍﾞﾝﾀﾞｰ小型'!A30</f>
        <v> TS60299191 </v>
      </c>
      <c r="F29" s="8" t="str">
        <f>IFERROR(VLOOKUP(E29,'(新)ﾍﾞﾝﾀﾞｰ小型'!$A$3:$K$300,8,0), "")</f>
        <v>0D8050 </v>
      </c>
      <c r="G29" s="7" t="str">
        <f>IFERROR(VLOOKUP(E29,'(旧)ﾍﾞﾝﾀﾞｰ小型'!$A$3:$K$310,10,0),"")</f>
        <v>2026/09/17 </v>
      </c>
      <c r="H29" s="12" t="s">
        <v>60</v>
      </c>
      <c r="I29" s="7" t="str">
        <f>IFERROR(VLOOKUP(E29,'(新)ﾍﾞﾝﾀﾞｰ小型'!$A$3:$K$300,10,0),"")</f>
        <v>2026/09/17 </v>
      </c>
    </row>
    <row r="30" spans="1:9" s="19" customFormat="1" ht="13.5" customHeight="1" thickBot="1" x14ac:dyDescent="0.2">
      <c r="A30" s="11">
        <v>29</v>
      </c>
      <c r="B30" s="7" t="str">
        <f>IFERROR(VLOOKUP(E30,'(新)ﾍﾞﾝﾀﾞｰ小型'!$A$3:$K$300,2,0), "")</f>
        <v>10月 </v>
      </c>
      <c r="C30" s="7" t="str">
        <f>IFERROR(VLOOKUP(E30,'(新)ﾍﾞﾝﾀﾞｰ小型'!$A$3:$K$300,4,0), "")</f>
        <v>EGB6020AE </v>
      </c>
      <c r="D30" s="7" t="str">
        <f>IFERROR(VLOOKUP(E30,'(新)ﾍﾞﾝﾀﾞｰ小型'!$A$3:$K$300,5,0), "")</f>
        <v> 関東精工（株） </v>
      </c>
      <c r="E30" s="23" t="str">
        <f>'(新)ﾍﾞﾝﾀﾞｰ小型'!A31</f>
        <v> TS60299200 </v>
      </c>
      <c r="F30" s="8" t="str">
        <f>IFERROR(VLOOKUP(E30,'(新)ﾍﾞﾝﾀﾞｰ小型'!$A$3:$K$300,8,0), "")</f>
        <v>0D7904 </v>
      </c>
      <c r="G30" s="7" t="str">
        <f>IFERROR(VLOOKUP(E30,'(旧)ﾍﾞﾝﾀﾞｰ小型'!$A$3:$K$310,10,0),"")</f>
        <v>2026/09/18 </v>
      </c>
      <c r="H30" s="12" t="s">
        <v>60</v>
      </c>
      <c r="I30" s="7" t="str">
        <f>IFERROR(VLOOKUP(E30,'(新)ﾍﾞﾝﾀﾞｰ小型'!$A$3:$K$300,10,0),"")</f>
        <v>2026/09/18 </v>
      </c>
    </row>
    <row r="31" spans="1:9" s="19" customFormat="1" ht="13.5" customHeight="1" thickBot="1" x14ac:dyDescent="0.2">
      <c r="A31" s="11">
        <v>30</v>
      </c>
      <c r="B31" s="7" t="str">
        <f>IFERROR(VLOOKUP(E31,'(新)ﾍﾞﾝﾀﾞｰ小型'!$A$3:$K$300,2,0), "")</f>
        <v>10月 </v>
      </c>
      <c r="C31" s="7" t="str">
        <f>IFERROR(VLOOKUP(E31,'(新)ﾍﾞﾝﾀﾞｰ小型'!$A$3:$K$300,4,0), "")</f>
        <v>EGB1303E_EXP </v>
      </c>
      <c r="D31" s="7" t="str">
        <f>IFERROR(VLOOKUP(E31,'(新)ﾍﾞﾝﾀﾞｰ小型'!$A$3:$K$300,5,0), "")</f>
        <v> 【タイ】Taiwan Metal Precision(Thailand) </v>
      </c>
      <c r="E31" s="23" t="str">
        <f>'(新)ﾍﾞﾝﾀﾞｰ小型'!A32</f>
        <v> TS13377330 </v>
      </c>
      <c r="F31" s="8" t="str">
        <f>IFERROR(VLOOKUP(E31,'(新)ﾍﾞﾝﾀﾞｰ小型'!$A$3:$K$300,8,0), "")</f>
        <v>0D9825 </v>
      </c>
      <c r="G31" s="7" t="str">
        <f>IFERROR(VLOOKUP(E31,'(旧)ﾍﾞﾝﾀﾞｰ小型'!$A$3:$K$310,10,0),"")</f>
        <v>2026/09/18 </v>
      </c>
      <c r="H31" s="12" t="s">
        <v>60</v>
      </c>
      <c r="I31" s="7" t="str">
        <f>IFERROR(VLOOKUP(E31,'(新)ﾍﾞﾝﾀﾞｰ小型'!$A$3:$K$300,10,0),"")</f>
        <v>2026/09/18 </v>
      </c>
    </row>
    <row r="32" spans="1:9" s="19" customFormat="1" ht="13.5" customHeight="1" thickBot="1" x14ac:dyDescent="0.2">
      <c r="A32" s="11">
        <v>31</v>
      </c>
      <c r="B32" s="7" t="str">
        <f>IFERROR(VLOOKUP(E32,'(新)ﾍﾞﾝﾀﾞｰ小型'!$A$3:$K$300,2,0), "")</f>
        <v>10月 </v>
      </c>
      <c r="C32" s="7" t="str">
        <f>IFERROR(VLOOKUP(E32,'(新)ﾍﾞﾝﾀﾞｰ小型'!$A$3:$K$300,4,0), "")</f>
        <v>EGB1303E_EXP </v>
      </c>
      <c r="D32" s="7" t="str">
        <f>IFERROR(VLOOKUP(E32,'(新)ﾍﾞﾝﾀﾞｰ小型'!$A$3:$K$300,5,0), "")</f>
        <v> ＡＭＡＤＡ　ＣＡＮＡＤＡ　ＬＴＤ． </v>
      </c>
      <c r="E32" s="23" t="str">
        <f>'(新)ﾍﾞﾝﾀﾞｰ小型'!A33</f>
        <v> TS13377332 </v>
      </c>
      <c r="F32" s="8" t="str">
        <f>IFERROR(VLOOKUP(E32,'(新)ﾍﾞﾝﾀﾞｰ小型'!$A$3:$K$300,8,0), "")</f>
        <v>0D9825 </v>
      </c>
      <c r="G32" s="7" t="str">
        <f>IFERROR(VLOOKUP(E32,'(旧)ﾍﾞﾝﾀﾞｰ小型'!$A$3:$K$310,10,0),"")</f>
        <v>2026/09/18 </v>
      </c>
      <c r="H32" s="12" t="s">
        <v>60</v>
      </c>
      <c r="I32" s="7" t="str">
        <f>IFERROR(VLOOKUP(E32,'(新)ﾍﾞﾝﾀﾞｰ小型'!$A$3:$K$300,10,0),"")</f>
        <v>2026/09/18 </v>
      </c>
    </row>
    <row r="33" spans="1:9" s="19" customFormat="1" ht="13.5" customHeight="1" thickBot="1" x14ac:dyDescent="0.2">
      <c r="A33" s="11">
        <v>32</v>
      </c>
      <c r="B33" s="7" t="str">
        <f>IFERROR(VLOOKUP(E33,'(新)ﾍﾞﾝﾀﾞｰ小型'!$A$3:$K$300,2,0), "")</f>
        <v>10月 </v>
      </c>
      <c r="C33" s="7" t="str">
        <f>IFERROR(VLOOKUP(E33,'(新)ﾍﾞﾝﾀﾞｰ小型'!$A$3:$K$300,4,0), "")</f>
        <v>EGB1303AE </v>
      </c>
      <c r="D33" s="7" t="str">
        <f>IFERROR(VLOOKUP(E33,'(新)ﾍﾞﾝﾀﾞｰ小型'!$A$3:$K$300,5,0), "")</f>
        <v> （株）アマダベンディングＳ部 </v>
      </c>
      <c r="E33" s="23" t="str">
        <f>'(新)ﾍﾞﾝﾀﾞｰ小型'!A34</f>
        <v> TS13399260 </v>
      </c>
      <c r="F33" s="8" t="str">
        <f>IFERROR(VLOOKUP(E33,'(新)ﾍﾞﾝﾀﾞｰ小型'!$A$3:$K$300,8,0), "")</f>
        <v>0D9621 </v>
      </c>
      <c r="G33" s="7" t="str">
        <f>IFERROR(VLOOKUP(E33,'(旧)ﾍﾞﾝﾀﾞｰ小型'!$A$3:$K$310,10,0),"")</f>
        <v>2026/09/19 </v>
      </c>
      <c r="H33" s="12" t="s">
        <v>60</v>
      </c>
      <c r="I33" s="7" t="str">
        <f>IFERROR(VLOOKUP(E33,'(新)ﾍﾞﾝﾀﾞｰ小型'!$A$3:$K$300,10,0),"")</f>
        <v>2026/09/19 </v>
      </c>
    </row>
    <row r="34" spans="1:9" s="19" customFormat="1" ht="13.5" customHeight="1" thickBot="1" x14ac:dyDescent="0.2">
      <c r="A34" s="11">
        <v>33</v>
      </c>
      <c r="B34" s="7" t="str">
        <f>IFERROR(VLOOKUP(E34,'(新)ﾍﾞﾝﾀﾞｰ小型'!$A$3:$K$300,2,0), "")</f>
        <v>10月 </v>
      </c>
      <c r="C34" s="7" t="str">
        <f>IFERROR(VLOOKUP(E34,'(新)ﾍﾞﾝﾀﾞｰ小型'!$A$3:$K$300,4,0), "")</f>
        <v>EGB8025E </v>
      </c>
      <c r="D34" s="7" t="str">
        <f>IFERROR(VLOOKUP(E34,'(新)ﾍﾞﾝﾀﾞｰ小型'!$A$3:$K$300,5,0), "")</f>
        <v> フクシマガリレイ（株） </v>
      </c>
      <c r="E34" s="23" t="str">
        <f>'(新)ﾍﾞﾝﾀﾞｰ小型'!A35</f>
        <v> TS82577288 </v>
      </c>
      <c r="F34" s="8" t="str">
        <f>IFERROR(VLOOKUP(E34,'(新)ﾍﾞﾝﾀﾞｰ小型'!$A$3:$K$300,8,0), "")</f>
        <v>0E1240 </v>
      </c>
      <c r="G34" s="7" t="str">
        <f>IFERROR(VLOOKUP(E34,'(旧)ﾍﾞﾝﾀﾞｰ小型'!$A$3:$K$310,10,0),"")</f>
        <v>2026/09/19 </v>
      </c>
      <c r="H34" s="12" t="s">
        <v>60</v>
      </c>
      <c r="I34" s="7" t="str">
        <f>IFERROR(VLOOKUP(E34,'(新)ﾍﾞﾝﾀﾞｰ小型'!$A$3:$K$300,10,0),"")</f>
        <v>2026/09/19 </v>
      </c>
    </row>
    <row r="35" spans="1:9" s="19" customFormat="1" ht="13.8" thickBot="1" x14ac:dyDescent="0.2">
      <c r="A35" s="11">
        <v>34</v>
      </c>
      <c r="B35" s="7" t="str">
        <f>IFERROR(VLOOKUP(E35,'(新)ﾍﾞﾝﾀﾞｰ小型'!$A$3:$K$300,2,0), "")</f>
        <v>10月 </v>
      </c>
      <c r="C35" s="7" t="str">
        <f>IFERROR(VLOOKUP(E35,'(新)ﾍﾞﾝﾀﾞｰ小型'!$A$3:$K$300,4,0), "")</f>
        <v>EGB6020E_EXP </v>
      </c>
      <c r="D35" s="7" t="str">
        <f>IFERROR(VLOOKUP(E35,'(新)ﾍﾞﾝﾀﾞｰ小型'!$A$3:$K$300,5,0), "")</f>
        <v> ＡＭＡＤＡ　ＣＡＮＡＤＡ　ＬＴＤ． </v>
      </c>
      <c r="E35" s="23" t="str">
        <f>'(新)ﾍﾞﾝﾀﾞｰ小型'!A36</f>
        <v> TS62077157 </v>
      </c>
      <c r="F35" s="8" t="str">
        <f>IFERROR(VLOOKUP(E35,'(新)ﾍﾞﾝﾀﾞｰ小型'!$A$3:$K$300,8,0), "")</f>
        <v>0D7905 </v>
      </c>
      <c r="G35" s="7" t="str">
        <f>IFERROR(VLOOKUP(E35,'(旧)ﾍﾞﾝﾀﾞｰ小型'!$A$3:$K$310,10,0),"")</f>
        <v>2026/09/19 </v>
      </c>
      <c r="H35" s="12" t="s">
        <v>60</v>
      </c>
      <c r="I35" s="7" t="str">
        <f>IFERROR(VLOOKUP(E35,'(新)ﾍﾞﾝﾀﾞｰ小型'!$A$3:$K$300,10,0),"")</f>
        <v>2026/09/19 </v>
      </c>
    </row>
    <row r="36" spans="1:9" s="19" customFormat="1" ht="13.5" customHeight="1" thickBot="1" x14ac:dyDescent="0.2">
      <c r="A36" s="11">
        <v>35</v>
      </c>
      <c r="B36" s="7" t="str">
        <f>IFERROR(VLOOKUP(E36,'(新)ﾍﾞﾝﾀﾞｰ小型'!$A$3:$K$300,2,0), "")</f>
        <v>10月 </v>
      </c>
      <c r="C36" s="7" t="str">
        <f>IFERROR(VLOOKUP(E36,'(新)ﾍﾞﾝﾀﾞｰ小型'!$A$3:$K$300,4,0), "")</f>
        <v>EGB1303E </v>
      </c>
      <c r="D36" s="7" t="str">
        <f>IFERROR(VLOOKUP(E36,'(新)ﾍﾞﾝﾀﾞｰ小型'!$A$3:$K$300,5,0), "")</f>
        <v> 文化シヤッター（株） </v>
      </c>
      <c r="E36" s="23" t="str">
        <f>'(新)ﾍﾞﾝﾀﾞｰ小型'!A37</f>
        <v> TS13377326 </v>
      </c>
      <c r="F36" s="8" t="str">
        <f>IFERROR(VLOOKUP(E36,'(新)ﾍﾞﾝﾀﾞｰ小型'!$A$3:$K$300,8,0), "")</f>
        <v>0D9824 </v>
      </c>
      <c r="G36" s="7" t="str">
        <f>IFERROR(VLOOKUP(E36,'(旧)ﾍﾞﾝﾀﾞｰ小型'!$A$3:$K$310,10,0),"")</f>
        <v>2026/09/24 </v>
      </c>
      <c r="H36" s="12" t="s">
        <v>60</v>
      </c>
      <c r="I36" s="7" t="str">
        <f>IFERROR(VLOOKUP(E36,'(新)ﾍﾞﾝﾀﾞｰ小型'!$A$3:$K$300,10,0),"")</f>
        <v>2026/09/24 </v>
      </c>
    </row>
    <row r="37" spans="1:9" s="19" customFormat="1" ht="13.5" customHeight="1" thickBot="1" x14ac:dyDescent="0.2">
      <c r="A37" s="11">
        <v>36</v>
      </c>
      <c r="B37" s="7" t="str">
        <f>IFERROR(VLOOKUP(E37,'(新)ﾍﾞﾝﾀﾞｰ小型'!$A$3:$K$300,2,0), "")</f>
        <v>10月 </v>
      </c>
      <c r="C37" s="7" t="str">
        <f>IFERROR(VLOOKUP(E37,'(新)ﾍﾞﾝﾀﾞｰ小型'!$A$3:$K$300,4,0), "")</f>
        <v>EGB1303AE_EXP </v>
      </c>
      <c r="D37" s="7" t="str">
        <f>IFERROR(VLOOKUP(E37,'(新)ﾍﾞﾝﾀﾞｰ小型'!$A$3:$K$300,5,0), "")</f>
        <v> ＡＭＡＤＡ　ＣＡＮＡＤＡ　ＬＴＤ． </v>
      </c>
      <c r="E37" s="23" t="str">
        <f>'(新)ﾍﾞﾝﾀﾞｰ小型'!A38</f>
        <v> TS13399257 </v>
      </c>
      <c r="F37" s="8" t="str">
        <f>IFERROR(VLOOKUP(E37,'(新)ﾍﾞﾝﾀﾞｰ小型'!$A$3:$K$300,8,0), "")</f>
        <v>0E1243 </v>
      </c>
      <c r="G37" s="7" t="str">
        <f>IFERROR(VLOOKUP(E37,'(旧)ﾍﾞﾝﾀﾞｰ小型'!$A$3:$K$310,10,0),"")</f>
        <v>2026/09/24 </v>
      </c>
      <c r="H37" s="12" t="s">
        <v>60</v>
      </c>
      <c r="I37" s="7" t="str">
        <f>IFERROR(VLOOKUP(E37,'(新)ﾍﾞﾝﾀﾞｰ小型'!$A$3:$K$300,10,0),"")</f>
        <v>2026/09/24 </v>
      </c>
    </row>
    <row r="38" spans="1:9" s="19" customFormat="1" ht="13.5" customHeight="1" thickBot="1" x14ac:dyDescent="0.2">
      <c r="A38" s="11">
        <v>37</v>
      </c>
      <c r="B38" s="7" t="str">
        <f>IFERROR(VLOOKUP(E38,'(新)ﾍﾞﾝﾀﾞｰ小型'!$A$3:$K$300,2,0), "")</f>
        <v>10月 </v>
      </c>
      <c r="C38" s="7" t="str">
        <f>IFERROR(VLOOKUP(E38,'(新)ﾍﾞﾝﾀﾞｰ小型'!$A$3:$K$300,4,0), "")</f>
        <v>EGB8025E_EXP </v>
      </c>
      <c r="D38" s="7" t="str">
        <f>IFERROR(VLOOKUP(E38,'(新)ﾍﾞﾝﾀﾞｰ小型'!$A$3:$K$300,5,0), "")</f>
        <v> 【ベトナム】Department of Metrology &amp; St </v>
      </c>
      <c r="E38" s="23" t="str">
        <f>'(新)ﾍﾞﾝﾀﾞｰ小型'!A39</f>
        <v> TS82577284 </v>
      </c>
      <c r="F38" s="8" t="str">
        <f>IFERROR(VLOOKUP(E38,'(新)ﾍﾞﾝﾀﾞｰ小型'!$A$3:$K$300,8,0), "")</f>
        <v>0E1858 </v>
      </c>
      <c r="G38" s="7" t="str">
        <f>IFERROR(VLOOKUP(E38,'(旧)ﾍﾞﾝﾀﾞｰ小型'!$A$3:$K$310,10,0),"")</f>
        <v>2026/09/24 </v>
      </c>
      <c r="H38" s="12" t="s">
        <v>60</v>
      </c>
      <c r="I38" s="7" t="str">
        <f>IFERROR(VLOOKUP(E38,'(新)ﾍﾞﾝﾀﾞｰ小型'!$A$3:$K$300,10,0),"")</f>
        <v>2026/09/24 </v>
      </c>
    </row>
    <row r="39" spans="1:9" s="19" customFormat="1" ht="13.5" customHeight="1" thickBot="1" x14ac:dyDescent="0.2">
      <c r="A39" s="11">
        <v>38</v>
      </c>
      <c r="B39" s="7" t="str">
        <f>IFERROR(VLOOKUP(E39,'(新)ﾍﾞﾝﾀﾞｰ小型'!$A$3:$K$300,2,0), "")</f>
        <v>10月 </v>
      </c>
      <c r="C39" s="7" t="str">
        <f>IFERROR(VLOOKUP(E39,'(新)ﾍﾞﾝﾀﾞｰ小型'!$A$3:$K$300,4,0), "")</f>
        <v>EGB1303E </v>
      </c>
      <c r="D39" s="7" t="str">
        <f>IFERROR(VLOOKUP(E39,'(新)ﾍﾞﾝﾀﾞｰ小型'!$A$3:$K$300,5,0), "")</f>
        <v> アートテックス（株） </v>
      </c>
      <c r="E39" s="23" t="str">
        <f>'(新)ﾍﾞﾝﾀﾞｰ小型'!A40</f>
        <v> TS13377337 </v>
      </c>
      <c r="F39" s="8" t="str">
        <f>IFERROR(VLOOKUP(E39,'(新)ﾍﾞﾝﾀﾞｰ小型'!$A$3:$K$300,8,0), "")</f>
        <v>0D9824 </v>
      </c>
      <c r="G39" s="7" t="str">
        <f>IFERROR(VLOOKUP(E39,'(旧)ﾍﾞﾝﾀﾞｰ小型'!$A$3:$K$310,10,0),"")</f>
        <v>2026/09/25 </v>
      </c>
      <c r="H39" s="12" t="s">
        <v>60</v>
      </c>
      <c r="I39" s="7" t="str">
        <f>IFERROR(VLOOKUP(E39,'(新)ﾍﾞﾝﾀﾞｰ小型'!$A$3:$K$300,10,0),"")</f>
        <v>2026/09/25 </v>
      </c>
    </row>
    <row r="40" spans="1:9" s="19" customFormat="1" ht="13.5" customHeight="1" thickBot="1" x14ac:dyDescent="0.2">
      <c r="A40" s="11">
        <v>39</v>
      </c>
      <c r="B40" s="7" t="str">
        <f>IFERROR(VLOOKUP(E40,'(新)ﾍﾞﾝﾀﾞｰ小型'!$A$3:$K$300,2,0), "")</f>
        <v>10月 </v>
      </c>
      <c r="C40" s="7" t="str">
        <f>IFERROR(VLOOKUP(E40,'(新)ﾍﾞﾝﾀﾞｰ小型'!$A$3:$K$300,4,0), "")</f>
        <v>EGB6020E </v>
      </c>
      <c r="D40" s="7" t="str">
        <f>IFERROR(VLOOKUP(E40,'(新)ﾍﾞﾝﾀﾞｰ小型'!$A$3:$K$300,5,0), "")</f>
        <v> （株）広島メタルワーク </v>
      </c>
      <c r="E40" s="23" t="str">
        <f>'(新)ﾍﾞﾝﾀﾞｰ小型'!A41</f>
        <v> TS62077160 </v>
      </c>
      <c r="F40" s="8" t="str">
        <f>IFERROR(VLOOKUP(E40,'(新)ﾍﾞﾝﾀﾞｰ小型'!$A$3:$K$300,8,0), "")</f>
        <v>0D7255 </v>
      </c>
      <c r="G40" s="7" t="str">
        <f>IFERROR(VLOOKUP(E40,'(旧)ﾍﾞﾝﾀﾞｰ小型'!$A$3:$K$310,10,0),"")</f>
        <v>2026/09/26 </v>
      </c>
      <c r="H40" s="12" t="s">
        <v>60</v>
      </c>
      <c r="I40" s="7" t="str">
        <f>IFERROR(VLOOKUP(E40,'(新)ﾍﾞﾝﾀﾞｰ小型'!$A$3:$K$300,10,0),"")</f>
        <v>2026/09/26 </v>
      </c>
    </row>
    <row r="41" spans="1:9" s="19" customFormat="1" ht="13.5" customHeight="1" thickBot="1" x14ac:dyDescent="0.2">
      <c r="A41" s="11">
        <v>40</v>
      </c>
      <c r="B41" s="7" t="str">
        <f>IFERROR(VLOOKUP(E41,'(新)ﾍﾞﾝﾀﾞｰ小型'!$A$3:$K$300,2,0), "")</f>
        <v>10月 </v>
      </c>
      <c r="C41" s="7" t="str">
        <f>IFERROR(VLOOKUP(E41,'(新)ﾍﾞﾝﾀﾞｰ小型'!$A$3:$K$300,4,0), "")</f>
        <v>EGB8025E </v>
      </c>
      <c r="D41" s="7" t="str">
        <f>IFERROR(VLOOKUP(E41,'(新)ﾍﾞﾝﾀﾞｰ小型'!$A$3:$K$300,5,0), "")</f>
        <v> フクシマガリレイ（株） </v>
      </c>
      <c r="E41" s="23" t="str">
        <f>'(新)ﾍﾞﾝﾀﾞｰ小型'!A42</f>
        <v> TS82577289 </v>
      </c>
      <c r="F41" s="8" t="str">
        <f>IFERROR(VLOOKUP(E41,'(新)ﾍﾞﾝﾀﾞｰ小型'!$A$3:$K$300,8,0), "")</f>
        <v>0E1240 </v>
      </c>
      <c r="G41" s="7" t="str">
        <f>IFERROR(VLOOKUP(E41,'(旧)ﾍﾞﾝﾀﾞｰ小型'!$A$3:$K$310,10,0),"")</f>
        <v>2026/09/26 </v>
      </c>
      <c r="H41" s="12" t="s">
        <v>60</v>
      </c>
      <c r="I41" s="7" t="str">
        <f>IFERROR(VLOOKUP(E41,'(新)ﾍﾞﾝﾀﾞｰ小型'!$A$3:$K$300,10,0),"")</f>
        <v>2026/09/26 </v>
      </c>
    </row>
    <row r="42" spans="1:9" s="19" customFormat="1" ht="13.5" customHeight="1" thickBot="1" x14ac:dyDescent="0.2">
      <c r="A42" s="11">
        <v>41</v>
      </c>
      <c r="B42" s="7" t="str">
        <f>IFERROR(VLOOKUP(E42,'(新)ﾍﾞﾝﾀﾞｰ小型'!$A$3:$K$300,2,0), "")</f>
        <v>10月 </v>
      </c>
      <c r="C42" s="7" t="str">
        <f>IFERROR(VLOOKUP(E42,'(新)ﾍﾞﾝﾀﾞｰ小型'!$A$3:$K$300,4,0), "")</f>
        <v>EGB1303ARE_EXP </v>
      </c>
      <c r="D42" s="7" t="str">
        <f>IFERROR(VLOOKUP(E42,'(新)ﾍﾞﾝﾀﾞｰ小型'!$A$3:$K$300,5,0), "")</f>
        <v> 【TAIWAN】展示機 </v>
      </c>
      <c r="E42" s="23" t="str">
        <f>'(新)ﾍﾞﾝﾀﾞｰ小型'!A43</f>
        <v> TS13329057 </v>
      </c>
      <c r="F42" s="8" t="str">
        <f>IFERROR(VLOOKUP(E42,'(新)ﾍﾞﾝﾀﾞｰ小型'!$A$3:$K$300,8,0), "")</f>
        <v>0E1859 </v>
      </c>
      <c r="G42" s="7" t="str">
        <f>IFERROR(VLOOKUP(E42,'(旧)ﾍﾞﾝﾀﾞｰ小型'!$A$3:$K$310,10,0),"")</f>
        <v>2026/09/26 </v>
      </c>
      <c r="H42" s="12" t="s">
        <v>60</v>
      </c>
      <c r="I42" s="7" t="str">
        <f>IFERROR(VLOOKUP(E42,'(新)ﾍﾞﾝﾀﾞｰ小型'!$A$3:$K$300,10,0),"")</f>
        <v>2026/09/26 </v>
      </c>
    </row>
    <row r="43" spans="1:9" s="19" customFormat="1" ht="13.8" thickBot="1" x14ac:dyDescent="0.2">
      <c r="A43" s="11">
        <v>42</v>
      </c>
      <c r="B43" s="7" t="str">
        <f>IFERROR(VLOOKUP(E43,'(新)ﾍﾞﾝﾀﾞｰ小型'!$A$3:$K$300,2,0), "")</f>
        <v>10月 </v>
      </c>
      <c r="C43" s="7" t="str">
        <f>IFERROR(VLOOKUP(E43,'(新)ﾍﾞﾝﾀﾞｰ小型'!$A$3:$K$300,4,0), "")</f>
        <v>EGB1303AE </v>
      </c>
      <c r="D43" s="7" t="str">
        <f>IFERROR(VLOOKUP(E43,'(新)ﾍﾞﾝﾀﾞｰ小型'!$A$3:$K$300,5,0), "")</f>
        <v> （株）スミヨシ </v>
      </c>
      <c r="E43" s="23" t="str">
        <f>'(新)ﾍﾞﾝﾀﾞｰ小型'!A44</f>
        <v> TS13399256 </v>
      </c>
      <c r="F43" s="8" t="str">
        <f>IFERROR(VLOOKUP(E43,'(新)ﾍﾞﾝﾀﾞｰ小型'!$A$3:$K$300,8,0), "")</f>
        <v>0D9621 </v>
      </c>
      <c r="G43" s="7" t="str">
        <f>IFERROR(VLOOKUP(E43,'(旧)ﾍﾞﾝﾀﾞｰ小型'!$A$3:$K$310,10,0),"")</f>
        <v>2026/09/29 </v>
      </c>
      <c r="H43" s="12" t="s">
        <v>60</v>
      </c>
      <c r="I43" s="7" t="str">
        <f>IFERROR(VLOOKUP(E43,'(新)ﾍﾞﾝﾀﾞｰ小型'!$A$3:$K$300,10,0),"")</f>
        <v>2026/09/29 </v>
      </c>
    </row>
    <row r="44" spans="1:9" s="19" customFormat="1" ht="13.5" customHeight="1" thickBot="1" x14ac:dyDescent="0.2">
      <c r="A44" s="11">
        <v>43</v>
      </c>
      <c r="B44" s="7" t="str">
        <f>IFERROR(VLOOKUP(E44,'(新)ﾍﾞﾝﾀﾞｰ小型'!$A$3:$K$300,2,0), "")</f>
        <v>10月 </v>
      </c>
      <c r="C44" s="7" t="str">
        <f>IFERROR(VLOOKUP(E44,'(新)ﾍﾞﾝﾀﾞｰ小型'!$A$3:$K$300,4,0), "")</f>
        <v>EGB6020AE_EXP </v>
      </c>
      <c r="D44" s="7" t="str">
        <f>IFERROR(VLOOKUP(E44,'(新)ﾍﾞﾝﾀﾞｰ小型'!$A$3:$K$300,5,0), "")</f>
        <v> ＡＭＡＤＡ　ＡＭＥＲＩＣＡ　ＩＮＣ． </v>
      </c>
      <c r="E44" s="23" t="str">
        <f>'(新)ﾍﾞﾝﾀﾞｰ小型'!A45</f>
        <v> TS60299197 </v>
      </c>
      <c r="F44" s="8" t="str">
        <f>IFERROR(VLOOKUP(E44,'(新)ﾍﾞﾝﾀﾞｰ小型'!$A$3:$K$300,8,0), "")</f>
        <v>0D8050 </v>
      </c>
      <c r="G44" s="7" t="str">
        <f>IFERROR(VLOOKUP(E44,'(旧)ﾍﾞﾝﾀﾞｰ小型'!$A$3:$K$310,10,0),"")</f>
        <v>2026/09/29 </v>
      </c>
      <c r="H44" s="12" t="s">
        <v>60</v>
      </c>
      <c r="I44" s="7" t="str">
        <f>IFERROR(VLOOKUP(E44,'(新)ﾍﾞﾝﾀﾞｰ小型'!$A$3:$K$300,10,0),"")</f>
        <v>2026/09/29 </v>
      </c>
    </row>
    <row r="45" spans="1:9" s="19" customFormat="1" ht="13.5" customHeight="1" thickBot="1" x14ac:dyDescent="0.2">
      <c r="A45" s="11">
        <v>44</v>
      </c>
      <c r="B45" s="7" t="str">
        <f>IFERROR(VLOOKUP(E45,'(新)ﾍﾞﾝﾀﾞｰ小型'!$A$3:$K$300,2,0), "")</f>
        <v>10月 </v>
      </c>
      <c r="C45" s="7" t="str">
        <f>IFERROR(VLOOKUP(E45,'(新)ﾍﾞﾝﾀﾞｰ小型'!$A$3:$K$300,4,0), "")</f>
        <v>EGB8025E </v>
      </c>
      <c r="D45" s="7" t="str">
        <f>IFERROR(VLOOKUP(E45,'(新)ﾍﾞﾝﾀﾞｰ小型'!$A$3:$K$300,5,0), "")</f>
        <v> （株）アマダベンディングＳ部 </v>
      </c>
      <c r="E45" s="23" t="str">
        <f>'(新)ﾍﾞﾝﾀﾞｰ小型'!A46</f>
        <v> TS82577294 </v>
      </c>
      <c r="F45" s="8" t="str">
        <f>IFERROR(VLOOKUP(E45,'(新)ﾍﾞﾝﾀﾞｰ小型'!$A$3:$K$300,8,0), "")</f>
        <v>0E1240 </v>
      </c>
      <c r="G45" s="7" t="str">
        <f>IFERROR(VLOOKUP(E45,'(旧)ﾍﾞﾝﾀﾞｰ小型'!$A$3:$K$310,10,0),"")</f>
        <v>2026/09/29 </v>
      </c>
      <c r="H45" s="12" t="s">
        <v>60</v>
      </c>
      <c r="I45" s="7" t="str">
        <f>IFERROR(VLOOKUP(E45,'(新)ﾍﾞﾝﾀﾞｰ小型'!$A$3:$K$300,10,0),"")</f>
        <v>2026/09/29 </v>
      </c>
    </row>
    <row r="46" spans="1:9" s="19" customFormat="1" ht="13.5" customHeight="1" thickBot="1" x14ac:dyDescent="0.2">
      <c r="A46" s="11">
        <v>45</v>
      </c>
      <c r="B46" s="7" t="str">
        <f>IFERROR(VLOOKUP(E46,'(新)ﾍﾞﾝﾀﾞｰ小型'!$A$3:$K$300,2,0), "")</f>
        <v>10月 </v>
      </c>
      <c r="C46" s="7" t="str">
        <f>IFERROR(VLOOKUP(E46,'(新)ﾍﾞﾝﾀﾞｰ小型'!$A$3:$K$300,4,0), "")</f>
        <v>HG8025C </v>
      </c>
      <c r="D46" s="7" t="str">
        <f>IFERROR(VLOOKUP(E46,'(新)ﾍﾞﾝﾀﾞｰ小型'!$A$3:$K$300,5,0), "")</f>
        <v> （株）関根製作所 </v>
      </c>
      <c r="E46" s="23" t="str">
        <f>'(新)ﾍﾞﾝﾀﾞｰ小型'!A47</f>
        <v> GC82508021 </v>
      </c>
      <c r="F46" s="8" t="str">
        <f>IFERROR(VLOOKUP(E46,'(新)ﾍﾞﾝﾀﾞｰ小型'!$A$3:$K$300,8,0), "")</f>
        <v>0A6483 </v>
      </c>
      <c r="G46" s="7" t="str">
        <f>IFERROR(VLOOKUP(E46,'(旧)ﾍﾞﾝﾀﾞｰ小型'!$A$3:$K$310,10,0),"")</f>
        <v>2026/10/01 </v>
      </c>
      <c r="H46" s="12" t="s">
        <v>60</v>
      </c>
      <c r="I46" s="7" t="str">
        <f>IFERROR(VLOOKUP(E46,'(新)ﾍﾞﾝﾀﾞｰ小型'!$A$3:$K$300,10,0),"")</f>
        <v>2026/10/01 </v>
      </c>
    </row>
    <row r="47" spans="1:9" s="19" customFormat="1" ht="13.8" thickBot="1" x14ac:dyDescent="0.2">
      <c r="A47" s="11">
        <v>46</v>
      </c>
      <c r="B47" s="7" t="str">
        <f>IFERROR(VLOOKUP(E47,'(新)ﾍﾞﾝﾀﾞｰ小型'!$A$3:$K$300,2,0), "")</f>
        <v>10月 </v>
      </c>
      <c r="C47" s="7" t="str">
        <f>IFERROR(VLOOKUP(E47,'(新)ﾍﾞﾝﾀﾞｰ小型'!$A$3:$K$300,4,0), "")</f>
        <v>EGB1303AE </v>
      </c>
      <c r="D47" s="7" t="str">
        <f>IFERROR(VLOOKUP(E47,'(新)ﾍﾞﾝﾀﾞｰ小型'!$A$3:$K$300,5,0), "")</f>
        <v> （株）アマダベンディングＳ部 </v>
      </c>
      <c r="E47" s="23" t="str">
        <f>'(新)ﾍﾞﾝﾀﾞｰ小型'!A48</f>
        <v> TS13399259 </v>
      </c>
      <c r="F47" s="8" t="str">
        <f>IFERROR(VLOOKUP(E47,'(新)ﾍﾞﾝﾀﾞｰ小型'!$A$3:$K$300,8,0), "")</f>
        <v>0D9621 </v>
      </c>
      <c r="G47" s="7" t="str">
        <f>IFERROR(VLOOKUP(E47,'(旧)ﾍﾞﾝﾀﾞｰ小型'!$A$3:$K$310,10,0),"")</f>
        <v>2026/10/01 </v>
      </c>
      <c r="H47" s="12" t="s">
        <v>60</v>
      </c>
      <c r="I47" s="7" t="str">
        <f>IFERROR(VLOOKUP(E47,'(新)ﾍﾞﾝﾀﾞｰ小型'!$A$3:$K$300,10,0),"")</f>
        <v>2026/10/01 </v>
      </c>
    </row>
    <row r="48" spans="1:9" s="19" customFormat="1" ht="13.5" customHeight="1" thickBot="1" x14ac:dyDescent="0.2">
      <c r="A48" s="11">
        <v>47</v>
      </c>
      <c r="B48" s="7" t="str">
        <f>IFERROR(VLOOKUP(E48,'(新)ﾍﾞﾝﾀﾞｰ小型'!$A$3:$K$300,2,0), "")</f>
        <v>10月 </v>
      </c>
      <c r="C48" s="7" t="str">
        <f>IFERROR(VLOOKUP(E48,'(新)ﾍﾞﾝﾀﾞｰ小型'!$A$3:$K$300,4,0), "")</f>
        <v>EGB8025E </v>
      </c>
      <c r="D48" s="7" t="str">
        <f>IFERROR(VLOOKUP(E48,'(新)ﾍﾞﾝﾀﾞｰ小型'!$A$3:$K$300,5,0), "")</f>
        <v> （株）共和電機製作所 </v>
      </c>
      <c r="E48" s="23" t="str">
        <f>'(新)ﾍﾞﾝﾀﾞｰ小型'!A49</f>
        <v> TS82577292 </v>
      </c>
      <c r="F48" s="8" t="str">
        <f>IFERROR(VLOOKUP(E48,'(新)ﾍﾞﾝﾀﾞｰ小型'!$A$3:$K$300,8,0), "")</f>
        <v>0E1240 </v>
      </c>
      <c r="G48" s="7" t="str">
        <f>IFERROR(VLOOKUP(E48,'(旧)ﾍﾞﾝﾀﾞｰ小型'!$A$3:$K$310,10,0),"")</f>
        <v>2026/10/01 </v>
      </c>
      <c r="H48" s="12" t="s">
        <v>60</v>
      </c>
      <c r="I48" s="7" t="str">
        <f>IFERROR(VLOOKUP(E48,'(新)ﾍﾞﾝﾀﾞｰ小型'!$A$3:$K$300,10,0),"")</f>
        <v>2026/10/01 </v>
      </c>
    </row>
    <row r="49" spans="1:9" s="19" customFormat="1" ht="13.5" customHeight="1" thickBot="1" x14ac:dyDescent="0.2">
      <c r="A49" s="11">
        <v>48</v>
      </c>
      <c r="B49" s="7" t="str">
        <f>IFERROR(VLOOKUP(E49,'(新)ﾍﾞﾝﾀﾞｰ小型'!$A$3:$K$300,2,0), "")</f>
        <v>10月 </v>
      </c>
      <c r="C49" s="7" t="str">
        <f>IFERROR(VLOOKUP(E49,'(新)ﾍﾞﾝﾀﾞｰ小型'!$A$3:$K$300,4,0), "")</f>
        <v>EGB1303AE_EXP </v>
      </c>
      <c r="D49" s="7" t="str">
        <f>IFERROR(VLOOKUP(E49,'(新)ﾍﾞﾝﾀﾞｰ小型'!$A$3:$K$300,5,0), "")</f>
        <v> ＡＭＡＤＡ　ＡＭＥＲＩＣＡ　ＩＮＣ． </v>
      </c>
      <c r="E49" s="23" t="str">
        <f>'(新)ﾍﾞﾝﾀﾞｰ小型'!A50</f>
        <v> TS13399261 </v>
      </c>
      <c r="F49" s="8" t="str">
        <f>IFERROR(VLOOKUP(E49,'(新)ﾍﾞﾝﾀﾞｰ小型'!$A$3:$K$300,8,0), "")</f>
        <v>0E1243 </v>
      </c>
      <c r="G49" s="7" t="str">
        <f>IFERROR(VLOOKUP(E49,'(旧)ﾍﾞﾝﾀﾞｰ小型'!$A$3:$K$310,10,0),"")</f>
        <v>2026/10/01 </v>
      </c>
      <c r="H49" s="12" t="s">
        <v>60</v>
      </c>
      <c r="I49" s="7" t="str">
        <f>IFERROR(VLOOKUP(E49,'(新)ﾍﾞﾝﾀﾞｰ小型'!$A$3:$K$300,10,0),"")</f>
        <v>2026/10/01 </v>
      </c>
    </row>
    <row r="50" spans="1:9" s="19" customFormat="1" ht="13.5" customHeight="1" thickBot="1" x14ac:dyDescent="0.2">
      <c r="A50" s="11">
        <v>49</v>
      </c>
      <c r="B50" s="7" t="str">
        <f>IFERROR(VLOOKUP(E50,'(新)ﾍﾞﾝﾀﾞｰ小型'!$A$3:$K$300,2,0), "")</f>
        <v>10月 </v>
      </c>
      <c r="C50" s="7" t="str">
        <f>IFERROR(VLOOKUP(E50,'(新)ﾍﾞﾝﾀﾞｰ小型'!$A$3:$K$300,4,0), "")</f>
        <v>EGB1303AE_EXP </v>
      </c>
      <c r="D50" s="7" t="str">
        <f>IFERROR(VLOOKUP(E50,'(新)ﾍﾞﾝﾀﾞｰ小型'!$A$3:$K$300,5,0), "")</f>
        <v> ＡＭＡＤＡ　（ＵＫ）　ＪＯＨＡＮＮＥＳＢ </v>
      </c>
      <c r="E50" s="23" t="str">
        <f>'(新)ﾍﾞﾝﾀﾞｰ小型'!A51</f>
        <v> TS13399254 </v>
      </c>
      <c r="F50" s="8" t="str">
        <f>IFERROR(VLOOKUP(E50,'(新)ﾍﾞﾝﾀﾞｰ小型'!$A$3:$K$300,8,0), "")</f>
        <v>0E1243 </v>
      </c>
      <c r="G50" s="7" t="str">
        <f>IFERROR(VLOOKUP(E50,'(旧)ﾍﾞﾝﾀﾞｰ小型'!$A$3:$K$310,10,0),"")</f>
        <v>2026/10/03 </v>
      </c>
      <c r="H50" s="12" t="s">
        <v>60</v>
      </c>
      <c r="I50" s="7" t="str">
        <f>IFERROR(VLOOKUP(E50,'(新)ﾍﾞﾝﾀﾞｰ小型'!$A$3:$K$300,10,0),"")</f>
        <v>2026/10/03 </v>
      </c>
    </row>
    <row r="51" spans="1:9" s="19" customFormat="1" ht="13.5" customHeight="1" thickBot="1" x14ac:dyDescent="0.2">
      <c r="A51" s="11">
        <v>50</v>
      </c>
      <c r="B51" s="7" t="str">
        <f>IFERROR(VLOOKUP(E51,'(新)ﾍﾞﾝﾀﾞｰ小型'!$A$3:$K$300,2,0), "")</f>
        <v>10月 </v>
      </c>
      <c r="C51" s="7" t="str">
        <f>IFERROR(VLOOKUP(E51,'(新)ﾍﾞﾝﾀﾞｰ小型'!$A$3:$K$300,4,0), "")</f>
        <v>EGB1303E_EXP </v>
      </c>
      <c r="D51" s="7" t="str">
        <f>IFERROR(VLOOKUP(E51,'(新)ﾍﾞﾝﾀﾞｰ小型'!$A$3:$K$300,5,0), "")</f>
        <v> ＡＭＡＤＡ　ＡＭＥＲＩＣＡ　ＩＮＣ． </v>
      </c>
      <c r="E51" s="23" t="str">
        <f>'(新)ﾍﾞﾝﾀﾞｰ小型'!A52</f>
        <v> TS13377334 </v>
      </c>
      <c r="F51" s="8" t="str">
        <f>IFERROR(VLOOKUP(E51,'(新)ﾍﾞﾝﾀﾞｰ小型'!$A$3:$K$300,8,0), "")</f>
        <v>0D9825 </v>
      </c>
      <c r="G51" s="7" t="str">
        <f>IFERROR(VLOOKUP(E51,'(旧)ﾍﾞﾝﾀﾞｰ小型'!$A$3:$K$310,10,0),"")</f>
        <v>2026/10/03 </v>
      </c>
      <c r="H51" s="12" t="s">
        <v>60</v>
      </c>
      <c r="I51" s="7" t="str">
        <f>IFERROR(VLOOKUP(E51,'(新)ﾍﾞﾝﾀﾞｰ小型'!$A$3:$K$300,10,0),"")</f>
        <v>2026/10/03 </v>
      </c>
    </row>
    <row r="52" spans="1:9" s="19" customFormat="1" ht="13.5" customHeight="1" thickBot="1" x14ac:dyDescent="0.2">
      <c r="A52" s="11">
        <v>51</v>
      </c>
      <c r="B52" s="7" t="str">
        <f>IFERROR(VLOOKUP(E52,'(新)ﾍﾞﾝﾀﾞｰ小型'!$A$3:$K$300,2,0), "")</f>
        <v>10月 </v>
      </c>
      <c r="C52" s="7" t="str">
        <f>IFERROR(VLOOKUP(E52,'(新)ﾍﾞﾝﾀﾞｰ小型'!$A$3:$K$300,4,0), "")</f>
        <v>EGB1303AE_EXP </v>
      </c>
      <c r="D52" s="7" t="str">
        <f>IFERROR(VLOOKUP(E52,'(新)ﾍﾞﾝﾀﾞｰ小型'!$A$3:$K$300,5,0), "")</f>
        <v> ＡＭＡＤＡ　ＴＡＩＷＡＮ　ＩＮＣ． </v>
      </c>
      <c r="E52" s="23" t="str">
        <f>'(新)ﾍﾞﾝﾀﾞｰ小型'!A53</f>
        <v> TS13399262 </v>
      </c>
      <c r="F52" s="8" t="str">
        <f>IFERROR(VLOOKUP(E52,'(新)ﾍﾞﾝﾀﾞｰ小型'!$A$3:$K$300,8,0), "")</f>
        <v>0E1243 </v>
      </c>
      <c r="G52" s="7" t="str">
        <f>IFERROR(VLOOKUP(E52,'(旧)ﾍﾞﾝﾀﾞｰ小型'!$A$3:$K$310,10,0),"")</f>
        <v>2026/10/03 </v>
      </c>
      <c r="H52" s="12" t="s">
        <v>60</v>
      </c>
      <c r="I52" s="7" t="str">
        <f>IFERROR(VLOOKUP(E52,'(新)ﾍﾞﾝﾀﾞｰ小型'!$A$3:$K$300,10,0),"")</f>
        <v>2026/10/03 </v>
      </c>
    </row>
    <row r="53" spans="1:9" s="19" customFormat="1" ht="13.5" customHeight="1" thickBot="1" x14ac:dyDescent="0.2">
      <c r="A53" s="11">
        <v>52</v>
      </c>
      <c r="B53" s="7" t="str">
        <f>IFERROR(VLOOKUP(E53,'(新)ﾍﾞﾝﾀﾞｰ小型'!$A$3:$K$300,2,0), "")</f>
        <v>10月 </v>
      </c>
      <c r="C53" s="7" t="str">
        <f>IFERROR(VLOOKUP(E53,'(新)ﾍﾞﾝﾀﾞｰ小型'!$A$3:$K$300,4,0), "")</f>
        <v>EGB8025E </v>
      </c>
      <c r="D53" s="7" t="str">
        <f>IFERROR(VLOOKUP(E53,'(新)ﾍﾞﾝﾀﾞｰ小型'!$A$3:$K$300,5,0), "")</f>
        <v> フクシマガリレイ（株） </v>
      </c>
      <c r="E53" s="23" t="str">
        <f>'(新)ﾍﾞﾝﾀﾞｰ小型'!A54</f>
        <v> TS82577291 </v>
      </c>
      <c r="F53" s="8" t="str">
        <f>IFERROR(VLOOKUP(E53,'(新)ﾍﾞﾝﾀﾞｰ小型'!$A$3:$K$300,8,0), "")</f>
        <v>0E1240 </v>
      </c>
      <c r="G53" s="7" t="str">
        <f>IFERROR(VLOOKUP(E53,'(旧)ﾍﾞﾝﾀﾞｰ小型'!$A$3:$K$310,10,0),"")</f>
        <v>2026/10/06 </v>
      </c>
      <c r="H53" s="12" t="s">
        <v>60</v>
      </c>
      <c r="I53" s="7" t="str">
        <f>IFERROR(VLOOKUP(E53,'(新)ﾍﾞﾝﾀﾞｰ小型'!$A$3:$K$300,10,0),"")</f>
        <v>2026/10/06 </v>
      </c>
    </row>
    <row r="54" spans="1:9" s="19" customFormat="1" ht="13.5" customHeight="1" thickBot="1" x14ac:dyDescent="0.2">
      <c r="A54" s="11">
        <v>53</v>
      </c>
      <c r="B54" s="7" t="str">
        <f>IFERROR(VLOOKUP(E54,'(新)ﾍﾞﾝﾀﾞｰ小型'!$A$3:$K$300,2,0), "")</f>
        <v>10月 </v>
      </c>
      <c r="C54" s="7" t="str">
        <f>IFERROR(VLOOKUP(E54,'(新)ﾍﾞﾝﾀﾞｰ小型'!$A$3:$K$300,4,0), "")</f>
        <v>EGB6020AE_EXP </v>
      </c>
      <c r="D54" s="7" t="str">
        <f>IFERROR(VLOOKUP(E54,'(新)ﾍﾞﾝﾀﾞｰ小型'!$A$3:$K$300,5,0), "")</f>
        <v> ＡＭＡＤＡ　ＡＭＥＲＩＣＡ　ＩＮＣ． </v>
      </c>
      <c r="E54" s="23" t="str">
        <f>'(新)ﾍﾞﾝﾀﾞｰ小型'!A55</f>
        <v> TS60299193 </v>
      </c>
      <c r="F54" s="8" t="str">
        <f>IFERROR(VLOOKUP(E54,'(新)ﾍﾞﾝﾀﾞｰ小型'!$A$3:$K$300,8,0), "")</f>
        <v>0D8050 </v>
      </c>
      <c r="G54" s="7" t="str">
        <f>IFERROR(VLOOKUP(E54,'(旧)ﾍﾞﾝﾀﾞｰ小型'!$A$3:$K$310,10,0),"")</f>
        <v>2026/10/06 </v>
      </c>
      <c r="H54" s="12" t="s">
        <v>60</v>
      </c>
      <c r="I54" s="7" t="str">
        <f>IFERROR(VLOOKUP(E54,'(新)ﾍﾞﾝﾀﾞｰ小型'!$A$3:$K$300,10,0),"")</f>
        <v>2026/10/06 </v>
      </c>
    </row>
    <row r="55" spans="1:9" s="19" customFormat="1" ht="13.5" customHeight="1" thickBot="1" x14ac:dyDescent="0.2">
      <c r="A55" s="11">
        <v>54</v>
      </c>
      <c r="B55" s="7" t="str">
        <f>IFERROR(VLOOKUP(E55,'(新)ﾍﾞﾝﾀﾞｰ小型'!$A$3:$K$300,2,0), "")</f>
        <v>10月 </v>
      </c>
      <c r="C55" s="7" t="str">
        <f>IFERROR(VLOOKUP(E55,'(新)ﾍﾞﾝﾀﾞｰ小型'!$A$3:$K$300,4,0), "")</f>
        <v>EGB8025E </v>
      </c>
      <c r="D55" s="7" t="str">
        <f>IFERROR(VLOOKUP(E55,'(新)ﾍﾞﾝﾀﾞｰ小型'!$A$3:$K$300,5,0), "")</f>
        <v> （株）アマダベンディングＳ部 </v>
      </c>
      <c r="E55" s="23" t="str">
        <f>'(新)ﾍﾞﾝﾀﾞｰ小型'!A56</f>
        <v> TS82577293 </v>
      </c>
      <c r="F55" s="8" t="str">
        <f>IFERROR(VLOOKUP(E55,'(新)ﾍﾞﾝﾀﾞｰ小型'!$A$3:$K$300,8,0), "")</f>
        <v>0E1240 </v>
      </c>
      <c r="G55" s="7" t="str">
        <f>IFERROR(VLOOKUP(E55,'(旧)ﾍﾞﾝﾀﾞｰ小型'!$A$3:$K$310,10,0),"")</f>
        <v>2026/10/06 </v>
      </c>
      <c r="H55" s="12" t="s">
        <v>60</v>
      </c>
      <c r="I55" s="7" t="str">
        <f>IFERROR(VLOOKUP(E55,'(新)ﾍﾞﾝﾀﾞｰ小型'!$A$3:$K$300,10,0),"")</f>
        <v>2026/10/06 </v>
      </c>
    </row>
    <row r="56" spans="1:9" s="19" customFormat="1" ht="13.5" customHeight="1" thickBot="1" x14ac:dyDescent="0.2">
      <c r="A56" s="11">
        <v>55</v>
      </c>
      <c r="B56" s="7" t="str">
        <f>IFERROR(VLOOKUP(E56,'(新)ﾍﾞﾝﾀﾞｰ小型'!$A$3:$K$300,2,0), "")</f>
        <v>10月 </v>
      </c>
      <c r="C56" s="7" t="str">
        <f>IFERROR(VLOOKUP(E56,'(新)ﾍﾞﾝﾀﾞｰ小型'!$A$3:$K$300,4,0), "")</f>
        <v>EGB6020AE </v>
      </c>
      <c r="D56" s="7" t="str">
        <f>IFERROR(VLOOKUP(E56,'(新)ﾍﾞﾝﾀﾞｰ小型'!$A$3:$K$300,5,0), "")</f>
        <v> （株）アマダベンディングＳ部 </v>
      </c>
      <c r="E56" s="23" t="str">
        <f>'(新)ﾍﾞﾝﾀﾞｰ小型'!A57</f>
        <v> TS60299203 </v>
      </c>
      <c r="F56" s="8" t="str">
        <f>IFERROR(VLOOKUP(E56,'(新)ﾍﾞﾝﾀﾞｰ小型'!$A$3:$K$300,8,0), "")</f>
        <v>0D7904 </v>
      </c>
      <c r="G56" s="7" t="str">
        <f>IFERROR(VLOOKUP(E56,'(旧)ﾍﾞﾝﾀﾞｰ小型'!$A$3:$K$310,10,0),"")</f>
        <v>2026/10/07 </v>
      </c>
      <c r="H56" s="12" t="s">
        <v>60</v>
      </c>
      <c r="I56" s="7" t="str">
        <f>IFERROR(VLOOKUP(E56,'(新)ﾍﾞﾝﾀﾞｰ小型'!$A$3:$K$300,10,0),"")</f>
        <v>2026/10/07 </v>
      </c>
    </row>
    <row r="57" spans="1:9" s="19" customFormat="1" ht="13.5" customHeight="1" thickBot="1" x14ac:dyDescent="0.2">
      <c r="A57" s="11">
        <v>56</v>
      </c>
      <c r="B57" s="7" t="str">
        <f>IFERROR(VLOOKUP(E57,'(新)ﾍﾞﾝﾀﾞｰ小型'!$A$3:$K$300,2,0), "")</f>
        <v>10月 </v>
      </c>
      <c r="C57" s="7" t="str">
        <f>IFERROR(VLOOKUP(E57,'(新)ﾍﾞﾝﾀﾞｰ小型'!$A$3:$K$300,4,0), "")</f>
        <v>EGB8025E </v>
      </c>
      <c r="D57" s="7" t="str">
        <f>IFERROR(VLOOKUP(E57,'(新)ﾍﾞﾝﾀﾞｰ小型'!$A$3:$K$300,5,0), "")</f>
        <v> フクシマガリレイ（株） </v>
      </c>
      <c r="E57" s="23" t="str">
        <f>'(新)ﾍﾞﾝﾀﾞｰ小型'!A58</f>
        <v> TS82577290 </v>
      </c>
      <c r="F57" s="8" t="str">
        <f>IFERROR(VLOOKUP(E57,'(新)ﾍﾞﾝﾀﾞｰ小型'!$A$3:$K$300,8,0), "")</f>
        <v>0E1240 </v>
      </c>
      <c r="G57" s="7" t="str">
        <f>IFERROR(VLOOKUP(E57,'(旧)ﾍﾞﾝﾀﾞｰ小型'!$A$3:$K$310,10,0),"")</f>
        <v>2026/10/07 </v>
      </c>
      <c r="H57" s="12" t="s">
        <v>60</v>
      </c>
      <c r="I57" s="7" t="str">
        <f>IFERROR(VLOOKUP(E57,'(新)ﾍﾞﾝﾀﾞｰ小型'!$A$3:$K$300,10,0),"")</f>
        <v>2026/10/07 </v>
      </c>
    </row>
    <row r="58" spans="1:9" s="19" customFormat="1" ht="13.5" customHeight="1" thickBot="1" x14ac:dyDescent="0.2">
      <c r="A58" s="11">
        <v>57</v>
      </c>
      <c r="B58" s="7" t="str">
        <f>IFERROR(VLOOKUP(E58,'(新)ﾍﾞﾝﾀﾞｰ小型'!$A$3:$K$300,2,0), "")</f>
        <v>10月 </v>
      </c>
      <c r="C58" s="7" t="str">
        <f>IFERROR(VLOOKUP(E58,'(新)ﾍﾞﾝﾀﾞｰ小型'!$A$3:$K$300,4,0), "")</f>
        <v>EGB8025E_EXP </v>
      </c>
      <c r="D58" s="7" t="str">
        <f>IFERROR(VLOOKUP(E58,'(新)ﾍﾞﾝﾀﾞｰ小型'!$A$3:$K$300,5,0), "")</f>
        <v> ＡＭＡＤＡ　ＡＭＥＲＩＣＡ　ＩＮＣ． </v>
      </c>
      <c r="E58" s="23" t="str">
        <f>'(新)ﾍﾞﾝﾀﾞｰ小型'!A59</f>
        <v> TS82577285 </v>
      </c>
      <c r="F58" s="8" t="str">
        <f>IFERROR(VLOOKUP(E58,'(新)ﾍﾞﾝﾀﾞｰ小型'!$A$3:$K$300,8,0), "")</f>
        <v>0E1858 </v>
      </c>
      <c r="G58" s="7" t="str">
        <f>IFERROR(VLOOKUP(E58,'(旧)ﾍﾞﾝﾀﾞｰ小型'!$A$3:$K$310,10,0),"")</f>
        <v>2026/10/07 </v>
      </c>
      <c r="H58" s="12" t="s">
        <v>60</v>
      </c>
      <c r="I58" s="7" t="str">
        <f>IFERROR(VLOOKUP(E58,'(新)ﾍﾞﾝﾀﾞｰ小型'!$A$3:$K$300,10,0),"")</f>
        <v>2026/10/07 </v>
      </c>
    </row>
    <row r="59" spans="1:9" s="19" customFormat="1" ht="13.5" customHeight="1" thickBot="1" x14ac:dyDescent="0.2">
      <c r="A59" s="11">
        <v>58</v>
      </c>
      <c r="B59" s="7" t="str">
        <f>IFERROR(VLOOKUP(E59,'(新)ﾍﾞﾝﾀﾞｰ小型'!$A$3:$K$300,2,0), "")</f>
        <v>10月 </v>
      </c>
      <c r="C59" s="7" t="str">
        <f>IFERROR(VLOOKUP(E59,'(新)ﾍﾞﾝﾀﾞｰ小型'!$A$3:$K$300,4,0), "")</f>
        <v>EGB1303AE </v>
      </c>
      <c r="D59" s="7" t="str">
        <f>IFERROR(VLOOKUP(E59,'(新)ﾍﾞﾝﾀﾞｰ小型'!$A$3:$K$300,5,0), "")</f>
        <v> （株）バンテクニカ </v>
      </c>
      <c r="E59" s="23" t="str">
        <f>'(新)ﾍﾞﾝﾀﾞｰ小型'!A60</f>
        <v> TS13399258 </v>
      </c>
      <c r="F59" s="8" t="str">
        <f>IFERROR(VLOOKUP(E59,'(新)ﾍﾞﾝﾀﾞｰ小型'!$A$3:$K$300,8,0), "")</f>
        <v>0D9621 </v>
      </c>
      <c r="G59" s="7" t="str">
        <f>IFERROR(VLOOKUP(E59,'(旧)ﾍﾞﾝﾀﾞｰ小型'!$A$3:$K$310,10,0),"")</f>
        <v>2026/10/08 </v>
      </c>
      <c r="H59" s="12" t="s">
        <v>60</v>
      </c>
      <c r="I59" s="7" t="str">
        <f>IFERROR(VLOOKUP(E59,'(新)ﾍﾞﾝﾀﾞｰ小型'!$A$3:$K$300,10,0),"")</f>
        <v>2026/10/08 </v>
      </c>
    </row>
    <row r="60" spans="1:9" s="19" customFormat="1" ht="13.5" customHeight="1" thickBot="1" x14ac:dyDescent="0.2">
      <c r="A60" s="11">
        <v>59</v>
      </c>
      <c r="B60" s="7" t="str">
        <f>IFERROR(VLOOKUP(E60,'(新)ﾍﾞﾝﾀﾞｰ小型'!$A$3:$K$300,2,0), "")</f>
        <v>10月 </v>
      </c>
      <c r="C60" s="7" t="str">
        <f>IFERROR(VLOOKUP(E60,'(新)ﾍﾞﾝﾀﾞｰ小型'!$A$3:$K$300,4,0), "")</f>
        <v>EGB1303E </v>
      </c>
      <c r="D60" s="7" t="str">
        <f>IFERROR(VLOOKUP(E60,'(新)ﾍﾞﾝﾀﾞｰ小型'!$A$3:$K$300,5,0), "")</f>
        <v> （株）アマダベンディングＳ部 </v>
      </c>
      <c r="E60" s="23" t="str">
        <f>'(新)ﾍﾞﾝﾀﾞｰ小型'!A61</f>
        <v> TS13377338 </v>
      </c>
      <c r="F60" s="8" t="str">
        <f>IFERROR(VLOOKUP(E60,'(新)ﾍﾞﾝﾀﾞｰ小型'!$A$3:$K$300,8,0), "")</f>
        <v>0D9824 </v>
      </c>
      <c r="G60" s="7" t="str">
        <f>IFERROR(VLOOKUP(E60,'(旧)ﾍﾞﾝﾀﾞｰ小型'!$A$3:$K$310,10,0),"")</f>
        <v>2026/10/08 </v>
      </c>
      <c r="H60" s="12" t="s">
        <v>60</v>
      </c>
      <c r="I60" s="7" t="str">
        <f>IFERROR(VLOOKUP(E60,'(新)ﾍﾞﾝﾀﾞｰ小型'!$A$3:$K$300,10,0),"")</f>
        <v>2026/10/08 </v>
      </c>
    </row>
    <row r="61" spans="1:9" s="19" customFormat="1" ht="13.5" customHeight="1" thickBot="1" x14ac:dyDescent="0.2">
      <c r="A61" s="11">
        <v>60</v>
      </c>
      <c r="B61" s="7" t="str">
        <f>IFERROR(VLOOKUP(E61,'(新)ﾍﾞﾝﾀﾞｰ小型'!$A$3:$K$300,2,0), "")</f>
        <v>10月 </v>
      </c>
      <c r="C61" s="7" t="str">
        <f>IFERROR(VLOOKUP(E61,'(新)ﾍﾞﾝﾀﾞｰ小型'!$A$3:$K$300,4,0), "")</f>
        <v>EGB6020E_EXP </v>
      </c>
      <c r="D61" s="7" t="str">
        <f>IFERROR(VLOOKUP(E61,'(新)ﾍﾞﾝﾀﾞｰ小型'!$A$3:$K$300,5,0), "")</f>
        <v> ＡＭＡＤＡ　ＡＭＥＲＩＣＡ　ＩＮＣ． </v>
      </c>
      <c r="E61" s="23" t="str">
        <f>'(新)ﾍﾞﾝﾀﾞｰ小型'!A62</f>
        <v> TS62077159 </v>
      </c>
      <c r="F61" s="8" t="str">
        <f>IFERROR(VLOOKUP(E61,'(新)ﾍﾞﾝﾀﾞｰ小型'!$A$3:$K$300,8,0), "")</f>
        <v>0D7905 </v>
      </c>
      <c r="G61" s="7" t="str">
        <f>IFERROR(VLOOKUP(E61,'(旧)ﾍﾞﾝﾀﾞｰ小型'!$A$3:$K$310,10,0),"")</f>
        <v>2026/10/08 </v>
      </c>
      <c r="H61" s="12" t="s">
        <v>60</v>
      </c>
      <c r="I61" s="7" t="str">
        <f>IFERROR(VLOOKUP(E61,'(新)ﾍﾞﾝﾀﾞｰ小型'!$A$3:$K$300,10,0),"")</f>
        <v>2026/10/08 </v>
      </c>
    </row>
    <row r="62" spans="1:9" s="19" customFormat="1" ht="13.5" customHeight="1" thickBot="1" x14ac:dyDescent="0.2">
      <c r="A62" s="11">
        <v>61</v>
      </c>
      <c r="B62" s="7" t="str">
        <f>IFERROR(VLOOKUP(E62,'(新)ﾍﾞﾝﾀﾞｰ小型'!$A$3:$K$300,2,0), "")</f>
        <v>10月 </v>
      </c>
      <c r="C62" s="7" t="str">
        <f>IFERROR(VLOOKUP(E62,'(新)ﾍﾞﾝﾀﾞｰ小型'!$A$3:$K$300,4,0), "")</f>
        <v>EGB8025E_EXP </v>
      </c>
      <c r="D62" s="7" t="str">
        <f>IFERROR(VLOOKUP(E62,'(新)ﾍﾞﾝﾀﾞｰ小型'!$A$3:$K$300,5,0), "")</f>
        <v> ＡＭＡＤＡ　ＴＡＩＷＡＮ　ＩＮＣ． </v>
      </c>
      <c r="E62" s="23" t="str">
        <f>'(新)ﾍﾞﾝﾀﾞｰ小型'!A63</f>
        <v> TS82577282 </v>
      </c>
      <c r="F62" s="8" t="str">
        <f>IFERROR(VLOOKUP(E62,'(新)ﾍﾞﾝﾀﾞｰ小型'!$A$3:$K$300,8,0), "")</f>
        <v>0E1858 </v>
      </c>
      <c r="G62" s="7" t="str">
        <f>IFERROR(VLOOKUP(E62,'(旧)ﾍﾞﾝﾀﾞｰ小型'!$A$3:$K$310,10,0),"")</f>
        <v>2026/10/09 </v>
      </c>
      <c r="H62" s="12" t="s">
        <v>60</v>
      </c>
      <c r="I62" s="7" t="str">
        <f>IFERROR(VLOOKUP(E62,'(新)ﾍﾞﾝﾀﾞｰ小型'!$A$3:$K$300,10,0),"")</f>
        <v>2026/10/09 </v>
      </c>
    </row>
    <row r="63" spans="1:9" s="19" customFormat="1" ht="13.5" customHeight="1" thickBot="1" x14ac:dyDescent="0.2">
      <c r="A63" s="11">
        <v>62</v>
      </c>
      <c r="B63" s="7" t="str">
        <f>IFERROR(VLOOKUP(E63,'(新)ﾍﾞﾝﾀﾞｰ小型'!$A$3:$K$300,2,0), "")</f>
        <v>10月 </v>
      </c>
      <c r="C63" s="7" t="str">
        <f>IFERROR(VLOOKUP(E63,'(新)ﾍﾞﾝﾀﾞｰ小型'!$A$3:$K$300,4,0), "")</f>
        <v>EGB1303AE_EXP </v>
      </c>
      <c r="D63" s="7" t="str">
        <f>IFERROR(VLOOKUP(E63,'(新)ﾍﾞﾝﾀﾞｰ小型'!$A$3:$K$300,5,0), "")</f>
        <v> ＡＭＡＤＡ　ＫＯＲＥＡ　ＣＯ．，ＬＴＤ． </v>
      </c>
      <c r="E63" s="23" t="str">
        <f>'(新)ﾍﾞﾝﾀﾞｰ小型'!A64</f>
        <v> TS13399263 </v>
      </c>
      <c r="F63" s="8" t="str">
        <f>IFERROR(VLOOKUP(E63,'(新)ﾍﾞﾝﾀﾞｰ小型'!$A$3:$K$300,8,0), "")</f>
        <v>0E1243 </v>
      </c>
      <c r="G63" s="7" t="str">
        <f>IFERROR(VLOOKUP(E63,'(旧)ﾍﾞﾝﾀﾞｰ小型'!$A$3:$K$310,10,0),"")</f>
        <v>2026/10/09 </v>
      </c>
      <c r="H63" s="12" t="s">
        <v>60</v>
      </c>
      <c r="I63" s="7" t="str">
        <f>IFERROR(VLOOKUP(E63,'(新)ﾍﾞﾝﾀﾞｰ小型'!$A$3:$K$300,10,0),"")</f>
        <v>2026/10/09 </v>
      </c>
    </row>
    <row r="64" spans="1:9" s="19" customFormat="1" ht="13.5" customHeight="1" thickBot="1" x14ac:dyDescent="0.2">
      <c r="A64" s="11">
        <v>63</v>
      </c>
      <c r="B64" s="7" t="str">
        <f>IFERROR(VLOOKUP(E64,'(新)ﾍﾞﾝﾀﾞｰ小型'!$A$3:$K$300,2,0), "")</f>
        <v>10月 </v>
      </c>
      <c r="C64" s="7" t="str">
        <f>IFERROR(VLOOKUP(E64,'(新)ﾍﾞﾝﾀﾞｰ小型'!$A$3:$K$300,4,0), "")</f>
        <v>EGB8025E_EXP </v>
      </c>
      <c r="D64" s="7" t="str">
        <f>IFERROR(VLOOKUP(E64,'(新)ﾍﾞﾝﾀﾞｰ小型'!$A$3:$K$300,5,0), "")</f>
        <v> ＡＭＡＤＡ　ＣＡＮＡＤＡ　ＬＴＤ． </v>
      </c>
      <c r="E64" s="23" t="str">
        <f>'(新)ﾍﾞﾝﾀﾞｰ小型'!A65</f>
        <v> TS82577286 </v>
      </c>
      <c r="F64" s="8" t="str">
        <f>IFERROR(VLOOKUP(E64,'(新)ﾍﾞﾝﾀﾞｰ小型'!$A$3:$K$300,8,0), "")</f>
        <v>0E1858 </v>
      </c>
      <c r="G64" s="7" t="str">
        <f>IFERROR(VLOOKUP(E64,'(旧)ﾍﾞﾝﾀﾞｰ小型'!$A$3:$K$310,10,0),"")</f>
        <v>2026/10/09 </v>
      </c>
      <c r="H64" s="12" t="s">
        <v>60</v>
      </c>
      <c r="I64" s="7" t="str">
        <f>IFERROR(VLOOKUP(E64,'(新)ﾍﾞﾝﾀﾞｰ小型'!$A$3:$K$300,10,0),"")</f>
        <v>2026/10/09 </v>
      </c>
    </row>
    <row r="65" spans="1:9" s="19" customFormat="1" ht="13.5" customHeight="1" thickBot="1" x14ac:dyDescent="0.2">
      <c r="A65" s="11">
        <v>64</v>
      </c>
      <c r="B65" s="7" t="str">
        <f>IFERROR(VLOOKUP(E65,'(新)ﾍﾞﾝﾀﾞｰ小型'!$A$3:$K$300,2,0), "")</f>
        <v>10月 </v>
      </c>
      <c r="C65" s="7" t="str">
        <f>IFERROR(VLOOKUP(E65,'(新)ﾍﾞﾝﾀﾞｰ小型'!$A$3:$K$300,4,0), "")</f>
        <v>EGB1303E </v>
      </c>
      <c r="D65" s="7" t="str">
        <f>IFERROR(VLOOKUP(E65,'(新)ﾍﾞﾝﾀﾞｰ小型'!$A$3:$K$300,5,0), "")</f>
        <v> （有）石井製作所 </v>
      </c>
      <c r="E65" s="23" t="str">
        <f>'(新)ﾍﾞﾝﾀﾞｰ小型'!A66</f>
        <v> TS13377329 </v>
      </c>
      <c r="F65" s="8" t="str">
        <f>IFERROR(VLOOKUP(E65,'(新)ﾍﾞﾝﾀﾞｰ小型'!$A$3:$K$300,8,0), "")</f>
        <v>0D9824 </v>
      </c>
      <c r="G65" s="7" t="str">
        <f>IFERROR(VLOOKUP(E65,'(旧)ﾍﾞﾝﾀﾞｰ小型'!$A$3:$K$310,10,0),"")</f>
        <v>2026/10/13 </v>
      </c>
      <c r="H65" s="12" t="s">
        <v>60</v>
      </c>
      <c r="I65" s="7" t="str">
        <f>IFERROR(VLOOKUP(E65,'(新)ﾍﾞﾝﾀﾞｰ小型'!$A$3:$K$300,10,0),"")</f>
        <v>2026/10/13 </v>
      </c>
    </row>
    <row r="66" spans="1:9" s="19" customFormat="1" ht="13.8" thickBot="1" x14ac:dyDescent="0.2">
      <c r="A66" s="11">
        <v>65</v>
      </c>
      <c r="B66" s="7" t="str">
        <f>IFERROR(VLOOKUP(E66,'(新)ﾍﾞﾝﾀﾞｰ小型'!$A$3:$K$300,2,0), "")</f>
        <v>10月 </v>
      </c>
      <c r="C66" s="7" t="str">
        <f>IFERROR(VLOOKUP(E66,'(新)ﾍﾞﾝﾀﾞｰ小型'!$A$3:$K$300,4,0), "")</f>
        <v>EGB1303E_EXP </v>
      </c>
      <c r="D66" s="7" t="str">
        <f>IFERROR(VLOOKUP(E66,'(新)ﾍﾞﾝﾀﾞｰ小型'!$A$3:$K$300,5,0), "")</f>
        <v> ＡＭＡＤＡ　ＫＯＲＥＡ　ＣＯ．，ＬＴＤ． </v>
      </c>
      <c r="E66" s="23" t="str">
        <f>'(新)ﾍﾞﾝﾀﾞｰ小型'!A67</f>
        <v> TS13377335 </v>
      </c>
      <c r="F66" s="8" t="str">
        <f>IFERROR(VLOOKUP(E66,'(新)ﾍﾞﾝﾀﾞｰ小型'!$A$3:$K$300,8,0), "")</f>
        <v>0D9825 </v>
      </c>
      <c r="G66" s="7" t="str">
        <f>IFERROR(VLOOKUP(E66,'(旧)ﾍﾞﾝﾀﾞｰ小型'!$A$3:$K$310,10,0),"")</f>
        <v>2026/10/13 </v>
      </c>
      <c r="H66" s="12" t="s">
        <v>60</v>
      </c>
      <c r="I66" s="7" t="str">
        <f>IFERROR(VLOOKUP(E66,'(新)ﾍﾞﾝﾀﾞｰ小型'!$A$3:$K$300,10,0),"")</f>
        <v>2026/10/13 </v>
      </c>
    </row>
    <row r="67" spans="1:9" s="19" customFormat="1" ht="13.5" customHeight="1" thickBot="1" x14ac:dyDescent="0.2">
      <c r="A67" s="11">
        <v>66</v>
      </c>
      <c r="B67" s="7" t="str">
        <f>IFERROR(VLOOKUP(E67,'(新)ﾍﾞﾝﾀﾞｰ小型'!$A$3:$K$300,2,0), "")</f>
        <v>10月 </v>
      </c>
      <c r="C67" s="7" t="str">
        <f>IFERROR(VLOOKUP(E67,'(新)ﾍﾞﾝﾀﾞｰ小型'!$A$3:$K$300,4,0), "")</f>
        <v>EGB1303E_EXP </v>
      </c>
      <c r="D67" s="7" t="str">
        <f>IFERROR(VLOOKUP(E67,'(新)ﾍﾞﾝﾀﾞｰ小型'!$A$3:$K$300,5,0), "")</f>
        <v> ＡＭＡＤＡ　ＡＭＥＲＩＣＡ　ＩＮＣ． </v>
      </c>
      <c r="E67" s="23" t="str">
        <f>'(新)ﾍﾞﾝﾀﾞｰ小型'!A68</f>
        <v> TS13377333 </v>
      </c>
      <c r="F67" s="8" t="str">
        <f>IFERROR(VLOOKUP(E67,'(新)ﾍﾞﾝﾀﾞｰ小型'!$A$3:$K$300,8,0), "")</f>
        <v>0D9825 </v>
      </c>
      <c r="G67" s="7" t="str">
        <f>IFERROR(VLOOKUP(E67,'(旧)ﾍﾞﾝﾀﾞｰ小型'!$A$3:$K$310,10,0),"")</f>
        <v>2026/10/15 </v>
      </c>
      <c r="H67" s="12" t="s">
        <v>60</v>
      </c>
      <c r="I67" s="7" t="str">
        <f>IFERROR(VLOOKUP(E67,'(新)ﾍﾞﾝﾀﾞｰ小型'!$A$3:$K$300,10,0),"")</f>
        <v>2026/10/15 </v>
      </c>
    </row>
    <row r="68" spans="1:9" s="19" customFormat="1" ht="13.5" customHeight="1" thickBot="1" x14ac:dyDescent="0.2">
      <c r="A68" s="11">
        <v>67</v>
      </c>
      <c r="B68" s="7" t="str">
        <f>IFERROR(VLOOKUP(E68,'(新)ﾍﾞﾝﾀﾞｰ小型'!$A$3:$K$300,2,0), "")</f>
        <v>10月 </v>
      </c>
      <c r="C68" s="7" t="str">
        <f>IFERROR(VLOOKUP(E68,'(新)ﾍﾞﾝﾀﾞｰ小型'!$A$3:$K$300,4,0), "")</f>
        <v>EGB6020E_EXP </v>
      </c>
      <c r="D68" s="7" t="str">
        <f>IFERROR(VLOOKUP(E68,'(新)ﾍﾞﾝﾀﾞｰ小型'!$A$3:$K$300,5,0), "")</f>
        <v> ＡＭＡＤＡ　ＡＭＥＲＩＣＡ　ＩＮＣ． </v>
      </c>
      <c r="E68" s="23" t="str">
        <f>'(新)ﾍﾞﾝﾀﾞｰ小型'!A69</f>
        <v> TS62077158 </v>
      </c>
      <c r="F68" s="8" t="str">
        <f>IFERROR(VLOOKUP(E68,'(新)ﾍﾞﾝﾀﾞｰ小型'!$A$3:$K$300,8,0), "")</f>
        <v>0D7905 </v>
      </c>
      <c r="G68" s="7" t="str">
        <f>IFERROR(VLOOKUP(E68,'(旧)ﾍﾞﾝﾀﾞｰ小型'!$A$3:$K$310,10,0),"")</f>
        <v>2026/10/15 </v>
      </c>
      <c r="H68" s="12" t="s">
        <v>60</v>
      </c>
      <c r="I68" s="7" t="str">
        <f>IFERROR(VLOOKUP(E68,'(新)ﾍﾞﾝﾀﾞｰ小型'!$A$3:$K$300,10,0),"")</f>
        <v>2026/10/15 </v>
      </c>
    </row>
    <row r="69" spans="1:9" s="19" customFormat="1" ht="13.5" customHeight="1" thickBot="1" x14ac:dyDescent="0.2">
      <c r="A69" s="11">
        <v>68</v>
      </c>
      <c r="B69" s="7" t="str">
        <f>IFERROR(VLOOKUP(E69,'(新)ﾍﾞﾝﾀﾞｰ小型'!$A$3:$K$300,2,0), "")</f>
        <v>10月 </v>
      </c>
      <c r="C69" s="7" t="str">
        <f>IFERROR(VLOOKUP(E69,'(新)ﾍﾞﾝﾀﾞｰ小型'!$A$3:$K$300,4,0), "")</f>
        <v>EGB8025E_EXP </v>
      </c>
      <c r="D69" s="7" t="str">
        <f>IFERROR(VLOOKUP(E69,'(新)ﾍﾞﾝﾀﾞｰ小型'!$A$3:$K$300,5,0), "")</f>
        <v> ＡＭＡＤＡ　ＣＡＮＡＤＡ　ＬＴＤ． </v>
      </c>
      <c r="E69" s="23" t="str">
        <f>'(新)ﾍﾞﾝﾀﾞｰ小型'!A70</f>
        <v> TS82577287 </v>
      </c>
      <c r="F69" s="8" t="str">
        <f>IFERROR(VLOOKUP(E69,'(新)ﾍﾞﾝﾀﾞｰ小型'!$A$3:$K$300,8,0), "")</f>
        <v>0E1858 </v>
      </c>
      <c r="G69" s="7" t="str">
        <f>IFERROR(VLOOKUP(E69,'(旧)ﾍﾞﾝﾀﾞｰ小型'!$A$3:$K$310,10,0),"")</f>
        <v>2026/10/15 </v>
      </c>
      <c r="H69" s="12" t="s">
        <v>60</v>
      </c>
      <c r="I69" s="7" t="str">
        <f>IFERROR(VLOOKUP(E69,'(新)ﾍﾞﾝﾀﾞｰ小型'!$A$3:$K$300,10,0),"")</f>
        <v>2026/10/15 </v>
      </c>
    </row>
    <row r="70" spans="1:9" s="19" customFormat="1" ht="13.5" customHeight="1" thickBot="1" x14ac:dyDescent="0.2">
      <c r="A70" s="11">
        <v>69</v>
      </c>
      <c r="B70" s="7" t="str">
        <f>IFERROR(VLOOKUP(E70,'(新)ﾍﾞﾝﾀﾞｰ小型'!$A$3:$K$300,2,0), "")</f>
        <v>11月 </v>
      </c>
      <c r="C70" s="7" t="str">
        <f>IFERROR(VLOOKUP(E70,'(新)ﾍﾞﾝﾀﾞｰ小型'!$A$3:$K$300,4,0), "")</f>
        <v>EGB6020AE_EXP </v>
      </c>
      <c r="D70" s="7" t="str">
        <f>IFERROR(VLOOKUP(E70,'(新)ﾍﾞﾝﾀﾞｰ小型'!$A$3:$K$300,5,0), "")</f>
        <v> ＡＭＡＤＡ　ＡＭＥＲＩＣＡ　ＩＮＣ． </v>
      </c>
      <c r="E70" s="23" t="str">
        <f>'(新)ﾍﾞﾝﾀﾞｰ小型'!A71</f>
        <v> TS60299204 </v>
      </c>
      <c r="F70" s="8" t="str">
        <f>IFERROR(VLOOKUP(E70,'(新)ﾍﾞﾝﾀﾞｰ小型'!$A$3:$K$300,8,0), "")</f>
        <v>0D8050 </v>
      </c>
      <c r="G70" s="7" t="str">
        <f>IFERROR(VLOOKUP(E70,'(旧)ﾍﾞﾝﾀﾞｰ小型'!$A$3:$K$310,10,0),"")</f>
        <v>2026/10/10 </v>
      </c>
      <c r="H70" s="12" t="s">
        <v>60</v>
      </c>
      <c r="I70" s="7" t="str">
        <f>IFERROR(VLOOKUP(E70,'(新)ﾍﾞﾝﾀﾞｰ小型'!$A$3:$K$300,10,0),"")</f>
        <v>2026/10/10 </v>
      </c>
    </row>
    <row r="71" spans="1:9" s="19" customFormat="1" ht="13.5" customHeight="1" thickBot="1" x14ac:dyDescent="0.2">
      <c r="A71" s="11">
        <v>70</v>
      </c>
      <c r="B71" s="7" t="str">
        <f>IFERROR(VLOOKUP(E71,'(新)ﾍﾞﾝﾀﾞｰ小型'!$A$3:$K$300,2,0), "")</f>
        <v>11月 </v>
      </c>
      <c r="C71" s="7" t="str">
        <f>IFERROR(VLOOKUP(E71,'(新)ﾍﾞﾝﾀﾞｰ小型'!$A$3:$K$300,4,0), "")</f>
        <v>EGB1303ARE_EXP </v>
      </c>
      <c r="D71" s="7" t="str">
        <f>IFERROR(VLOOKUP(E71,'(新)ﾍﾞﾝﾀﾞｰ小型'!$A$3:$K$300,5,0), "")</f>
        <v> ＡＭＡＤＡ　ＡＭＥＲＩＣＡ　ＩＮＣ． </v>
      </c>
      <c r="E71" s="23" t="str">
        <f>'(新)ﾍﾞﾝﾀﾞｰ小型'!A72</f>
        <v> TS13329058 </v>
      </c>
      <c r="F71" s="8" t="str">
        <f>IFERROR(VLOOKUP(E71,'(新)ﾍﾞﾝﾀﾞｰ小型'!$A$3:$K$300,8,0), "")</f>
        <v>0E1859 </v>
      </c>
      <c r="G71" s="7" t="str">
        <f>IFERROR(VLOOKUP(E71,'(旧)ﾍﾞﾝﾀﾞｰ小型'!$A$3:$K$310,10,0),"")</f>
        <v>2026/10/16 </v>
      </c>
      <c r="H71" s="12" t="s">
        <v>60</v>
      </c>
      <c r="I71" s="7" t="str">
        <f>IFERROR(VLOOKUP(E71,'(新)ﾍﾞﾝﾀﾞｰ小型'!$A$3:$K$300,10,0),"")</f>
        <v>2026/10/16 </v>
      </c>
    </row>
    <row r="72" spans="1:9" s="19" customFormat="1" ht="13.5" customHeight="1" thickBot="1" x14ac:dyDescent="0.2">
      <c r="A72" s="11">
        <v>71</v>
      </c>
      <c r="B72" s="7" t="str">
        <f>IFERROR(VLOOKUP(E72,'(新)ﾍﾞﾝﾀﾞｰ小型'!$A$3:$K$300,2,0), "")</f>
        <v>11月 </v>
      </c>
      <c r="C72" s="7" t="str">
        <f>IFERROR(VLOOKUP(E72,'(新)ﾍﾞﾝﾀﾞｰ小型'!$A$3:$K$300,4,0), "")</f>
        <v>EGB1303E_EXP </v>
      </c>
      <c r="D72" s="7" t="str">
        <f>IFERROR(VLOOKUP(E72,'(新)ﾍﾞﾝﾀﾞｰ小型'!$A$3:$K$300,5,0), "")</f>
        <v> 【AAI】Sullair </v>
      </c>
      <c r="E72" s="23" t="str">
        <f>'(新)ﾍﾞﾝﾀﾞｰ小型'!A73</f>
        <v> TS13377296 </v>
      </c>
      <c r="F72" s="8" t="str">
        <f>IFERROR(VLOOKUP(E72,'(新)ﾍﾞﾝﾀﾞｰ小型'!$A$3:$K$300,8,0), "")</f>
        <v>0G3556 </v>
      </c>
      <c r="G72" s="7" t="str">
        <f>IFERROR(VLOOKUP(E72,'(旧)ﾍﾞﾝﾀﾞｰ小型'!$A$3:$K$310,10,0),"")</f>
        <v>2026/10/16 </v>
      </c>
      <c r="H72" s="12" t="s">
        <v>60</v>
      </c>
      <c r="I72" s="7" t="str">
        <f>IFERROR(VLOOKUP(E72,'(新)ﾍﾞﾝﾀﾞｰ小型'!$A$3:$K$300,10,0),"")</f>
        <v>2026/10/16 </v>
      </c>
    </row>
    <row r="73" spans="1:9" s="19" customFormat="1" ht="13.5" customHeight="1" thickBot="1" x14ac:dyDescent="0.2">
      <c r="A73" s="11">
        <v>72</v>
      </c>
      <c r="B73" s="7" t="str">
        <f>IFERROR(VLOOKUP(E73,'(新)ﾍﾞﾝﾀﾞｰ小型'!$A$3:$K$300,2,0), "")</f>
        <v>11月 </v>
      </c>
      <c r="C73" s="7" t="str">
        <f>IFERROR(VLOOKUP(E73,'(新)ﾍﾞﾝﾀﾞｰ小型'!$A$3:$K$300,4,0), "")</f>
        <v>EGB1303E </v>
      </c>
      <c r="D73" s="7" t="str">
        <f>IFERROR(VLOOKUP(E73,'(新)ﾍﾞﾝﾀﾞｰ小型'!$A$3:$K$300,5,0), "")</f>
        <v> 遠藤工業（株） </v>
      </c>
      <c r="E73" s="23" t="str">
        <f>'(新)ﾍﾞﾝﾀﾞｰ小型'!A74</f>
        <v> TS13377343 </v>
      </c>
      <c r="F73" s="8" t="str">
        <f>IFERROR(VLOOKUP(E73,'(新)ﾍﾞﾝﾀﾞｰ小型'!$A$3:$K$300,8,0), "")</f>
        <v>0D9824 </v>
      </c>
      <c r="G73" s="7" t="str">
        <f>IFERROR(VLOOKUP(E73,'(旧)ﾍﾞﾝﾀﾞｰ小型'!$A$3:$K$310,10,0),"")</f>
        <v>2026/10/20 </v>
      </c>
      <c r="H73" s="12" t="s">
        <v>60</v>
      </c>
      <c r="I73" s="7" t="str">
        <f>IFERROR(VLOOKUP(E73,'(新)ﾍﾞﾝﾀﾞｰ小型'!$A$3:$K$300,10,0),"")</f>
        <v>2026/10/20 </v>
      </c>
    </row>
    <row r="74" spans="1:9" s="19" customFormat="1" ht="13.5" customHeight="1" thickBot="1" x14ac:dyDescent="0.2">
      <c r="A74" s="11">
        <v>73</v>
      </c>
      <c r="B74" s="7" t="str">
        <f>IFERROR(VLOOKUP(E74,'(新)ﾍﾞﾝﾀﾞｰ小型'!$A$3:$K$300,2,0), "")</f>
        <v>11月 </v>
      </c>
      <c r="C74" s="7" t="str">
        <f>IFERROR(VLOOKUP(E74,'(新)ﾍﾞﾝﾀﾞｰ小型'!$A$3:$K$300,4,0), "")</f>
        <v>EGB6020AE_EXP </v>
      </c>
      <c r="D74" s="7" t="str">
        <f>IFERROR(VLOOKUP(E74,'(新)ﾍﾞﾝﾀﾞｰ小型'!$A$3:$K$300,5,0), "")</f>
        <v> ＡＭＡＤＡ　ＣＡＮＡＤＡ　ＬＴＤ． </v>
      </c>
      <c r="E74" s="23" t="str">
        <f>'(新)ﾍﾞﾝﾀﾞｰ小型'!A75</f>
        <v> TS60299205 </v>
      </c>
      <c r="F74" s="8" t="str">
        <f>IFERROR(VLOOKUP(E74,'(新)ﾍﾞﾝﾀﾞｰ小型'!$A$3:$K$300,8,0), "")</f>
        <v>0D8050 </v>
      </c>
      <c r="G74" s="7" t="str">
        <f>IFERROR(VLOOKUP(E74,'(旧)ﾍﾞﾝﾀﾞｰ小型'!$A$3:$K$310,10,0),"")</f>
        <v>2026/10/13 </v>
      </c>
      <c r="H74" s="12" t="s">
        <v>60</v>
      </c>
      <c r="I74" s="7" t="str">
        <f>IFERROR(VLOOKUP(E74,'(新)ﾍﾞﾝﾀﾞｰ小型'!$A$3:$K$300,10,0),"")</f>
        <v>2026/10/20 </v>
      </c>
    </row>
    <row r="75" spans="1:9" s="19" customFormat="1" ht="13.5" customHeight="1" thickBot="1" x14ac:dyDescent="0.2">
      <c r="A75" s="11">
        <v>74</v>
      </c>
      <c r="B75" s="7" t="str">
        <f>IFERROR(VLOOKUP(E75,'(新)ﾍﾞﾝﾀﾞｰ小型'!$A$3:$K$300,2,0), "")</f>
        <v>11月 </v>
      </c>
      <c r="C75" s="7" t="str">
        <f>IFERROR(VLOOKUP(E75,'(新)ﾍﾞﾝﾀﾞｰ小型'!$A$3:$K$300,4,0), "")</f>
        <v>EGB8025E </v>
      </c>
      <c r="D75" s="7" t="str">
        <f>IFERROR(VLOOKUP(E75,'(新)ﾍﾞﾝﾀﾞｰ小型'!$A$3:$K$300,5,0), "")</f>
        <v> （株）新電機製作所 </v>
      </c>
      <c r="E75" s="23" t="str">
        <f>'(新)ﾍﾞﾝﾀﾞｰ小型'!A76</f>
        <v> TS82577300 </v>
      </c>
      <c r="F75" s="8" t="str">
        <f>IFERROR(VLOOKUP(E75,'(新)ﾍﾞﾝﾀﾞｰ小型'!$A$3:$K$300,8,0), "")</f>
        <v>0E1240 </v>
      </c>
      <c r="G75" s="7" t="str">
        <f>IFERROR(VLOOKUP(E75,'(旧)ﾍﾞﾝﾀﾞｰ小型'!$A$3:$K$310,10,0),"")</f>
        <v>2026/10/21 </v>
      </c>
      <c r="H75" s="12" t="s">
        <v>60</v>
      </c>
      <c r="I75" s="7" t="str">
        <f>IFERROR(VLOOKUP(E75,'(新)ﾍﾞﾝﾀﾞｰ小型'!$A$3:$K$300,10,0),"")</f>
        <v>2026/10/21 </v>
      </c>
    </row>
    <row r="76" spans="1:9" s="19" customFormat="1" ht="13.5" customHeight="1" thickBot="1" x14ac:dyDescent="0.2">
      <c r="A76" s="11">
        <v>75</v>
      </c>
      <c r="B76" s="7" t="str">
        <f>IFERROR(VLOOKUP(E76,'(新)ﾍﾞﾝﾀﾞｰ小型'!$A$3:$K$300,2,0), "")</f>
        <v>11月 </v>
      </c>
      <c r="C76" s="7" t="str">
        <f>IFERROR(VLOOKUP(E76,'(新)ﾍﾞﾝﾀﾞｰ小型'!$A$3:$K$300,4,0), "")</f>
        <v>EGB1303E_EXP </v>
      </c>
      <c r="D76" s="7" t="str">
        <f>IFERROR(VLOOKUP(E76,'(新)ﾍﾞﾝﾀﾞｰ小型'!$A$3:$K$300,5,0), "")</f>
        <v> ＡＭＡＤＡ　ＫＯＲＥＡ　ＣＯ．，ＬＴＤ． </v>
      </c>
      <c r="E76" s="23" t="str">
        <f>'(新)ﾍﾞﾝﾀﾞｰ小型'!A77</f>
        <v> TS13377339 </v>
      </c>
      <c r="F76" s="8" t="str">
        <f>IFERROR(VLOOKUP(E76,'(新)ﾍﾞﾝﾀﾞｰ小型'!$A$3:$K$300,8,0), "")</f>
        <v>0D9825 </v>
      </c>
      <c r="G76" s="7" t="str">
        <f>IFERROR(VLOOKUP(E76,'(旧)ﾍﾞﾝﾀﾞｰ小型'!$A$3:$K$310,10,0),"")</f>
        <v>2026/10/20 </v>
      </c>
      <c r="H76" s="12" t="s">
        <v>60</v>
      </c>
      <c r="I76" s="7" t="str">
        <f>IFERROR(VLOOKUP(E76,'(新)ﾍﾞﾝﾀﾞｰ小型'!$A$3:$K$300,10,0),"")</f>
        <v>2026/10/21 </v>
      </c>
    </row>
    <row r="77" spans="1:9" s="19" customFormat="1" ht="13.5" customHeight="1" thickBot="1" x14ac:dyDescent="0.2">
      <c r="A77" s="11">
        <v>76</v>
      </c>
      <c r="B77" s="7" t="str">
        <f>IFERROR(VLOOKUP(E77,'(新)ﾍﾞﾝﾀﾞｰ小型'!$A$3:$K$300,2,0), "")</f>
        <v>11月 </v>
      </c>
      <c r="C77" s="7" t="str">
        <f>IFERROR(VLOOKUP(E77,'(新)ﾍﾞﾝﾀﾞｰ小型'!$A$3:$K$300,4,0), "")</f>
        <v>EGB1303E_EXP </v>
      </c>
      <c r="D77" s="7" t="str">
        <f>IFERROR(VLOOKUP(E77,'(新)ﾍﾞﾝﾀﾞｰ小型'!$A$3:$K$300,5,0), "")</f>
        <v> 【ベトナム】ACIT </v>
      </c>
      <c r="E77" s="23" t="str">
        <f>'(新)ﾍﾞﾝﾀﾞｰ小型'!A78</f>
        <v> TS13377340 </v>
      </c>
      <c r="F77" s="8" t="str">
        <f>IFERROR(VLOOKUP(E77,'(新)ﾍﾞﾝﾀﾞｰ小型'!$A$3:$K$300,8,0), "")</f>
        <v>0D9825 </v>
      </c>
      <c r="G77" s="7" t="str">
        <f>IFERROR(VLOOKUP(E77,'(旧)ﾍﾞﾝﾀﾞｰ小型'!$A$3:$K$310,10,0),"")</f>
        <v>2026/10/21 </v>
      </c>
      <c r="H77" s="12" t="s">
        <v>60</v>
      </c>
      <c r="I77" s="7" t="str">
        <f>IFERROR(VLOOKUP(E77,'(新)ﾍﾞﾝﾀﾞｰ小型'!$A$3:$K$300,10,0),"")</f>
        <v>2026/10/22 </v>
      </c>
    </row>
    <row r="78" spans="1:9" s="19" customFormat="1" ht="13.5" customHeight="1" thickBot="1" x14ac:dyDescent="0.2">
      <c r="A78" s="11">
        <v>77</v>
      </c>
      <c r="B78" s="7" t="str">
        <f>IFERROR(VLOOKUP(E78,'(新)ﾍﾞﾝﾀﾞｰ小型'!$A$3:$K$300,2,0), "")</f>
        <v>11月 </v>
      </c>
      <c r="C78" s="7" t="str">
        <f>IFERROR(VLOOKUP(E78,'(新)ﾍﾞﾝﾀﾞｰ小型'!$A$3:$K$300,4,0), "")</f>
        <v>EGB1303AE_EXP </v>
      </c>
      <c r="D78" s="7" t="str">
        <f>IFERROR(VLOOKUP(E78,'(新)ﾍﾞﾝﾀﾞｰ小型'!$A$3:$K$300,5,0), "")</f>
        <v> ＡＭＡＤＡ　ＡＭＥＲＩＣＡ　ＩＮＣ． </v>
      </c>
      <c r="E78" s="23" t="str">
        <f>'(新)ﾍﾞﾝﾀﾞｰ小型'!A79</f>
        <v> TS13399264 </v>
      </c>
      <c r="F78" s="8" t="str">
        <f>IFERROR(VLOOKUP(E78,'(新)ﾍﾞﾝﾀﾞｰ小型'!$A$3:$K$300,8,0), "")</f>
        <v>0E1243 </v>
      </c>
      <c r="G78" s="7" t="str">
        <f>IFERROR(VLOOKUP(E78,'(旧)ﾍﾞﾝﾀﾞｰ小型'!$A$3:$K$310,10,0),"")</f>
        <v>2026/10/16 </v>
      </c>
      <c r="H78" s="12" t="s">
        <v>60</v>
      </c>
      <c r="I78" s="7" t="str">
        <f>IFERROR(VLOOKUP(E78,'(新)ﾍﾞﾝﾀﾞｰ小型'!$A$3:$K$300,10,0),"")</f>
        <v>2026/10/22 </v>
      </c>
    </row>
    <row r="79" spans="1:9" s="19" customFormat="1" ht="13.5" customHeight="1" thickBot="1" x14ac:dyDescent="0.2">
      <c r="A79" s="11">
        <v>78</v>
      </c>
      <c r="B79" s="7" t="str">
        <f>IFERROR(VLOOKUP(E79,'(新)ﾍﾞﾝﾀﾞｰ小型'!$A$3:$K$300,2,0), "")</f>
        <v>11月 </v>
      </c>
      <c r="C79" s="7" t="str">
        <f>IFERROR(VLOOKUP(E79,'(新)ﾍﾞﾝﾀﾞｰ小型'!$A$3:$K$300,4,0), "")</f>
        <v>EGB1303AE </v>
      </c>
      <c r="D79" s="7" t="str">
        <f>IFERROR(VLOOKUP(E79,'(新)ﾍﾞﾝﾀﾞｰ小型'!$A$3:$K$300,5,0), "")</f>
        <v> 秋元ステンレス工業（株） </v>
      </c>
      <c r="E79" s="23" t="str">
        <f>'(新)ﾍﾞﾝﾀﾞｰ小型'!A80</f>
        <v> TS13399269 </v>
      </c>
      <c r="F79" s="8" t="str">
        <f>IFERROR(VLOOKUP(E79,'(新)ﾍﾞﾝﾀﾞｰ小型'!$A$3:$K$300,8,0), "")</f>
        <v>0D9621 </v>
      </c>
      <c r="G79" s="7" t="str">
        <f>IFERROR(VLOOKUP(E79,'(旧)ﾍﾞﾝﾀﾞｰ小型'!$A$3:$K$310,10,0),"")</f>
        <v>2026/10/20 </v>
      </c>
      <c r="H79" s="12" t="s">
        <v>60</v>
      </c>
      <c r="I79" s="7" t="str">
        <f>IFERROR(VLOOKUP(E79,'(新)ﾍﾞﾝﾀﾞｰ小型'!$A$3:$K$300,10,0),"")</f>
        <v>2026/10/24 </v>
      </c>
    </row>
    <row r="80" spans="1:9" s="19" customFormat="1" ht="13.5" customHeight="1" thickBot="1" x14ac:dyDescent="0.2">
      <c r="A80" s="11">
        <v>79</v>
      </c>
      <c r="B80" s="7" t="str">
        <f>IFERROR(VLOOKUP(E80,'(新)ﾍﾞﾝﾀﾞｰ小型'!$A$3:$K$300,2,0), "")</f>
        <v>11月 </v>
      </c>
      <c r="C80" s="7" t="str">
        <f>IFERROR(VLOOKUP(E80,'(新)ﾍﾞﾝﾀﾞｰ小型'!$A$3:$K$300,4,0), "")</f>
        <v>EGB1303E_EXP </v>
      </c>
      <c r="D80" s="7" t="str">
        <f>IFERROR(VLOOKUP(E80,'(新)ﾍﾞﾝﾀﾞｰ小型'!$A$3:$K$300,5,0), "")</f>
        <v> 【ベトナム】ACIT </v>
      </c>
      <c r="E80" s="23" t="str">
        <f>'(新)ﾍﾞﾝﾀﾞｰ小型'!A81</f>
        <v> TS13377342 </v>
      </c>
      <c r="F80" s="8" t="str">
        <f>IFERROR(VLOOKUP(E80,'(新)ﾍﾞﾝﾀﾞｰ小型'!$A$3:$K$300,8,0), "")</f>
        <v>0D9825 </v>
      </c>
      <c r="G80" s="7" t="str">
        <f>IFERROR(VLOOKUP(E80,'(旧)ﾍﾞﾝﾀﾞｰ小型'!$A$3:$K$310,10,0),"")</f>
        <v>2026/10/22 </v>
      </c>
      <c r="H80" s="12" t="s">
        <v>60</v>
      </c>
      <c r="I80" s="7" t="str">
        <f>IFERROR(VLOOKUP(E80,'(新)ﾍﾞﾝﾀﾞｰ小型'!$A$3:$K$300,10,0),"")</f>
        <v>2026/10/24 </v>
      </c>
    </row>
    <row r="81" spans="1:9" s="19" customFormat="1" ht="13.5" customHeight="1" thickBot="1" x14ac:dyDescent="0.2">
      <c r="A81" s="11">
        <v>80</v>
      </c>
      <c r="B81" s="7" t="str">
        <f>IFERROR(VLOOKUP(E81,'(新)ﾍﾞﾝﾀﾞｰ小型'!$A$3:$K$300,2,0), "")</f>
        <v>11月 </v>
      </c>
      <c r="C81" s="7" t="str">
        <f>IFERROR(VLOOKUP(E81,'(新)ﾍﾞﾝﾀﾞｰ小型'!$A$3:$K$300,4,0), "")</f>
        <v>EGB8025E_EXP </v>
      </c>
      <c r="D81" s="7" t="str">
        <f>IFERROR(VLOOKUP(E81,'(新)ﾍﾞﾝﾀﾞｰ小型'!$A$3:$K$300,5,0), "")</f>
        <v> 【タイ】Karwin Thai Advanced Technology </v>
      </c>
      <c r="E81" s="23" t="str">
        <f>'(新)ﾍﾞﾝﾀﾞｰ小型'!A82</f>
        <v> TS82577296 </v>
      </c>
      <c r="F81" s="8" t="str">
        <f>IFERROR(VLOOKUP(E81,'(新)ﾍﾞﾝﾀﾞｰ小型'!$A$3:$K$300,8,0), "")</f>
        <v>0E1858 </v>
      </c>
      <c r="G81" s="7" t="str">
        <f>IFERROR(VLOOKUP(E81,'(旧)ﾍﾞﾝﾀﾞｰ小型'!$A$3:$K$310,10,0),"")</f>
        <v>2026/10/27 </v>
      </c>
      <c r="H81" s="12" t="s">
        <v>60</v>
      </c>
      <c r="I81" s="7" t="str">
        <f>IFERROR(VLOOKUP(E81,'(新)ﾍﾞﾝﾀﾞｰ小型'!$A$3:$K$300,10,0),"")</f>
        <v>2026/10/27 </v>
      </c>
    </row>
    <row r="82" spans="1:9" s="19" customFormat="1" ht="13.5" customHeight="1" thickBot="1" x14ac:dyDescent="0.2">
      <c r="A82" s="11">
        <v>81</v>
      </c>
      <c r="B82" s="7" t="str">
        <f>IFERROR(VLOOKUP(E82,'(新)ﾍﾞﾝﾀﾞｰ小型'!$A$3:$K$300,2,0), "")</f>
        <v>11月 </v>
      </c>
      <c r="C82" s="7" t="str">
        <f>IFERROR(VLOOKUP(E82,'(新)ﾍﾞﾝﾀﾞｰ小型'!$A$3:$K$300,4,0), "")</f>
        <v>EGB1303AE_EXP </v>
      </c>
      <c r="D82" s="7" t="str">
        <f>IFERROR(VLOOKUP(E82,'(新)ﾍﾞﾝﾀﾞｰ小型'!$A$3:$K$300,5,0), "")</f>
        <v> ＡＭＡＤＡ　ＡＭＥＲＩＣＡ　ＩＮＣ． </v>
      </c>
      <c r="E82" s="23" t="str">
        <f>'(新)ﾍﾞﾝﾀﾞｰ小型'!A83</f>
        <v> TS13399265 </v>
      </c>
      <c r="F82" s="8" t="str">
        <f>IFERROR(VLOOKUP(E82,'(新)ﾍﾞﾝﾀﾞｰ小型'!$A$3:$K$300,8,0), "")</f>
        <v>0E1243 </v>
      </c>
      <c r="G82" s="7" t="str">
        <f>IFERROR(VLOOKUP(E82,'(旧)ﾍﾞﾝﾀﾞｰ小型'!$A$3:$K$310,10,0),"")</f>
        <v>2026/10/21 </v>
      </c>
      <c r="H82" s="12" t="s">
        <v>60</v>
      </c>
      <c r="I82" s="7" t="str">
        <f>IFERROR(VLOOKUP(E82,'(新)ﾍﾞﾝﾀﾞｰ小型'!$A$3:$K$300,10,0),"")</f>
        <v>2026/10/27 </v>
      </c>
    </row>
    <row r="83" spans="1:9" s="19" customFormat="1" ht="13.5" customHeight="1" thickBot="1" x14ac:dyDescent="0.2">
      <c r="A83" s="11">
        <v>82</v>
      </c>
      <c r="B83" s="7" t="str">
        <f>IFERROR(VLOOKUP(E83,'(新)ﾍﾞﾝﾀﾞｰ小型'!$A$3:$K$300,2,0), "")</f>
        <v>11月 </v>
      </c>
      <c r="C83" s="7" t="str">
        <f>IFERROR(VLOOKUP(E83,'(新)ﾍﾞﾝﾀﾞｰ小型'!$A$3:$K$300,4,0), "")</f>
        <v>EGB6020AE_EXP </v>
      </c>
      <c r="D83" s="7" t="str">
        <f>IFERROR(VLOOKUP(E83,'(新)ﾍﾞﾝﾀﾞｰ小型'!$A$3:$K$300,5,0), "")</f>
        <v> ＡＭＡＤＡ　ＡＭＥＲＩＣＡ　ＩＮＣ． </v>
      </c>
      <c r="E83" s="23" t="str">
        <f>'(新)ﾍﾞﾝﾀﾞｰ小型'!A84</f>
        <v> TS60299206 </v>
      </c>
      <c r="F83" s="8" t="str">
        <f>IFERROR(VLOOKUP(E83,'(新)ﾍﾞﾝﾀﾞｰ小型'!$A$3:$K$300,8,0), "")</f>
        <v>0D8050 </v>
      </c>
      <c r="G83" s="7" t="str">
        <f>IFERROR(VLOOKUP(E83,'(旧)ﾍﾞﾝﾀﾞｰ小型'!$A$3:$K$310,10,0),"")</f>
        <v>2026/10/27 </v>
      </c>
      <c r="H83" s="12" t="s">
        <v>60</v>
      </c>
      <c r="I83" s="7" t="str">
        <f>IFERROR(VLOOKUP(E83,'(新)ﾍﾞﾝﾀﾞｰ小型'!$A$3:$K$300,10,0),"")</f>
        <v>2026/10/29 </v>
      </c>
    </row>
    <row r="84" spans="1:9" s="19" customFormat="1" ht="13.5" customHeight="1" thickBot="1" x14ac:dyDescent="0.2">
      <c r="A84" s="11">
        <v>83</v>
      </c>
      <c r="B84" s="7" t="str">
        <f>IFERROR(VLOOKUP(E84,'(新)ﾍﾞﾝﾀﾞｰ小型'!$A$3:$K$300,2,0), "")</f>
        <v>11月 </v>
      </c>
      <c r="C84" s="7" t="str">
        <f>IFERROR(VLOOKUP(E84,'(新)ﾍﾞﾝﾀﾞｰ小型'!$A$3:$K$300,4,0), "")</f>
        <v>EGB6020E_EXP </v>
      </c>
      <c r="D84" s="7" t="str">
        <f>IFERROR(VLOOKUP(E84,'(新)ﾍﾞﾝﾀﾞｰ小型'!$A$3:$K$300,5,0), "")</f>
        <v> ＡＭＡＤＡ　ＡＭＥＲＩＣＡ　ＩＮＣ． </v>
      </c>
      <c r="E84" s="23" t="str">
        <f>'(新)ﾍﾞﾝﾀﾞｰ小型'!A85</f>
        <v> TS62077166 </v>
      </c>
      <c r="F84" s="8" t="str">
        <f>IFERROR(VLOOKUP(E84,'(新)ﾍﾞﾝﾀﾞｰ小型'!$A$3:$K$300,8,0), "")</f>
        <v>0D7905 </v>
      </c>
      <c r="G84" s="7" t="str">
        <f>IFERROR(VLOOKUP(E84,'(旧)ﾍﾞﾝﾀﾞｰ小型'!$A$3:$K$310,10,0),"")</f>
        <v>2026/10/22 </v>
      </c>
      <c r="H84" s="12" t="s">
        <v>60</v>
      </c>
      <c r="I84" s="7" t="str">
        <f>IFERROR(VLOOKUP(E84,'(新)ﾍﾞﾝﾀﾞｰ小型'!$A$3:$K$300,10,0),"")</f>
        <v>2026/10/29 </v>
      </c>
    </row>
    <row r="85" spans="1:9" s="19" customFormat="1" ht="13.5" customHeight="1" thickBot="1" x14ac:dyDescent="0.2">
      <c r="A85" s="11">
        <v>84</v>
      </c>
      <c r="B85" s="7" t="str">
        <f>IFERROR(VLOOKUP(E85,'(新)ﾍﾞﾝﾀﾞｰ小型'!$A$3:$K$300,2,0), "")</f>
        <v>11月 </v>
      </c>
      <c r="C85" s="7" t="str">
        <f>IFERROR(VLOOKUP(E85,'(新)ﾍﾞﾝﾀﾞｰ小型'!$A$3:$K$300,4,0), "")</f>
        <v>EGB1303AE_EXP </v>
      </c>
      <c r="D85" s="7" t="str">
        <f>IFERROR(VLOOKUP(E85,'(新)ﾍﾞﾝﾀﾞｰ小型'!$A$3:$K$300,5,0), "")</f>
        <v> 【CHINA】Foxconn天津 </v>
      </c>
      <c r="E85" s="23" t="str">
        <f>'(新)ﾍﾞﾝﾀﾞｰ小型'!A86</f>
        <v> TS13399268 </v>
      </c>
      <c r="F85" s="8" t="str">
        <f>IFERROR(VLOOKUP(E85,'(新)ﾍﾞﾝﾀﾞｰ小型'!$A$3:$K$300,8,0), "")</f>
        <v>0E1243 </v>
      </c>
      <c r="G85" s="7" t="str">
        <f>IFERROR(VLOOKUP(E85,'(旧)ﾍﾞﾝﾀﾞｰ小型'!$A$3:$K$310,10,0),"")</f>
        <v>2026/10/22 </v>
      </c>
      <c r="H85" s="12" t="s">
        <v>60</v>
      </c>
      <c r="I85" s="7" t="str">
        <f>IFERROR(VLOOKUP(E85,'(新)ﾍﾞﾝﾀﾞｰ小型'!$A$3:$K$300,10,0),"")</f>
        <v>2026/10/29 </v>
      </c>
    </row>
    <row r="86" spans="1:9" s="19" customFormat="1" ht="13.5" customHeight="1" thickBot="1" x14ac:dyDescent="0.2">
      <c r="A86" s="11">
        <v>85</v>
      </c>
      <c r="B86" s="7" t="str">
        <f>IFERROR(VLOOKUP(E86,'(新)ﾍﾞﾝﾀﾞｰ小型'!$A$3:$K$300,2,0), "")</f>
        <v>11月 </v>
      </c>
      <c r="C86" s="7" t="str">
        <f>IFERROR(VLOOKUP(E86,'(新)ﾍﾞﾝﾀﾞｰ小型'!$A$3:$K$300,4,0), "")</f>
        <v>EGB6020AE </v>
      </c>
      <c r="D86" s="7" t="str">
        <f>IFERROR(VLOOKUP(E86,'(新)ﾍﾞﾝﾀﾞｰ小型'!$A$3:$K$300,5,0), "")</f>
        <v> （株）摂津金属工業所 </v>
      </c>
      <c r="E86" s="23" t="str">
        <f>'(新)ﾍﾞﾝﾀﾞｰ小型'!A87</f>
        <v> TS60299207 </v>
      </c>
      <c r="F86" s="8" t="str">
        <f>IFERROR(VLOOKUP(E86,'(新)ﾍﾞﾝﾀﾞｰ小型'!$A$3:$K$300,8,0), "")</f>
        <v>0D7904 </v>
      </c>
      <c r="G86" s="7" t="str">
        <f>IFERROR(VLOOKUP(E86,'(旧)ﾍﾞﾝﾀﾞｰ小型'!$A$3:$K$310,10,0),"")</f>
        <v>2026/10/24 </v>
      </c>
      <c r="H86" s="12" t="s">
        <v>60</v>
      </c>
      <c r="I86" s="7" t="str">
        <f>IFERROR(VLOOKUP(E86,'(新)ﾍﾞﾝﾀﾞｰ小型'!$A$3:$K$300,10,0),"")</f>
        <v>2026/10/30 </v>
      </c>
    </row>
    <row r="87" spans="1:9" s="19" customFormat="1" ht="13.5" customHeight="1" thickBot="1" x14ac:dyDescent="0.2">
      <c r="A87" s="11">
        <v>86</v>
      </c>
      <c r="B87" s="7" t="str">
        <f>IFERROR(VLOOKUP(E87,'(新)ﾍﾞﾝﾀﾞｰ小型'!$A$3:$K$300,2,0), "")</f>
        <v>11月 </v>
      </c>
      <c r="C87" s="7" t="str">
        <f>IFERROR(VLOOKUP(E87,'(新)ﾍﾞﾝﾀﾞｰ小型'!$A$3:$K$300,4,0), "")</f>
        <v>EGB1303E </v>
      </c>
      <c r="D87" s="7" t="str">
        <f>IFERROR(VLOOKUP(E87,'(新)ﾍﾞﾝﾀﾞｰ小型'!$A$3:$K$300,5,0), "")</f>
        <v> （株）アマダベンディングＳ部 </v>
      </c>
      <c r="E87" s="23" t="str">
        <f>'(新)ﾍﾞﾝﾀﾞｰ小型'!A88</f>
        <v> TS13377347 </v>
      </c>
      <c r="F87" s="8" t="str">
        <f>IFERROR(VLOOKUP(E87,'(新)ﾍﾞﾝﾀﾞｰ小型'!$A$3:$K$300,8,0), "")</f>
        <v>0D9824 </v>
      </c>
      <c r="G87" s="7" t="str">
        <f>IFERROR(VLOOKUP(E87,'(旧)ﾍﾞﾝﾀﾞｰ小型'!$A$3:$K$310,10,0),"")</f>
        <v>2026/10/29 </v>
      </c>
      <c r="H87" s="12" t="s">
        <v>60</v>
      </c>
      <c r="I87" s="7" t="str">
        <f>IFERROR(VLOOKUP(E87,'(新)ﾍﾞﾝﾀﾞｰ小型'!$A$3:$K$300,10,0),"")</f>
        <v>2026/10/31 </v>
      </c>
    </row>
    <row r="88" spans="1:9" s="19" customFormat="1" ht="13.5" customHeight="1" thickBot="1" x14ac:dyDescent="0.2">
      <c r="A88" s="11">
        <v>87</v>
      </c>
      <c r="B88" s="7" t="str">
        <f>IFERROR(VLOOKUP(E88,'(新)ﾍﾞﾝﾀﾞｰ小型'!$A$3:$K$300,2,0), "")</f>
        <v>11月 </v>
      </c>
      <c r="C88" s="7" t="str">
        <f>IFERROR(VLOOKUP(E88,'(新)ﾍﾞﾝﾀﾞｰ小型'!$A$3:$K$300,4,0), "")</f>
        <v>EGB6020E </v>
      </c>
      <c r="D88" s="7" t="str">
        <f>IFERROR(VLOOKUP(E88,'(新)ﾍﾞﾝﾀﾞｰ小型'!$A$3:$K$300,5,0), "")</f>
        <v> （株）ケーテック </v>
      </c>
      <c r="E88" s="23" t="str">
        <f>'(新)ﾍﾞﾝﾀﾞｰ小型'!A89</f>
        <v> TS62077161 </v>
      </c>
      <c r="F88" s="8" t="str">
        <f>IFERROR(VLOOKUP(E88,'(新)ﾍﾞﾝﾀﾞｰ小型'!$A$3:$K$300,8,0), "")</f>
        <v>0D7255 </v>
      </c>
      <c r="G88" s="7" t="str">
        <f>IFERROR(VLOOKUP(E88,'(旧)ﾍﾞﾝﾀﾞｰ小型'!$A$3:$K$310,10,0),"")</f>
        <v>2026/10/24 </v>
      </c>
      <c r="H88" s="12" t="s">
        <v>60</v>
      </c>
      <c r="I88" s="7" t="str">
        <f>IFERROR(VLOOKUP(E88,'(新)ﾍﾞﾝﾀﾞｰ小型'!$A$3:$K$300,10,0),"")</f>
        <v>2026/10/31 </v>
      </c>
    </row>
    <row r="89" spans="1:9" s="19" customFormat="1" ht="13.5" customHeight="1" thickBot="1" x14ac:dyDescent="0.2">
      <c r="A89" s="11">
        <v>88</v>
      </c>
      <c r="B89" s="7" t="str">
        <f>IFERROR(VLOOKUP(E89,'(新)ﾍﾞﾝﾀﾞｰ小型'!$A$3:$K$300,2,0), "")</f>
        <v>11月 </v>
      </c>
      <c r="C89" s="7" t="str">
        <f>IFERROR(VLOOKUP(E89,'(新)ﾍﾞﾝﾀﾞｰ小型'!$A$3:$K$300,4,0), "")</f>
        <v>EGB1303AE_EXP </v>
      </c>
      <c r="D89" s="7" t="str">
        <f>IFERROR(VLOOKUP(E89,'(新)ﾍﾞﾝﾀﾞｰ小型'!$A$3:$K$300,5,0), "")</f>
        <v> ＡＭＡＤＡ　ＡＭＥＲＩＣＡ　ＩＮＣ． </v>
      </c>
      <c r="E89" s="23" t="str">
        <f>'(新)ﾍﾞﾝﾀﾞｰ小型'!A90</f>
        <v> TS13399266 </v>
      </c>
      <c r="F89" s="8" t="str">
        <f>IFERROR(VLOOKUP(E89,'(新)ﾍﾞﾝﾀﾞｰ小型'!$A$3:$K$300,8,0), "")</f>
        <v>0E1243 </v>
      </c>
      <c r="G89" s="7" t="str">
        <f>IFERROR(VLOOKUP(E89,'(旧)ﾍﾞﾝﾀﾞｰ小型'!$A$3:$K$310,10,0),"")</f>
        <v>2026/10/31 </v>
      </c>
      <c r="H89" s="12" t="s">
        <v>60</v>
      </c>
      <c r="I89" s="7" t="str">
        <f>IFERROR(VLOOKUP(E89,'(新)ﾍﾞﾝﾀﾞｰ小型'!$A$3:$K$300,10,0),"")</f>
        <v>2026/10/31 </v>
      </c>
    </row>
    <row r="90" spans="1:9" s="19" customFormat="1" ht="13.5" customHeight="1" thickBot="1" x14ac:dyDescent="0.2">
      <c r="A90" s="11">
        <v>89</v>
      </c>
      <c r="B90" s="7" t="str">
        <f>IFERROR(VLOOKUP(E90,'(新)ﾍﾞﾝﾀﾞｰ小型'!$A$3:$K$300,2,0), "")</f>
        <v>11月 </v>
      </c>
      <c r="C90" s="7" t="str">
        <f>IFERROR(VLOOKUP(E90,'(新)ﾍﾞﾝﾀﾞｰ小型'!$A$3:$K$300,4,0), "")</f>
        <v>EGB6020E_EXP </v>
      </c>
      <c r="D90" s="7" t="str">
        <f>IFERROR(VLOOKUP(E90,'(新)ﾍﾞﾝﾀﾞｰ小型'!$A$3:$K$300,5,0), "")</f>
        <v> ＡＭＡＤＡ　ＡＭＥＲＩＣＡ　ＩＮＣ． </v>
      </c>
      <c r="E90" s="23" t="str">
        <f>'(新)ﾍﾞﾝﾀﾞｰ小型'!A91</f>
        <v> TS62077165 </v>
      </c>
      <c r="F90" s="8" t="str">
        <f>IFERROR(VLOOKUP(E90,'(新)ﾍﾞﾝﾀﾞｰ小型'!$A$3:$K$300,8,0), "")</f>
        <v>0D7905 </v>
      </c>
      <c r="G90" s="7" t="str">
        <f>IFERROR(VLOOKUP(E90,'(旧)ﾍﾞﾝﾀﾞｰ小型'!$A$3:$K$310,10,0),"")</f>
        <v>2026/10/24 </v>
      </c>
      <c r="H90" s="12" t="s">
        <v>60</v>
      </c>
      <c r="I90" s="7" t="str">
        <f>IFERROR(VLOOKUP(E90,'(新)ﾍﾞﾝﾀﾞｰ小型'!$A$3:$K$300,10,0),"")</f>
        <v>2026/11/04 </v>
      </c>
    </row>
    <row r="91" spans="1:9" s="19" customFormat="1" ht="13.5" customHeight="1" thickBot="1" x14ac:dyDescent="0.2">
      <c r="A91" s="11">
        <v>90</v>
      </c>
      <c r="B91" s="7" t="str">
        <f>IFERROR(VLOOKUP(E91,'(新)ﾍﾞﾝﾀﾞｰ小型'!$A$3:$K$300,2,0), "")</f>
        <v>11月 </v>
      </c>
      <c r="C91" s="7" t="str">
        <f>IFERROR(VLOOKUP(E91,'(新)ﾍﾞﾝﾀﾞｰ小型'!$A$3:$K$300,4,0), "")</f>
        <v>EGB1303E </v>
      </c>
      <c r="D91" s="7" t="str">
        <f>IFERROR(VLOOKUP(E91,'(新)ﾍﾞﾝﾀﾞｰ小型'!$A$3:$K$300,5,0), "")</f>
        <v> （株）ＩＬＣ </v>
      </c>
      <c r="E91" s="23" t="str">
        <f>'(新)ﾍﾞﾝﾀﾞｰ小型'!A92</f>
        <v> TS13377346 </v>
      </c>
      <c r="F91" s="8" t="str">
        <f>IFERROR(VLOOKUP(E91,'(新)ﾍﾞﾝﾀﾞｰ小型'!$A$3:$K$300,8,0), "")</f>
        <v>0D9824 </v>
      </c>
      <c r="G91" s="7" t="str">
        <f>IFERROR(VLOOKUP(E91,'(旧)ﾍﾞﾝﾀﾞｰ小型'!$A$3:$K$310,10,0),"")</f>
        <v>2026/10/29 </v>
      </c>
      <c r="H91" s="12" t="s">
        <v>60</v>
      </c>
      <c r="I91" s="7" t="str">
        <f>IFERROR(VLOOKUP(E91,'(新)ﾍﾞﾝﾀﾞｰ小型'!$A$3:$K$300,10,0),"")</f>
        <v>2026/11/05 </v>
      </c>
    </row>
    <row r="92" spans="1:9" s="19" customFormat="1" ht="13.5" customHeight="1" thickBot="1" x14ac:dyDescent="0.2">
      <c r="A92" s="11">
        <v>91</v>
      </c>
      <c r="B92" s="7" t="str">
        <f>IFERROR(VLOOKUP(E92,'(新)ﾍﾞﾝﾀﾞｰ小型'!$A$3:$K$300,2,0), "")</f>
        <v>11月 </v>
      </c>
      <c r="C92" s="7" t="str">
        <f>IFERROR(VLOOKUP(E92,'(新)ﾍﾞﾝﾀﾞｰ小型'!$A$3:$K$300,4,0), "")</f>
        <v>EGB6020AE </v>
      </c>
      <c r="D92" s="7" t="str">
        <f>IFERROR(VLOOKUP(E92,'(新)ﾍﾞﾝﾀﾞｰ小型'!$A$3:$K$300,5,0), "")</f>
        <v> 鹿児島ケース（株） </v>
      </c>
      <c r="E92" s="23" t="str">
        <f>'(新)ﾍﾞﾝﾀﾞｰ小型'!A93</f>
        <v> TS60299209 </v>
      </c>
      <c r="F92" s="8" t="str">
        <f>IFERROR(VLOOKUP(E92,'(新)ﾍﾞﾝﾀﾞｰ小型'!$A$3:$K$300,8,0), "")</f>
        <v>0D7904 </v>
      </c>
      <c r="G92" s="7" t="str">
        <f>IFERROR(VLOOKUP(E92,'(旧)ﾍﾞﾝﾀﾞｰ小型'!$A$3:$K$310,10,0),"")</f>
        <v>2026/11/05 </v>
      </c>
      <c r="H92" s="12" t="s">
        <v>60</v>
      </c>
      <c r="I92" s="7" t="str">
        <f>IFERROR(VLOOKUP(E92,'(新)ﾍﾞﾝﾀﾞｰ小型'!$A$3:$K$300,10,0),"")</f>
        <v>2026/11/05 </v>
      </c>
    </row>
    <row r="93" spans="1:9" s="19" customFormat="1" ht="13.5" customHeight="1" thickBot="1" x14ac:dyDescent="0.2">
      <c r="A93" s="11">
        <v>92</v>
      </c>
      <c r="B93" s="7" t="str">
        <f>IFERROR(VLOOKUP(E93,'(新)ﾍﾞﾝﾀﾞｰ小型'!$A$3:$K$300,2,0), "")</f>
        <v>11月 </v>
      </c>
      <c r="C93" s="7" t="str">
        <f>IFERROR(VLOOKUP(E93,'(新)ﾍﾞﾝﾀﾞｰ小型'!$A$3:$K$300,4,0), "")</f>
        <v>EGB6020E </v>
      </c>
      <c r="D93" s="7" t="str">
        <f>IFERROR(VLOOKUP(E93,'(新)ﾍﾞﾝﾀﾞｰ小型'!$A$3:$K$300,5,0), "")</f>
        <v> 大和冷機工業（株） </v>
      </c>
      <c r="E93" s="23" t="str">
        <f>'(新)ﾍﾞﾝﾀﾞｰ小型'!A94</f>
        <v> TS62077162 </v>
      </c>
      <c r="F93" s="8" t="str">
        <f>IFERROR(VLOOKUP(E93,'(新)ﾍﾞﾝﾀﾞｰ小型'!$A$3:$K$300,8,0), "")</f>
        <v>0D7255 </v>
      </c>
      <c r="G93" s="7" t="str">
        <f>IFERROR(VLOOKUP(E93,'(旧)ﾍﾞﾝﾀﾞｰ小型'!$A$3:$K$310,10,0),"")</f>
        <v>2026/11/05 </v>
      </c>
      <c r="H93" s="12" t="s">
        <v>60</v>
      </c>
      <c r="I93" s="7" t="str">
        <f>IFERROR(VLOOKUP(E93,'(新)ﾍﾞﾝﾀﾞｰ小型'!$A$3:$K$300,10,0),"")</f>
        <v>2026/11/05 </v>
      </c>
    </row>
    <row r="94" spans="1:9" s="19" customFormat="1" ht="13.5" customHeight="1" thickBot="1" x14ac:dyDescent="0.2">
      <c r="A94" s="11">
        <v>93</v>
      </c>
      <c r="B94" s="7" t="str">
        <f>IFERROR(VLOOKUP(E94,'(新)ﾍﾞﾝﾀﾞｰ小型'!$A$3:$K$300,2,0), "")</f>
        <v>11月 </v>
      </c>
      <c r="C94" s="7" t="str">
        <f>IFERROR(VLOOKUP(E94,'(新)ﾍﾞﾝﾀﾞｰ小型'!$A$3:$K$300,4,0), "")</f>
        <v>EGB6020AE </v>
      </c>
      <c r="D94" s="7" t="str">
        <f>IFERROR(VLOOKUP(E94,'(新)ﾍﾞﾝﾀﾞｰ小型'!$A$3:$K$300,5,0), "")</f>
        <v> 徳山興産（株） </v>
      </c>
      <c r="E94" s="23" t="str">
        <f>'(新)ﾍﾞﾝﾀﾞｰ小型'!A95</f>
        <v> TS60299208 </v>
      </c>
      <c r="F94" s="8" t="str">
        <f>IFERROR(VLOOKUP(E94,'(新)ﾍﾞﾝﾀﾞｰ小型'!$A$3:$K$300,8,0), "")</f>
        <v>0D7904 </v>
      </c>
      <c r="G94" s="7" t="str">
        <f>IFERROR(VLOOKUP(E94,'(旧)ﾍﾞﾝﾀﾞｰ小型'!$A$3:$K$310,10,0),"")</f>
        <v>2026/11/06 </v>
      </c>
      <c r="H94" s="12" t="s">
        <v>60</v>
      </c>
      <c r="I94" s="7" t="str">
        <f>IFERROR(VLOOKUP(E94,'(新)ﾍﾞﾝﾀﾞｰ小型'!$A$3:$K$300,10,0),"")</f>
        <v>2026/11/06 </v>
      </c>
    </row>
    <row r="95" spans="1:9" s="19" customFormat="1" ht="13.5" customHeight="1" thickBot="1" x14ac:dyDescent="0.2">
      <c r="A95" s="11">
        <v>94</v>
      </c>
      <c r="B95" s="7" t="str">
        <f>IFERROR(VLOOKUP(E95,'(新)ﾍﾞﾝﾀﾞｰ小型'!$A$3:$K$300,2,0), "")</f>
        <v>11月 </v>
      </c>
      <c r="C95" s="7" t="str">
        <f>IFERROR(VLOOKUP(E95,'(新)ﾍﾞﾝﾀﾞｰ小型'!$A$3:$K$300,4,0), "")</f>
        <v>EGB1303E_EXP </v>
      </c>
      <c r="D95" s="7" t="str">
        <f>IFERROR(VLOOKUP(E95,'(新)ﾍﾞﾝﾀﾞｰ小型'!$A$3:$K$300,5,0), "")</f>
        <v> ＡＭＡＤＡ　ＣＡＮＡＤＡ　ＬＴＤ． </v>
      </c>
      <c r="E95" s="23" t="str">
        <f>'(新)ﾍﾞﾝﾀﾞｰ小型'!A96</f>
        <v> TS13377341 </v>
      </c>
      <c r="F95" s="8" t="str">
        <f>IFERROR(VLOOKUP(E95,'(新)ﾍﾞﾝﾀﾞｰ小型'!$A$3:$K$300,8,0), "")</f>
        <v>0D9825 </v>
      </c>
      <c r="G95" s="7" t="str">
        <f>IFERROR(VLOOKUP(E95,'(旧)ﾍﾞﾝﾀﾞｰ小型'!$A$3:$K$310,10,0),"")</f>
        <v>2026/11/06 </v>
      </c>
      <c r="H95" s="12" t="s">
        <v>60</v>
      </c>
      <c r="I95" s="7" t="str">
        <f>IFERROR(VLOOKUP(E95,'(新)ﾍﾞﾝﾀﾞｰ小型'!$A$3:$K$300,10,0),"")</f>
        <v>2026/11/06 </v>
      </c>
    </row>
    <row r="96" spans="1:9" s="19" customFormat="1" ht="13.8" thickBot="1" x14ac:dyDescent="0.2">
      <c r="A96" s="11">
        <v>95</v>
      </c>
      <c r="B96" s="7" t="str">
        <f>IFERROR(VLOOKUP(E96,'(新)ﾍﾞﾝﾀﾞｰ小型'!$A$3:$K$300,2,0), "")</f>
        <v>11月 </v>
      </c>
      <c r="C96" s="7" t="str">
        <f>IFERROR(VLOOKUP(E96,'(新)ﾍﾞﾝﾀﾞｰ小型'!$A$3:$K$300,4,0), "")</f>
        <v>EGB6020E_EXP </v>
      </c>
      <c r="D96" s="7" t="str">
        <f>IFERROR(VLOOKUP(E96,'(新)ﾍﾞﾝﾀﾞｰ小型'!$A$3:$K$300,5,0), "")</f>
        <v> ＡＭＡＤＡ　ＡＭＥＲＩＣＡ　ＩＮＣ． </v>
      </c>
      <c r="E96" s="23" t="str">
        <f>'(新)ﾍﾞﾝﾀﾞｰ小型'!A97</f>
        <v> TS62077167 </v>
      </c>
      <c r="F96" s="8" t="str">
        <f>IFERROR(VLOOKUP(E96,'(新)ﾍﾞﾝﾀﾞｰ小型'!$A$3:$K$300,8,0), "")</f>
        <v>0D7905 </v>
      </c>
      <c r="G96" s="7" t="str">
        <f>IFERROR(VLOOKUP(E96,'(旧)ﾍﾞﾝﾀﾞｰ小型'!$A$3:$K$310,10,0),"")</f>
        <v>2026/11/06 </v>
      </c>
      <c r="H96" s="12" t="s">
        <v>60</v>
      </c>
      <c r="I96" s="7" t="str">
        <f>IFERROR(VLOOKUP(E96,'(新)ﾍﾞﾝﾀﾞｰ小型'!$A$3:$K$300,10,0),"")</f>
        <v>2026/11/06 </v>
      </c>
    </row>
    <row r="97" spans="1:9" s="19" customFormat="1" ht="13.8" thickBot="1" x14ac:dyDescent="0.2">
      <c r="A97" s="11">
        <v>96</v>
      </c>
      <c r="B97" s="7" t="str">
        <f>IFERROR(VLOOKUP(E97,'(新)ﾍﾞﾝﾀﾞｰ小型'!$A$3:$K$300,2,0), "")</f>
        <v>11月 </v>
      </c>
      <c r="C97" s="7" t="str">
        <f>IFERROR(VLOOKUP(E97,'(新)ﾍﾞﾝﾀﾞｰ小型'!$A$3:$K$300,4,0), "")</f>
        <v>EGB1303AE </v>
      </c>
      <c r="D97" s="7" t="str">
        <f>IFERROR(VLOOKUP(E97,'(新)ﾍﾞﾝﾀﾞｰ小型'!$A$3:$K$300,5,0), "")</f>
        <v> 日崎工業（株） </v>
      </c>
      <c r="E97" s="23" t="str">
        <f>'(新)ﾍﾞﾝﾀﾞｰ小型'!A98</f>
        <v> TS13399271 </v>
      </c>
      <c r="F97" s="8" t="str">
        <f>IFERROR(VLOOKUP(E97,'(新)ﾍﾞﾝﾀﾞｰ小型'!$A$3:$K$300,8,0), "")</f>
        <v>0D9621 </v>
      </c>
      <c r="G97" s="7" t="str">
        <f>IFERROR(VLOOKUP(E97,'(旧)ﾍﾞﾝﾀﾞｰ小型'!$A$3:$K$310,10,0),"")</f>
        <v>2026/11/07 </v>
      </c>
      <c r="H97" s="12" t="s">
        <v>60</v>
      </c>
      <c r="I97" s="7" t="str">
        <f>IFERROR(VLOOKUP(E97,'(新)ﾍﾞﾝﾀﾞｰ小型'!$A$3:$K$300,10,0),"")</f>
        <v>2026/11/07 </v>
      </c>
    </row>
    <row r="98" spans="1:9" s="19" customFormat="1" ht="13.5" customHeight="1" thickBot="1" x14ac:dyDescent="0.2">
      <c r="A98" s="11">
        <v>97</v>
      </c>
      <c r="B98" s="7" t="str">
        <f>IFERROR(VLOOKUP(E98,'(新)ﾍﾞﾝﾀﾞｰ小型'!$A$3:$K$300,2,0), "")</f>
        <v>11月 </v>
      </c>
      <c r="C98" s="7" t="str">
        <f>IFERROR(VLOOKUP(E98,'(新)ﾍﾞﾝﾀﾞｰ小型'!$A$3:$K$300,4,0), "")</f>
        <v>EGB1303AE </v>
      </c>
      <c r="D98" s="7" t="str">
        <f>IFERROR(VLOOKUP(E98,'(新)ﾍﾞﾝﾀﾞｰ小型'!$A$3:$K$300,5,0), "")</f>
        <v> 旭陽電機（株） </v>
      </c>
      <c r="E98" s="23" t="str">
        <f>'(新)ﾍﾞﾝﾀﾞｰ小型'!A99</f>
        <v> TS13399270 </v>
      </c>
      <c r="F98" s="8" t="str">
        <f>IFERROR(VLOOKUP(E98,'(新)ﾍﾞﾝﾀﾞｰ小型'!$A$3:$K$300,8,0), "")</f>
        <v>0D9621 </v>
      </c>
      <c r="G98" s="7" t="str">
        <f>IFERROR(VLOOKUP(E98,'(旧)ﾍﾞﾝﾀﾞｰ小型'!$A$3:$K$310,10,0),"")</f>
        <v>2026/10/29 </v>
      </c>
      <c r="H98" s="12" t="s">
        <v>60</v>
      </c>
      <c r="I98" s="7" t="str">
        <f>IFERROR(VLOOKUP(E98,'(新)ﾍﾞﾝﾀﾞｰ小型'!$A$3:$K$300,10,0),"")</f>
        <v>2026/11/07 </v>
      </c>
    </row>
    <row r="99" spans="1:9" s="19" customFormat="1" ht="13.5" customHeight="1" thickBot="1" x14ac:dyDescent="0.2">
      <c r="A99" s="11">
        <v>98</v>
      </c>
      <c r="B99" s="7" t="str">
        <f>IFERROR(VLOOKUP(E99,'(新)ﾍﾞﾝﾀﾞｰ小型'!$A$3:$K$300,2,0), "")</f>
        <v>11月 </v>
      </c>
      <c r="C99" s="7" t="str">
        <f>IFERROR(VLOOKUP(E99,'(新)ﾍﾞﾝﾀﾞｰ小型'!$A$3:$K$300,4,0), "")</f>
        <v>EGB8025E_EXP </v>
      </c>
      <c r="D99" s="7" t="str">
        <f>IFERROR(VLOOKUP(E99,'(新)ﾍﾞﾝﾀﾞｰ小型'!$A$3:$K$300,5,0), "")</f>
        <v> 【タイ】Karwin Thai Advanced Technology </v>
      </c>
      <c r="E99" s="23" t="str">
        <f>'(新)ﾍﾞﾝﾀﾞｰ小型'!A100</f>
        <v> TS82577295 </v>
      </c>
      <c r="F99" s="8" t="str">
        <f>IFERROR(VLOOKUP(E99,'(新)ﾍﾞﾝﾀﾞｰ小型'!$A$3:$K$300,8,0), "")</f>
        <v>0E1858 </v>
      </c>
      <c r="G99" s="7" t="str">
        <f>IFERROR(VLOOKUP(E99,'(旧)ﾍﾞﾝﾀﾞｰ小型'!$A$3:$K$310,10,0),"")</f>
        <v>2026/11/07 </v>
      </c>
      <c r="H99" s="12" t="s">
        <v>60</v>
      </c>
      <c r="I99" s="7" t="str">
        <f>IFERROR(VLOOKUP(E99,'(新)ﾍﾞﾝﾀﾞｰ小型'!$A$3:$K$300,10,0),"")</f>
        <v>2026/11/07 </v>
      </c>
    </row>
    <row r="100" spans="1:9" s="19" customFormat="1" ht="13.5" customHeight="1" thickBot="1" x14ac:dyDescent="0.2">
      <c r="A100" s="11">
        <v>99</v>
      </c>
      <c r="B100" s="7" t="str">
        <f>IFERROR(VLOOKUP(E100,'(新)ﾍﾞﾝﾀﾞｰ小型'!$A$3:$K$300,2,0), "")</f>
        <v>11月 </v>
      </c>
      <c r="C100" s="7" t="str">
        <f>IFERROR(VLOOKUP(E100,'(新)ﾍﾞﾝﾀﾞｰ小型'!$A$3:$K$300,4,0), "")</f>
        <v>EGB1303AE_EXP </v>
      </c>
      <c r="D100" s="7" t="str">
        <f>IFERROR(VLOOKUP(E100,'(新)ﾍﾞﾝﾀﾞｰ小型'!$A$3:$K$300,5,0), "")</f>
        <v> ＡＭＡＤＡ　ＡＭＥＲＩＣＡ　ＩＮＣ． </v>
      </c>
      <c r="E100" s="23" t="str">
        <f>'(新)ﾍﾞﾝﾀﾞｰ小型'!A101</f>
        <v> TS13399267 </v>
      </c>
      <c r="F100" s="8" t="str">
        <f>IFERROR(VLOOKUP(E100,'(新)ﾍﾞﾝﾀﾞｰ小型'!$A$3:$K$300,8,0), "")</f>
        <v>0E1243 </v>
      </c>
      <c r="G100" s="7" t="str">
        <f>IFERROR(VLOOKUP(E100,'(旧)ﾍﾞﾝﾀﾞｰ小型'!$A$3:$K$310,10,0),"")</f>
        <v>2026/11/09 </v>
      </c>
      <c r="H100" s="12" t="s">
        <v>60</v>
      </c>
      <c r="I100" s="7" t="str">
        <f>IFERROR(VLOOKUP(E100,'(新)ﾍﾞﾝﾀﾞｰ小型'!$A$3:$K$300,10,0),"")</f>
        <v>2026/11/09 </v>
      </c>
    </row>
    <row r="101" spans="1:9" s="19" customFormat="1" ht="13.5" customHeight="1" thickBot="1" x14ac:dyDescent="0.2">
      <c r="A101" s="11">
        <v>100</v>
      </c>
      <c r="B101" s="7" t="str">
        <f>IFERROR(VLOOKUP(E101,'(新)ﾍﾞﾝﾀﾞｰ小型'!$A$3:$K$300,2,0), "")</f>
        <v>11月 </v>
      </c>
      <c r="C101" s="7" t="str">
        <f>IFERROR(VLOOKUP(E101,'(新)ﾍﾞﾝﾀﾞｰ小型'!$A$3:$K$300,4,0), "")</f>
        <v>EGB6020E </v>
      </c>
      <c r="D101" s="7" t="str">
        <f>IFERROR(VLOOKUP(E101,'(新)ﾍﾞﾝﾀﾞｰ小型'!$A$3:$K$300,5,0), "")</f>
        <v> 三菱重工サーマルシステムズ（株） </v>
      </c>
      <c r="E101" s="23" t="str">
        <f>'(新)ﾍﾞﾝﾀﾞｰ小型'!A102</f>
        <v> TS62077164 </v>
      </c>
      <c r="F101" s="8" t="str">
        <f>IFERROR(VLOOKUP(E101,'(新)ﾍﾞﾝﾀﾞｰ小型'!$A$3:$K$300,8,0), "")</f>
        <v>0D7255 </v>
      </c>
      <c r="G101" s="7" t="str">
        <f>IFERROR(VLOOKUP(E101,'(旧)ﾍﾞﾝﾀﾞｰ小型'!$A$3:$K$310,10,0),"")</f>
        <v>2026/11/09 </v>
      </c>
      <c r="H101" s="12" t="s">
        <v>60</v>
      </c>
      <c r="I101" s="7" t="str">
        <f>IFERROR(VLOOKUP(E101,'(新)ﾍﾞﾝﾀﾞｰ小型'!$A$3:$K$300,10,0),"")</f>
        <v>2026/11/09 </v>
      </c>
    </row>
    <row r="102" spans="1:9" s="19" customFormat="1" ht="13.5" customHeight="1" thickBot="1" x14ac:dyDescent="0.2">
      <c r="A102" s="11">
        <v>101</v>
      </c>
      <c r="B102" s="7" t="str">
        <f>IFERROR(VLOOKUP(E102,'(新)ﾍﾞﾝﾀﾞｰ小型'!$A$3:$K$300,2,0), "")</f>
        <v>11月 </v>
      </c>
      <c r="C102" s="7" t="str">
        <f>IFERROR(VLOOKUP(E102,'(新)ﾍﾞﾝﾀﾞｰ小型'!$A$3:$K$300,4,0), "")</f>
        <v>EGB8025E_EXP </v>
      </c>
      <c r="D102" s="7" t="str">
        <f>IFERROR(VLOOKUP(E102,'(新)ﾍﾞﾝﾀﾞｰ小型'!$A$3:$K$300,5,0), "")</f>
        <v> ＡＭＡＤＡ　ＣＡＮＡＤＡ　ＬＴＤ． </v>
      </c>
      <c r="E102" s="23" t="str">
        <f>'(新)ﾍﾞﾝﾀﾞｰ小型'!A103</f>
        <v> TS82577299 </v>
      </c>
      <c r="F102" s="8" t="str">
        <f>IFERROR(VLOOKUP(E102,'(新)ﾍﾞﾝﾀﾞｰ小型'!$A$3:$K$300,8,0), "")</f>
        <v>0E1858 </v>
      </c>
      <c r="G102" s="7" t="str">
        <f>IFERROR(VLOOKUP(E102,'(旧)ﾍﾞﾝﾀﾞｰ小型'!$A$3:$K$310,10,0),"")</f>
        <v>2026/11/09 </v>
      </c>
      <c r="H102" s="12" t="s">
        <v>60</v>
      </c>
      <c r="I102" s="7" t="str">
        <f>IFERROR(VLOOKUP(E102,'(新)ﾍﾞﾝﾀﾞｰ小型'!$A$3:$K$300,10,0),"")</f>
        <v>2026/11/09 </v>
      </c>
    </row>
    <row r="103" spans="1:9" s="19" customFormat="1" ht="13.5" customHeight="1" thickBot="1" x14ac:dyDescent="0.2">
      <c r="A103" s="11">
        <v>102</v>
      </c>
      <c r="B103" s="7" t="str">
        <f>IFERROR(VLOOKUP(E103,'(新)ﾍﾞﾝﾀﾞｰ小型'!$A$3:$K$300,2,0), "")</f>
        <v>11月 </v>
      </c>
      <c r="C103" s="7" t="str">
        <f>IFERROR(VLOOKUP(E103,'(新)ﾍﾞﾝﾀﾞｰ小型'!$A$3:$K$300,4,0), "")</f>
        <v>EGB8025E </v>
      </c>
      <c r="D103" s="7" t="str">
        <f>IFERROR(VLOOKUP(E103,'(新)ﾍﾞﾝﾀﾞｰ小型'!$A$3:$K$300,5,0), "")</f>
        <v> （有）山口製作所 </v>
      </c>
      <c r="E103" s="23" t="str">
        <f>'(新)ﾍﾞﾝﾀﾞｰ小型'!A104</f>
        <v> TS82577301 </v>
      </c>
      <c r="F103" s="8" t="str">
        <f>IFERROR(VLOOKUP(E103,'(新)ﾍﾞﾝﾀﾞｰ小型'!$A$3:$K$300,8,0), "")</f>
        <v>0E1240 </v>
      </c>
      <c r="G103" s="7" t="str">
        <f>IFERROR(VLOOKUP(E103,'(旧)ﾍﾞﾝﾀﾞｰ小型'!$A$3:$K$310,10,0),"")</f>
        <v>2026/10/31 </v>
      </c>
      <c r="H103" s="12" t="s">
        <v>60</v>
      </c>
      <c r="I103" s="7" t="str">
        <f>IFERROR(VLOOKUP(E103,'(新)ﾍﾞﾝﾀﾞｰ小型'!$A$3:$K$300,10,0),"")</f>
        <v>2026/11/10 </v>
      </c>
    </row>
    <row r="104" spans="1:9" s="19" customFormat="1" ht="13.5" customHeight="1" thickBot="1" x14ac:dyDescent="0.2">
      <c r="A104" s="11">
        <v>103</v>
      </c>
      <c r="B104" s="7" t="str">
        <f>IFERROR(VLOOKUP(E104,'(新)ﾍﾞﾝﾀﾞｰ小型'!$A$3:$K$300,2,0), "")</f>
        <v>11月 </v>
      </c>
      <c r="C104" s="7" t="str">
        <f>IFERROR(VLOOKUP(E104,'(新)ﾍﾞﾝﾀﾞｰ小型'!$A$3:$K$300,4,0), "")</f>
        <v>EGB8025E </v>
      </c>
      <c r="D104" s="7" t="str">
        <f>IFERROR(VLOOKUP(E104,'(新)ﾍﾞﾝﾀﾞｰ小型'!$A$3:$K$300,5,0), "")</f>
        <v> （株）アマダベンディングＳ部 </v>
      </c>
      <c r="E104" s="23" t="str">
        <f>'(新)ﾍﾞﾝﾀﾞｰ小型'!A105</f>
        <v> TS82577302 </v>
      </c>
      <c r="F104" s="8" t="str">
        <f>IFERROR(VLOOKUP(E104,'(新)ﾍﾞﾝﾀﾞｰ小型'!$A$3:$K$300,8,0), "")</f>
        <v>0E1240 </v>
      </c>
      <c r="G104" s="7" t="str">
        <f>IFERROR(VLOOKUP(E104,'(旧)ﾍﾞﾝﾀﾞｰ小型'!$A$3:$K$310,10,0),"")</f>
        <v>2026/11/11 </v>
      </c>
      <c r="H104" s="12" t="s">
        <v>60</v>
      </c>
      <c r="I104" s="7" t="str">
        <f>IFERROR(VLOOKUP(E104,'(新)ﾍﾞﾝﾀﾞｰ小型'!$A$3:$K$300,10,0),"")</f>
        <v>2026/11/11 </v>
      </c>
    </row>
    <row r="105" spans="1:9" s="19" customFormat="1" ht="13.5" customHeight="1" thickBot="1" x14ac:dyDescent="0.2">
      <c r="A105" s="11">
        <v>104</v>
      </c>
      <c r="B105" s="7" t="str">
        <f>IFERROR(VLOOKUP(E105,'(新)ﾍﾞﾝﾀﾞｰ小型'!$A$3:$K$300,2,0), "")</f>
        <v>11月 </v>
      </c>
      <c r="C105" s="7" t="str">
        <f>IFERROR(VLOOKUP(E105,'(新)ﾍﾞﾝﾀﾞｰ小型'!$A$3:$K$300,4,0), "")</f>
        <v>EGB6020E </v>
      </c>
      <c r="D105" s="7" t="str">
        <f>IFERROR(VLOOKUP(E105,'(新)ﾍﾞﾝﾀﾞｰ小型'!$A$3:$K$300,5,0), "")</f>
        <v> （有）徳永商店 </v>
      </c>
      <c r="E105" s="23" t="str">
        <f>'(新)ﾍﾞﾝﾀﾞｰ小型'!A106</f>
        <v> TS62077168 </v>
      </c>
      <c r="F105" s="8" t="str">
        <f>IFERROR(VLOOKUP(E105,'(新)ﾍﾞﾝﾀﾞｰ小型'!$A$3:$K$300,8,0), "")</f>
        <v>0D7255 </v>
      </c>
      <c r="G105" s="7" t="str">
        <f>IFERROR(VLOOKUP(E105,'(旧)ﾍﾞﾝﾀﾞｰ小型'!$A$3:$K$310,10,0),"")</f>
        <v>2026/11/11 </v>
      </c>
      <c r="H105" s="12" t="s">
        <v>60</v>
      </c>
      <c r="I105" s="7" t="str">
        <f>IFERROR(VLOOKUP(E105,'(新)ﾍﾞﾝﾀﾞｰ小型'!$A$3:$K$300,10,0),"")</f>
        <v>2026/11/11 </v>
      </c>
    </row>
    <row r="106" spans="1:9" s="19" customFormat="1" ht="13.5" customHeight="1" thickBot="1" x14ac:dyDescent="0.2">
      <c r="A106" s="11">
        <v>105</v>
      </c>
      <c r="B106" s="7" t="str">
        <f>IFERROR(VLOOKUP(E106,'(新)ﾍﾞﾝﾀﾞｰ小型'!$A$3:$K$300,2,0), "")</f>
        <v>11月 </v>
      </c>
      <c r="C106" s="7" t="str">
        <f>IFERROR(VLOOKUP(E106,'(新)ﾍﾞﾝﾀﾞｰ小型'!$A$3:$K$300,4,0), "")</f>
        <v>EGB8025E </v>
      </c>
      <c r="D106" s="7" t="str">
        <f>IFERROR(VLOOKUP(E106,'(新)ﾍﾞﾝﾀﾞｰ小型'!$A$3:$K$300,5,0), "")</f>
        <v> （株）八代製作所 </v>
      </c>
      <c r="E106" s="23" t="str">
        <f>'(新)ﾍﾞﾝﾀﾞｰ小型'!A107</f>
        <v> TS82577303 </v>
      </c>
      <c r="F106" s="8" t="str">
        <f>IFERROR(VLOOKUP(E106,'(新)ﾍﾞﾝﾀﾞｰ小型'!$A$3:$K$300,8,0), "")</f>
        <v>0E1240 </v>
      </c>
      <c r="G106" s="7" t="str">
        <f>IFERROR(VLOOKUP(E106,'(旧)ﾍﾞﾝﾀﾞｰ小型'!$A$3:$K$310,10,0),"")</f>
        <v>2026/11/12 </v>
      </c>
      <c r="H106" s="12" t="s">
        <v>60</v>
      </c>
      <c r="I106" s="7" t="str">
        <f>IFERROR(VLOOKUP(E106,'(新)ﾍﾞﾝﾀﾞｰ小型'!$A$3:$K$300,10,0),"")</f>
        <v>2026/11/12 </v>
      </c>
    </row>
    <row r="107" spans="1:9" s="19" customFormat="1" ht="13.5" customHeight="1" thickBot="1" x14ac:dyDescent="0.2">
      <c r="A107" s="11">
        <v>106</v>
      </c>
      <c r="B107" s="7" t="str">
        <f>IFERROR(VLOOKUP(E107,'(新)ﾍﾞﾝﾀﾞｰ小型'!$A$3:$K$300,2,0), "")</f>
        <v>11月 </v>
      </c>
      <c r="C107" s="7" t="str">
        <f>IFERROR(VLOOKUP(E107,'(新)ﾍﾞﾝﾀﾞｰ小型'!$A$3:$K$300,4,0), "")</f>
        <v>EGB8025E_EXP </v>
      </c>
      <c r="D107" s="7" t="str">
        <f>IFERROR(VLOOKUP(E107,'(新)ﾍﾞﾝﾀﾞｰ小型'!$A$3:$K$300,5,0), "")</f>
        <v> ＡＭＡＤＡ　ＡＭＥＲＩＣＡ　ＩＮＣ． </v>
      </c>
      <c r="E107" s="23" t="str">
        <f>'(新)ﾍﾞﾝﾀﾞｰ小型'!A108</f>
        <v> TS82577297 </v>
      </c>
      <c r="F107" s="8" t="str">
        <f>IFERROR(VLOOKUP(E107,'(新)ﾍﾞﾝﾀﾞｰ小型'!$A$3:$K$300,8,0), "")</f>
        <v>0E1858 </v>
      </c>
      <c r="G107" s="7" t="str">
        <f>IFERROR(VLOOKUP(E107,'(旧)ﾍﾞﾝﾀﾞｰ小型'!$A$3:$K$310,10,0),"")</f>
        <v>2026/11/12 </v>
      </c>
      <c r="H107" s="12" t="s">
        <v>60</v>
      </c>
      <c r="I107" s="7" t="str">
        <f>IFERROR(VLOOKUP(E107,'(新)ﾍﾞﾝﾀﾞｰ小型'!$A$3:$K$300,10,0),"")</f>
        <v>2026/11/12 </v>
      </c>
    </row>
    <row r="108" spans="1:9" s="19" customFormat="1" ht="13.5" customHeight="1" thickBot="1" x14ac:dyDescent="0.2">
      <c r="A108" s="11">
        <v>107</v>
      </c>
      <c r="B108" s="7" t="str">
        <f>IFERROR(VLOOKUP(E108,'(新)ﾍﾞﾝﾀﾞｰ小型'!$A$3:$K$300,2,0), "")</f>
        <v>11月 </v>
      </c>
      <c r="C108" s="7" t="str">
        <f>IFERROR(VLOOKUP(E108,'(新)ﾍﾞﾝﾀﾞｰ小型'!$A$3:$K$300,4,0), "")</f>
        <v>EGB8025E_EXP </v>
      </c>
      <c r="D108" s="7" t="str">
        <f>IFERROR(VLOOKUP(E108,'(新)ﾍﾞﾝﾀﾞｰ小型'!$A$3:$K$300,5,0), "")</f>
        <v> ＡＭＡＤＡ　ＡＭＥＲＩＣＡ　ＩＮＣ． </v>
      </c>
      <c r="E108" s="23" t="str">
        <f>'(新)ﾍﾞﾝﾀﾞｰ小型'!A109</f>
        <v> TS82577304 </v>
      </c>
      <c r="F108" s="8" t="str">
        <f>IFERROR(VLOOKUP(E108,'(新)ﾍﾞﾝﾀﾞｰ小型'!$A$3:$K$300,8,0), "")</f>
        <v>0E1858 </v>
      </c>
      <c r="G108" s="7" t="str">
        <f>IFERROR(VLOOKUP(E108,'(旧)ﾍﾞﾝﾀﾞｰ小型'!$A$3:$K$310,10,0),"")</f>
        <v>2026/11/13 </v>
      </c>
      <c r="H108" s="12" t="s">
        <v>60</v>
      </c>
      <c r="I108" s="7" t="str">
        <f>IFERROR(VLOOKUP(E108,'(新)ﾍﾞﾝﾀﾞｰ小型'!$A$3:$K$300,10,0),"")</f>
        <v>2026/11/13 </v>
      </c>
    </row>
    <row r="109" spans="1:9" s="19" customFormat="1" ht="13.5" customHeight="1" thickBot="1" x14ac:dyDescent="0.2">
      <c r="A109" s="11">
        <v>108</v>
      </c>
      <c r="B109" s="7" t="str">
        <f>IFERROR(VLOOKUP(E109,'(新)ﾍﾞﾝﾀﾞｰ小型'!$A$3:$K$300,2,0), "")</f>
        <v>11月 </v>
      </c>
      <c r="C109" s="7" t="str">
        <f>IFERROR(VLOOKUP(E109,'(新)ﾍﾞﾝﾀﾞｰ小型'!$A$3:$K$300,4,0), "")</f>
        <v>EGB8025E_EXP </v>
      </c>
      <c r="D109" s="7" t="str">
        <f>IFERROR(VLOOKUP(E109,'(新)ﾍﾞﾝﾀﾞｰ小型'!$A$3:$K$300,5,0), "")</f>
        <v> ＡＭＡＤＡ　ＡＭＥＲＩＣＡ　ＩＮＣ． </v>
      </c>
      <c r="E109" s="23" t="str">
        <f>'(新)ﾍﾞﾝﾀﾞｰ小型'!A110</f>
        <v> TS82577298 </v>
      </c>
      <c r="F109" s="8" t="str">
        <f>IFERROR(VLOOKUP(E109,'(新)ﾍﾞﾝﾀﾞｰ小型'!$A$3:$K$300,8,0), "")</f>
        <v>0E1858 </v>
      </c>
      <c r="G109" s="7" t="str">
        <f>IFERROR(VLOOKUP(E109,'(旧)ﾍﾞﾝﾀﾞｰ小型'!$A$3:$K$310,10,0),"")</f>
        <v>2026/11/05 </v>
      </c>
      <c r="H109" s="12" t="s">
        <v>60</v>
      </c>
      <c r="I109" s="7" t="str">
        <f>IFERROR(VLOOKUP(E109,'(新)ﾍﾞﾝﾀﾞｰ小型'!$A$3:$K$300,10,0),"")</f>
        <v>2026/11/14 </v>
      </c>
    </row>
    <row r="110" spans="1:9" s="19" customFormat="1" ht="13.5" customHeight="1" thickBot="1" x14ac:dyDescent="0.2">
      <c r="A110" s="11">
        <v>109</v>
      </c>
      <c r="B110" s="7" t="str">
        <f>IFERROR(VLOOKUP(E110,'(新)ﾍﾞﾝﾀﾞｰ小型'!$A$3:$K$300,2,0), "")</f>
        <v>11月 </v>
      </c>
      <c r="C110" s="7" t="str">
        <f>IFERROR(VLOOKUP(E110,'(新)ﾍﾞﾝﾀﾞｰ小型'!$A$3:$K$300,4,0), "")</f>
        <v>EGB1303E </v>
      </c>
      <c r="D110" s="7" t="str">
        <f>IFERROR(VLOOKUP(E110,'(新)ﾍﾞﾝﾀﾞｰ小型'!$A$3:$K$300,5,0), "")</f>
        <v> パナソニック　ＨＶＡＣ　＆　ＣＣシステム </v>
      </c>
      <c r="E110" s="23" t="str">
        <f>'(新)ﾍﾞﾝﾀﾞｰ小型'!A111</f>
        <v> TS13377345 </v>
      </c>
      <c r="F110" s="8" t="str">
        <f>IFERROR(VLOOKUP(E110,'(新)ﾍﾞﾝﾀﾞｰ小型'!$A$3:$K$300,8,0), "")</f>
        <v>0D9824 </v>
      </c>
      <c r="G110" s="7" t="str">
        <f>IFERROR(VLOOKUP(E110,'(旧)ﾍﾞﾝﾀﾞｰ小型'!$A$3:$K$310,10,0),"")</f>
        <v>2026/10/31 </v>
      </c>
      <c r="H110" s="12" t="s">
        <v>60</v>
      </c>
      <c r="I110" s="7" t="str">
        <f>IFERROR(VLOOKUP(E110,'(新)ﾍﾞﾝﾀﾞｰ小型'!$A$3:$K$300,10,0),"")</f>
        <v>2026/11/19 </v>
      </c>
    </row>
    <row r="111" spans="1:9" s="19" customFormat="1" ht="13.5" customHeight="1" thickBot="1" x14ac:dyDescent="0.2">
      <c r="A111" s="11">
        <v>110</v>
      </c>
      <c r="B111" s="7" t="str">
        <f>IFERROR(VLOOKUP(E111,'(新)ﾍﾞﾝﾀﾞｰ小型'!$A$3:$K$300,2,0), "")</f>
        <v>11月 </v>
      </c>
      <c r="C111" s="7" t="str">
        <f>IFERROR(VLOOKUP(E111,'(新)ﾍﾞﾝﾀﾞｰ小型'!$A$3:$K$300,4,0), "")</f>
        <v>EGB1303AE </v>
      </c>
      <c r="D111" s="7" t="str">
        <f>IFERROR(VLOOKUP(E111,'(新)ﾍﾞﾝﾀﾞｰ小型'!$A$3:$K$300,5,0), "")</f>
        <v> （株）ツガワ </v>
      </c>
      <c r="E111" s="23" t="str">
        <f>'(新)ﾍﾞﾝﾀﾞｰ小型'!A112</f>
        <v> TS13399272 </v>
      </c>
      <c r="F111" s="8" t="str">
        <f>IFERROR(VLOOKUP(E111,'(新)ﾍﾞﾝﾀﾞｰ小型'!$A$3:$K$300,8,0), "")</f>
        <v>0D9621 </v>
      </c>
      <c r="G111" s="7" t="str">
        <f>IFERROR(VLOOKUP(E111,'(旧)ﾍﾞﾝﾀﾞｰ小型'!$A$3:$K$310,10,0),"")</f>
        <v>2026/11/07 </v>
      </c>
      <c r="H111" s="12" t="s">
        <v>60</v>
      </c>
      <c r="I111" s="7" t="str">
        <f>IFERROR(VLOOKUP(E111,'(新)ﾍﾞﾝﾀﾞｰ小型'!$A$3:$K$300,10,0),"")</f>
        <v>2026/11/24 </v>
      </c>
    </row>
    <row r="112" spans="1:9" s="19" customFormat="1" ht="13.5" customHeight="1" thickBot="1" x14ac:dyDescent="0.2">
      <c r="A112" s="11">
        <v>111</v>
      </c>
      <c r="B112" s="7" t="str">
        <f>IFERROR(VLOOKUP(E112,'(新)ﾍﾞﾝﾀﾞｰ小型'!$A$3:$K$300,2,0), "")</f>
        <v>11月 </v>
      </c>
      <c r="C112" s="7" t="str">
        <f>IFERROR(VLOOKUP(E112,'(新)ﾍﾞﾝﾀﾞｰ小型'!$A$3:$K$300,4,0), "")</f>
        <v>EGB1303E </v>
      </c>
      <c r="D112" s="7" t="str">
        <f>IFERROR(VLOOKUP(E112,'(新)ﾍﾞﾝﾀﾞｰ小型'!$A$3:$K$300,5,0), "")</f>
        <v> パナソニック　ＨＶＡＣ　＆　ＣＣシステム </v>
      </c>
      <c r="E112" s="23" t="str">
        <f>'(新)ﾍﾞﾝﾀﾞｰ小型'!A113</f>
        <v> TS13377344 </v>
      </c>
      <c r="F112" s="8" t="str">
        <f>IFERROR(VLOOKUP(E112,'(新)ﾍﾞﾝﾀﾞｰ小型'!$A$3:$K$300,8,0), "")</f>
        <v>0D9824 </v>
      </c>
      <c r="G112" s="7" t="str">
        <f>IFERROR(VLOOKUP(E112,'(旧)ﾍﾞﾝﾀﾞｰ小型'!$A$3:$K$310,10,0),"")</f>
        <v>2026/11/14 </v>
      </c>
      <c r="H112" s="12" t="s">
        <v>60</v>
      </c>
      <c r="I112" s="7" t="str">
        <f>IFERROR(VLOOKUP(E112,'(新)ﾍﾞﾝﾀﾞｰ小型'!$A$3:$K$300,10,0),"")</f>
        <v>2026/11/27 </v>
      </c>
    </row>
    <row r="113" spans="1:9" s="19" customFormat="1" ht="13.5" customHeight="1" thickBot="1" x14ac:dyDescent="0.2">
      <c r="A113" s="11">
        <v>112</v>
      </c>
      <c r="B113" s="7" t="str">
        <f>IFERROR(VLOOKUP(E113,'(新)ﾍﾞﾝﾀﾞｰ小型'!$A$3:$K$300,2,0), "")</f>
        <v>11月 </v>
      </c>
      <c r="C113" s="7" t="str">
        <f>IFERROR(VLOOKUP(E113,'(新)ﾍﾞﾝﾀﾞｰ小型'!$A$3:$K$300,4,0), "")</f>
        <v>EGB6020E </v>
      </c>
      <c r="D113" s="7" t="str">
        <f>IFERROR(VLOOKUP(E113,'(新)ﾍﾞﾝﾀﾞｰ小型'!$A$3:$K$300,5,0), "")</f>
        <v> （株）スミヨシ </v>
      </c>
      <c r="E113" s="23" t="str">
        <f>'(新)ﾍﾞﾝﾀﾞｰ小型'!A114</f>
        <v> TS62077163 </v>
      </c>
      <c r="F113" s="8" t="str">
        <f>IFERROR(VLOOKUP(E113,'(新)ﾍﾞﾝﾀﾞｰ小型'!$A$3:$K$300,8,0), "")</f>
        <v>0D7255 </v>
      </c>
      <c r="G113" s="7" t="str">
        <f>IFERROR(VLOOKUP(E113,'(旧)ﾍﾞﾝﾀﾞｰ小型'!$A$3:$K$310,10,0),"")</f>
        <v>2026/10/27 </v>
      </c>
      <c r="H113" s="12" t="s">
        <v>60</v>
      </c>
      <c r="I113" s="7" t="str">
        <f>IFERROR(VLOOKUP(E113,'(新)ﾍﾞﾝﾀﾞｰ小型'!$A$3:$K$300,10,0),"")</f>
        <v>2026/12/02 </v>
      </c>
    </row>
    <row r="114" spans="1:9" s="19" customFormat="1" ht="13.8" thickBot="1" x14ac:dyDescent="0.2">
      <c r="A114" s="11">
        <v>113</v>
      </c>
      <c r="B114" s="7" t="str">
        <f>IFERROR(VLOOKUP(E114,'(新)ﾍﾞﾝﾀﾞｰ小型'!$A$3:$K$300,2,0), "")</f>
        <v>12月 </v>
      </c>
      <c r="C114" s="7" t="str">
        <f>IFERROR(VLOOKUP(E114,'(新)ﾍﾞﾝﾀﾞｰ小型'!$A$3:$K$300,4,0), "")</f>
        <v>EGB6020AE_CE </v>
      </c>
      <c r="D114" s="7" t="str">
        <f>IFERROR(VLOOKUP(E114,'(新)ﾍﾞﾝﾀﾞｰ小型'!$A$3:$K$300,5,0), "")</f>
        <v> 【AESA】TAVECCHIO( EX AITALIA) </v>
      </c>
      <c r="E114" s="23" t="str">
        <f>'(新)ﾍﾞﾝﾀﾞｰ小型'!A115</f>
        <v> TS60299202 </v>
      </c>
      <c r="F114" s="8" t="str">
        <f>IFERROR(VLOOKUP(E114,'(新)ﾍﾞﾝﾀﾞｰ小型'!$A$3:$K$300,8,0), "")</f>
        <v>0G3964 </v>
      </c>
      <c r="G114" s="7" t="str">
        <f>IFERROR(VLOOKUP(E114,'(旧)ﾍﾞﾝﾀﾞｰ小型'!$A$3:$K$310,10,0),"")</f>
        <v>2026/09/03 </v>
      </c>
      <c r="H114" s="12" t="s">
        <v>60</v>
      </c>
      <c r="I114" s="7" t="str">
        <f>IFERROR(VLOOKUP(E114,'(新)ﾍﾞﾝﾀﾞｰ小型'!$A$3:$K$300,10,0),"")</f>
        <v>2026/09/03 </v>
      </c>
    </row>
    <row r="115" spans="1:9" s="19" customFormat="1" ht="13.8" thickBot="1" x14ac:dyDescent="0.2">
      <c r="A115" s="11">
        <v>114</v>
      </c>
      <c r="B115" s="7" t="str">
        <f>IFERROR(VLOOKUP(E115,'(新)ﾍﾞﾝﾀﾞｰ小型'!$A$3:$K$300,2,0), "")</f>
        <v>12月 </v>
      </c>
      <c r="C115" s="7" t="str">
        <f>IFERROR(VLOOKUP(E115,'(新)ﾍﾞﾝﾀﾞｰ小型'!$A$3:$K$300,4,0), "")</f>
        <v>EGB6020AE </v>
      </c>
      <c r="D115" s="7" t="str">
        <f>IFERROR(VLOOKUP(E115,'(新)ﾍﾞﾝﾀﾞｰ小型'!$A$3:$K$300,5,0), "")</f>
        <v> （株）摂津金属工業所 </v>
      </c>
      <c r="E115" s="23" t="str">
        <f>'(新)ﾍﾞﾝﾀﾞｰ小型'!A116</f>
        <v> TS60299212 </v>
      </c>
      <c r="F115" s="8" t="str">
        <f>IFERROR(VLOOKUP(E115,'(新)ﾍﾞﾝﾀﾞｰ小型'!$A$3:$K$300,8,0), "")</f>
        <v>0D7904 </v>
      </c>
      <c r="G115" s="7" t="str">
        <f>IFERROR(VLOOKUP(E115,'(旧)ﾍﾞﾝﾀﾞｰ小型'!$A$3:$K$310,10,0),"")</f>
        <v>2026/11/11 </v>
      </c>
      <c r="H115" s="12" t="s">
        <v>60</v>
      </c>
      <c r="I115" s="7" t="str">
        <f>IFERROR(VLOOKUP(E115,'(新)ﾍﾞﾝﾀﾞｰ小型'!$A$3:$K$300,10,0),"")</f>
        <v>2026/11/11 </v>
      </c>
    </row>
    <row r="116" spans="1:9" s="19" customFormat="1" ht="13.8" thickBot="1" x14ac:dyDescent="0.2">
      <c r="A116" s="11">
        <v>115</v>
      </c>
      <c r="B116" s="7" t="str">
        <f>IFERROR(VLOOKUP(E116,'(新)ﾍﾞﾝﾀﾞｰ小型'!$A$3:$K$300,2,0), "")</f>
        <v>12月 </v>
      </c>
      <c r="C116" s="7" t="str">
        <f>IFERROR(VLOOKUP(E116,'(新)ﾍﾞﾝﾀﾞｰ小型'!$A$3:$K$300,4,0), "")</f>
        <v>EGB1303AE_EXP </v>
      </c>
      <c r="D116" s="7" t="str">
        <f>IFERROR(VLOOKUP(E116,'(新)ﾍﾞﾝﾀﾞｰ小型'!$A$3:$K$300,5,0), "")</f>
        <v> ＡＭＡＤＡ　ＴＡＩＷＡＮ　ＩＮＣ． </v>
      </c>
      <c r="E116" s="23" t="str">
        <f>'(新)ﾍﾞﾝﾀﾞｰ小型'!A117</f>
        <v> TS13399273 </v>
      </c>
      <c r="F116" s="8" t="str">
        <f>IFERROR(VLOOKUP(E116,'(新)ﾍﾞﾝﾀﾞｰ小型'!$A$3:$K$300,8,0), "")</f>
        <v>0E1243 </v>
      </c>
      <c r="G116" s="7" t="str">
        <f>IFERROR(VLOOKUP(E116,'(旧)ﾍﾞﾝﾀﾞｰ小型'!$A$3:$K$310,10,0),"")</f>
        <v>2026/11/12 </v>
      </c>
      <c r="H116" s="12" t="s">
        <v>60</v>
      </c>
      <c r="I116" s="7" t="str">
        <f>IFERROR(VLOOKUP(E116,'(新)ﾍﾞﾝﾀﾞｰ小型'!$A$3:$K$300,10,0),"")</f>
        <v>2026/11/12 </v>
      </c>
    </row>
    <row r="117" spans="1:9" s="19" customFormat="1" ht="13.8" thickBot="1" x14ac:dyDescent="0.2">
      <c r="A117" s="11">
        <v>116</v>
      </c>
      <c r="B117" s="7" t="str">
        <f>IFERROR(VLOOKUP(E117,'(新)ﾍﾞﾝﾀﾞｰ小型'!$A$3:$K$300,2,0), "")</f>
        <v>12月 </v>
      </c>
      <c r="C117" s="7" t="str">
        <f>IFERROR(VLOOKUP(E117,'(新)ﾍﾞﾝﾀﾞｰ小型'!$A$3:$K$300,4,0), "")</f>
        <v>EGB6020AE_EXP </v>
      </c>
      <c r="D117" s="7" t="str">
        <f>IFERROR(VLOOKUP(E117,'(新)ﾍﾞﾝﾀﾞｰ小型'!$A$3:$K$300,5,0), "")</f>
        <v> ＡＭＡＤＡ　ＡＭＥＲＩＣＡ　ＩＮＣ． </v>
      </c>
      <c r="E117" s="23" t="str">
        <f>'(新)ﾍﾞﾝﾀﾞｰ小型'!A118</f>
        <v> TS60299211 </v>
      </c>
      <c r="F117" s="8" t="str">
        <f>IFERROR(VLOOKUP(E117,'(新)ﾍﾞﾝﾀﾞｰ小型'!$A$3:$K$300,8,0), "")</f>
        <v>0D8050 </v>
      </c>
      <c r="G117" s="7" t="str">
        <f>IFERROR(VLOOKUP(E117,'(旧)ﾍﾞﾝﾀﾞｰ小型'!$A$3:$K$310,10,0),"")</f>
        <v>2026/11/14 </v>
      </c>
      <c r="H117" s="12" t="s">
        <v>60</v>
      </c>
      <c r="I117" s="7" t="str">
        <f>IFERROR(VLOOKUP(E117,'(新)ﾍﾞﾝﾀﾞｰ小型'!$A$3:$K$300,10,0),"")</f>
        <v>2026/11/14 </v>
      </c>
    </row>
    <row r="118" spans="1:9" s="19" customFormat="1" ht="13.8" thickBot="1" x14ac:dyDescent="0.2">
      <c r="A118" s="11">
        <v>117</v>
      </c>
      <c r="B118" s="7" t="str">
        <f>IFERROR(VLOOKUP(E118,'(新)ﾍﾞﾝﾀﾞｰ小型'!$A$3:$K$300,2,0), "")</f>
        <v>12月 </v>
      </c>
      <c r="C118" s="7" t="str">
        <f>IFERROR(VLOOKUP(E118,'(新)ﾍﾞﾝﾀﾞｰ小型'!$A$3:$K$300,4,0), "")</f>
        <v>EGB1303ARE </v>
      </c>
      <c r="D118" s="7" t="str">
        <f>IFERROR(VLOOKUP(E118,'(新)ﾍﾞﾝﾀﾞｰ小型'!$A$3:$K$300,5,0), "")</f>
        <v> （株）ヤマイチ </v>
      </c>
      <c r="E118" s="23" t="str">
        <f>'(新)ﾍﾞﾝﾀﾞｰ小型'!A119</f>
        <v> TS13329060 </v>
      </c>
      <c r="F118" s="8" t="str">
        <f>IFERROR(VLOOKUP(E118,'(新)ﾍﾞﾝﾀﾞｰ小型'!$A$3:$K$300,8,0), "")</f>
        <v>0E1242 </v>
      </c>
      <c r="G118" s="7" t="str">
        <f>IFERROR(VLOOKUP(E118,'(旧)ﾍﾞﾝﾀﾞｰ小型'!$A$3:$K$310,10,0),"")</f>
        <v>2026/11/14 </v>
      </c>
      <c r="H118" s="12" t="s">
        <v>60</v>
      </c>
      <c r="I118" s="7" t="str">
        <f>IFERROR(VLOOKUP(E118,'(新)ﾍﾞﾝﾀﾞｰ小型'!$A$3:$K$300,10,0),"")</f>
        <v>2026/11/14 </v>
      </c>
    </row>
    <row r="119" spans="1:9" s="19" customFormat="1" ht="13.8" thickBot="1" x14ac:dyDescent="0.2">
      <c r="A119" s="11">
        <v>118</v>
      </c>
      <c r="B119" s="7" t="str">
        <f>IFERROR(VLOOKUP(E119,'(新)ﾍﾞﾝﾀﾞｰ小型'!$A$3:$K$300,2,0), "")</f>
        <v>12月 </v>
      </c>
      <c r="C119" s="7" t="str">
        <f>IFERROR(VLOOKUP(E119,'(新)ﾍﾞﾝﾀﾞｰ小型'!$A$3:$K$300,4,0), "")</f>
        <v>EGB1303AE_EXP </v>
      </c>
      <c r="D119" s="7" t="str">
        <f>IFERROR(VLOOKUP(E119,'(新)ﾍﾞﾝﾀﾞｰ小型'!$A$3:$K$300,5,0), "")</f>
        <v> ＡＭＡＤＡ　ＡＭＥＲＩＣＡ　ＩＮＣ． </v>
      </c>
      <c r="E119" s="23" t="str">
        <f>'(新)ﾍﾞﾝﾀﾞｰ小型'!A120</f>
        <v> TS13399278 </v>
      </c>
      <c r="F119" s="8" t="str">
        <f>IFERROR(VLOOKUP(E119,'(新)ﾍﾞﾝﾀﾞｰ小型'!$A$3:$K$300,8,0), "")</f>
        <v>0E1243 </v>
      </c>
      <c r="G119" s="7" t="str">
        <f>IFERROR(VLOOKUP(E119,'(旧)ﾍﾞﾝﾀﾞｰ小型'!$A$3:$K$310,10,0),"")</f>
        <v>2026/11/17 </v>
      </c>
      <c r="H119" s="12" t="s">
        <v>60</v>
      </c>
      <c r="I119" s="7" t="str">
        <f>IFERROR(VLOOKUP(E119,'(新)ﾍﾞﾝﾀﾞｰ小型'!$A$3:$K$300,10,0),"")</f>
        <v>2026/11/17 </v>
      </c>
    </row>
    <row r="120" spans="1:9" s="19" customFormat="1" ht="13.8" thickBot="1" x14ac:dyDescent="0.2">
      <c r="A120" s="11">
        <v>119</v>
      </c>
      <c r="B120" s="7" t="str">
        <f>IFERROR(VLOOKUP(E120,'(新)ﾍﾞﾝﾀﾞｰ小型'!$A$3:$K$300,2,0), "")</f>
        <v>12月 </v>
      </c>
      <c r="C120" s="7" t="str">
        <f>IFERROR(VLOOKUP(E120,'(新)ﾍﾞﾝﾀﾞｰ小型'!$A$3:$K$300,4,0), "")</f>
        <v>EGB1303E_EXP </v>
      </c>
      <c r="D120" s="7" t="str">
        <f>IFERROR(VLOOKUP(E120,'(新)ﾍﾞﾝﾀﾞｰ小型'!$A$3:$K$300,5,0), "")</f>
        <v> 【ベトナム】LEO VN </v>
      </c>
      <c r="E120" s="23" t="str">
        <f>'(新)ﾍﾞﾝﾀﾞｰ小型'!A121</f>
        <v> TS13377350 </v>
      </c>
      <c r="F120" s="8" t="str">
        <f>IFERROR(VLOOKUP(E120,'(新)ﾍﾞﾝﾀﾞｰ小型'!$A$3:$K$300,8,0), "")</f>
        <v>0D9825 </v>
      </c>
      <c r="G120" s="7" t="str">
        <f>IFERROR(VLOOKUP(E120,'(旧)ﾍﾞﾝﾀﾞｰ小型'!$A$3:$K$310,10,0),"")</f>
        <v>2026/11/17 </v>
      </c>
      <c r="H120" s="12" t="s">
        <v>60</v>
      </c>
      <c r="I120" s="7" t="str">
        <f>IFERROR(VLOOKUP(E120,'(新)ﾍﾞﾝﾀﾞｰ小型'!$A$3:$K$300,10,0),"")</f>
        <v>2026/11/17 </v>
      </c>
    </row>
    <row r="121" spans="1:9" s="19" customFormat="1" ht="13.8" thickBot="1" x14ac:dyDescent="0.2">
      <c r="A121" s="11">
        <v>120</v>
      </c>
      <c r="B121" s="7" t="str">
        <f>IFERROR(VLOOKUP(E121,'(新)ﾍﾞﾝﾀﾞｰ小型'!$A$3:$K$300,2,0), "")</f>
        <v>12月 </v>
      </c>
      <c r="C121" s="7" t="str">
        <f>IFERROR(VLOOKUP(E121,'(新)ﾍﾞﾝﾀﾞｰ小型'!$A$3:$K$300,4,0), "")</f>
        <v>EGB8025E_EXP </v>
      </c>
      <c r="D121" s="7" t="str">
        <f>IFERROR(VLOOKUP(E121,'(新)ﾍﾞﾝﾀﾞｰ小型'!$A$3:$K$300,5,0), "")</f>
        <v> 【ベトナム】KAI METAL </v>
      </c>
      <c r="E121" s="23" t="str">
        <f>'(新)ﾍﾞﾝﾀﾞｰ小型'!A122</f>
        <v> TS82577305 </v>
      </c>
      <c r="F121" s="8" t="str">
        <f>IFERROR(VLOOKUP(E121,'(新)ﾍﾞﾝﾀﾞｰ小型'!$A$3:$K$300,8,0), "")</f>
        <v>0E1858 </v>
      </c>
      <c r="G121" s="7" t="str">
        <f>IFERROR(VLOOKUP(E121,'(旧)ﾍﾞﾝﾀﾞｰ小型'!$A$3:$K$310,10,0),"")</f>
        <v>2026/11/17 </v>
      </c>
      <c r="H121" s="12" t="s">
        <v>60</v>
      </c>
      <c r="I121" s="7" t="str">
        <f>IFERROR(VLOOKUP(E121,'(新)ﾍﾞﾝﾀﾞｰ小型'!$A$3:$K$300,10,0),"")</f>
        <v>2026/11/17 </v>
      </c>
    </row>
    <row r="122" spans="1:9" s="19" customFormat="1" ht="13.8" thickBot="1" x14ac:dyDescent="0.2">
      <c r="A122" s="11">
        <v>121</v>
      </c>
      <c r="B122" s="7" t="str">
        <f>IFERROR(VLOOKUP(E122,'(新)ﾍﾞﾝﾀﾞｰ小型'!$A$3:$K$300,2,0), "")</f>
        <v>12月 </v>
      </c>
      <c r="C122" s="7" t="str">
        <f>IFERROR(VLOOKUP(E122,'(新)ﾍﾞﾝﾀﾞｰ小型'!$A$3:$K$300,4,0), "")</f>
        <v>EGB1303E_EXP </v>
      </c>
      <c r="D122" s="7" t="str">
        <f>IFERROR(VLOOKUP(E122,'(新)ﾍﾞﾝﾀﾞｰ小型'!$A$3:$K$300,5,0), "")</f>
        <v> ＡＭＡＤＡ　ＣＡＮＡＤＡ　ＬＴＤ． </v>
      </c>
      <c r="E122" s="23" t="str">
        <f>'(新)ﾍﾞﾝﾀﾞｰ小型'!A123</f>
        <v> TS13377352 </v>
      </c>
      <c r="F122" s="8" t="str">
        <f>IFERROR(VLOOKUP(E122,'(新)ﾍﾞﾝﾀﾞｰ小型'!$A$3:$K$300,8,0), "")</f>
        <v>0D9825 </v>
      </c>
      <c r="G122" s="7" t="str">
        <f>IFERROR(VLOOKUP(E122,'(旧)ﾍﾞﾝﾀﾞｰ小型'!$A$3:$K$310,10,0),"")</f>
        <v>2026/11/18 </v>
      </c>
      <c r="H122" s="12" t="s">
        <v>60</v>
      </c>
      <c r="I122" s="7" t="str">
        <f>IFERROR(VLOOKUP(E122,'(新)ﾍﾞﾝﾀﾞｰ小型'!$A$3:$K$300,10,0),"")</f>
        <v>2026/11/18 </v>
      </c>
    </row>
    <row r="123" spans="1:9" s="19" customFormat="1" ht="13.8" thickBot="1" x14ac:dyDescent="0.2">
      <c r="A123" s="11">
        <v>122</v>
      </c>
      <c r="B123" s="7" t="str">
        <f>IFERROR(VLOOKUP(E123,'(新)ﾍﾞﾝﾀﾞｰ小型'!$A$3:$K$300,2,0), "")</f>
        <v>12月 </v>
      </c>
      <c r="C123" s="7" t="str">
        <f>IFERROR(VLOOKUP(E123,'(新)ﾍﾞﾝﾀﾞｰ小型'!$A$3:$K$300,4,0), "")</f>
        <v>EGB6020AE_EXP </v>
      </c>
      <c r="D123" s="7" t="str">
        <f>IFERROR(VLOOKUP(E123,'(新)ﾍﾞﾝﾀﾞｰ小型'!$A$3:$K$300,5,0), "")</f>
        <v> ＡＭＡＤＡ　ＡＭＥＲＩＣＡ　ＩＮＣ． </v>
      </c>
      <c r="E123" s="23" t="str">
        <f>'(新)ﾍﾞﾝﾀﾞｰ小型'!A124</f>
        <v> TS60299210 </v>
      </c>
      <c r="F123" s="8" t="str">
        <f>IFERROR(VLOOKUP(E123,'(新)ﾍﾞﾝﾀﾞｰ小型'!$A$3:$K$300,8,0), "")</f>
        <v>0D8050 </v>
      </c>
      <c r="G123" s="7" t="str">
        <f>IFERROR(VLOOKUP(E123,'(旧)ﾍﾞﾝﾀﾞｰ小型'!$A$3:$K$310,10,0),"")</f>
        <v>2026/11/18 </v>
      </c>
      <c r="H123" s="12" t="s">
        <v>60</v>
      </c>
      <c r="I123" s="7" t="str">
        <f>IFERROR(VLOOKUP(E123,'(新)ﾍﾞﾝﾀﾞｰ小型'!$A$3:$K$300,10,0),"")</f>
        <v>2026/11/18 </v>
      </c>
    </row>
    <row r="124" spans="1:9" s="19" customFormat="1" ht="13.8" thickBot="1" x14ac:dyDescent="0.2">
      <c r="A124" s="11">
        <v>123</v>
      </c>
      <c r="B124" s="7" t="str">
        <f>IFERROR(VLOOKUP(E124,'(新)ﾍﾞﾝﾀﾞｰ小型'!$A$3:$K$300,2,0), "")</f>
        <v>12月 </v>
      </c>
      <c r="C124" s="7" t="str">
        <f>IFERROR(VLOOKUP(E124,'(新)ﾍﾞﾝﾀﾞｰ小型'!$A$3:$K$300,4,0), "")</f>
        <v>EGB6020E </v>
      </c>
      <c r="D124" s="7" t="str">
        <f>IFERROR(VLOOKUP(E124,'(新)ﾍﾞﾝﾀﾞｰ小型'!$A$3:$K$300,5,0), "")</f>
        <v> （株）三裕製作所 </v>
      </c>
      <c r="E124" s="23" t="str">
        <f>'(新)ﾍﾞﾝﾀﾞｰ小型'!A125</f>
        <v> TS62077181 </v>
      </c>
      <c r="F124" s="8" t="str">
        <f>IFERROR(VLOOKUP(E124,'(新)ﾍﾞﾝﾀﾞｰ小型'!$A$3:$K$300,8,0), "")</f>
        <v>0D7255 </v>
      </c>
      <c r="G124" s="7" t="str">
        <f>IFERROR(VLOOKUP(E124,'(旧)ﾍﾞﾝﾀﾞｰ小型'!$A$3:$K$310,10,0),"")</f>
        <v>2026/11/18 </v>
      </c>
      <c r="H124" s="12" t="s">
        <v>60</v>
      </c>
      <c r="I124" s="7" t="str">
        <f>IFERROR(VLOOKUP(E124,'(新)ﾍﾞﾝﾀﾞｰ小型'!$A$3:$K$300,10,0),"")</f>
        <v>2026/11/18 </v>
      </c>
    </row>
    <row r="125" spans="1:9" s="19" customFormat="1" ht="13.8" thickBot="1" x14ac:dyDescent="0.2">
      <c r="A125" s="11">
        <v>124</v>
      </c>
      <c r="B125" s="7" t="str">
        <f>IFERROR(VLOOKUP(E125,'(新)ﾍﾞﾝﾀﾞｰ小型'!$A$3:$K$300,2,0), "")</f>
        <v>12月 </v>
      </c>
      <c r="C125" s="7" t="str">
        <f>IFERROR(VLOOKUP(E125,'(新)ﾍﾞﾝﾀﾞｰ小型'!$A$3:$K$300,4,0), "")</f>
        <v>EGB6020AE </v>
      </c>
      <c r="D125" s="7" t="str">
        <f>IFERROR(VLOOKUP(E125,'(新)ﾍﾞﾝﾀﾞｰ小型'!$A$3:$K$300,5,0), "")</f>
        <v> 絹川工業（株） </v>
      </c>
      <c r="E125" s="23" t="str">
        <f>'(新)ﾍﾞﾝﾀﾞｰ小型'!A126</f>
        <v> TS60299213 </v>
      </c>
      <c r="F125" s="8" t="str">
        <f>IFERROR(VLOOKUP(E125,'(新)ﾍﾞﾝﾀﾞｰ小型'!$A$3:$K$300,8,0), "")</f>
        <v>0D7904 </v>
      </c>
      <c r="G125" s="7" t="str">
        <f>IFERROR(VLOOKUP(E125,'(旧)ﾍﾞﾝﾀﾞｰ小型'!$A$3:$K$310,10,0),"")</f>
        <v>2026/11/20 </v>
      </c>
      <c r="H125" s="12" t="s">
        <v>60</v>
      </c>
      <c r="I125" s="7" t="str">
        <f>IFERROR(VLOOKUP(E125,'(新)ﾍﾞﾝﾀﾞｰ小型'!$A$3:$K$300,10,0),"")</f>
        <v>2026/11/20 </v>
      </c>
    </row>
    <row r="126" spans="1:9" s="19" customFormat="1" ht="13.8" thickBot="1" x14ac:dyDescent="0.2">
      <c r="A126" s="11">
        <v>125</v>
      </c>
      <c r="B126" s="7" t="str">
        <f>IFERROR(VLOOKUP(E126,'(新)ﾍﾞﾝﾀﾞｰ小型'!$A$3:$K$300,2,0), "")</f>
        <v>12月 </v>
      </c>
      <c r="C126" s="7" t="str">
        <f>IFERROR(VLOOKUP(E126,'(新)ﾍﾞﾝﾀﾞｰ小型'!$A$3:$K$300,4,0), "")</f>
        <v>EGB1303ARE_EXP </v>
      </c>
      <c r="D126" s="7" t="str">
        <f>IFERROR(VLOOKUP(E126,'(新)ﾍﾞﾝﾀﾞｰ小型'!$A$3:$K$300,5,0), "")</f>
        <v> ＡＭＡＤＡ　ＡＭＥＲＩＣＡ　ＩＮＣ． </v>
      </c>
      <c r="E126" s="23" t="str">
        <f>'(新)ﾍﾞﾝﾀﾞｰ小型'!A127</f>
        <v> TS13329059 </v>
      </c>
      <c r="F126" s="8" t="str">
        <f>IFERROR(VLOOKUP(E126,'(新)ﾍﾞﾝﾀﾞｰ小型'!$A$3:$K$300,8,0), "")</f>
        <v>0E1859 </v>
      </c>
      <c r="G126" s="7" t="str">
        <f>IFERROR(VLOOKUP(E126,'(旧)ﾍﾞﾝﾀﾞｰ小型'!$A$3:$K$310,10,0),"")</f>
        <v>2026/11/20 </v>
      </c>
      <c r="H126" s="12" t="s">
        <v>60</v>
      </c>
      <c r="I126" s="7" t="str">
        <f>IFERROR(VLOOKUP(E126,'(新)ﾍﾞﾝﾀﾞｰ小型'!$A$3:$K$300,10,0),"")</f>
        <v>2026/11/20 </v>
      </c>
    </row>
    <row r="127" spans="1:9" s="19" customFormat="1" ht="13.8" thickBot="1" x14ac:dyDescent="0.2">
      <c r="A127" s="11">
        <v>126</v>
      </c>
      <c r="B127" s="7" t="str">
        <f>IFERROR(VLOOKUP(E127,'(新)ﾍﾞﾝﾀﾞｰ小型'!$A$3:$K$300,2,0), "")</f>
        <v>12月 </v>
      </c>
      <c r="C127" s="7" t="str">
        <f>IFERROR(VLOOKUP(E127,'(新)ﾍﾞﾝﾀﾞｰ小型'!$A$3:$K$300,4,0), "")</f>
        <v>EGB1303E_EXP </v>
      </c>
      <c r="D127" s="7" t="str">
        <f>IFERROR(VLOOKUP(E127,'(新)ﾍﾞﾝﾀﾞｰ小型'!$A$3:$K$300,5,0), "")</f>
        <v> ＡＭＡＤＡ　ＡＭＥＲＩＣＡ　ＩＮＣ． </v>
      </c>
      <c r="E127" s="23" t="str">
        <f>'(新)ﾍﾞﾝﾀﾞｰ小型'!A128</f>
        <v> TS13377348 </v>
      </c>
      <c r="F127" s="8" t="str">
        <f>IFERROR(VLOOKUP(E127,'(新)ﾍﾞﾝﾀﾞｰ小型'!$A$3:$K$300,8,0), "")</f>
        <v>0D9825 </v>
      </c>
      <c r="G127" s="7" t="str">
        <f>IFERROR(VLOOKUP(E127,'(旧)ﾍﾞﾝﾀﾞｰ小型'!$A$3:$K$310,10,0),"")</f>
        <v>2026/11/20 </v>
      </c>
      <c r="H127" s="12" t="s">
        <v>60</v>
      </c>
      <c r="I127" s="7" t="str">
        <f>IFERROR(VLOOKUP(E127,'(新)ﾍﾞﾝﾀﾞｰ小型'!$A$3:$K$300,10,0),"")</f>
        <v>2026/11/20 </v>
      </c>
    </row>
    <row r="128" spans="1:9" s="19" customFormat="1" ht="13.8" thickBot="1" x14ac:dyDescent="0.2">
      <c r="A128" s="11">
        <v>127</v>
      </c>
      <c r="B128" s="7" t="str">
        <f>IFERROR(VLOOKUP(E128,'(新)ﾍﾞﾝﾀﾞｰ小型'!$A$3:$K$300,2,0), "")</f>
        <v>12月 </v>
      </c>
      <c r="C128" s="7" t="str">
        <f>IFERROR(VLOOKUP(E128,'(新)ﾍﾞﾝﾀﾞｰ小型'!$A$3:$K$300,4,0), "")</f>
        <v>EGB6020AE </v>
      </c>
      <c r="D128" s="7" t="str">
        <f>IFERROR(VLOOKUP(E128,'(新)ﾍﾞﾝﾀﾞｰ小型'!$A$3:$K$300,5,0), "")</f>
        <v> （株）大島 </v>
      </c>
      <c r="E128" s="23" t="str">
        <f>'(新)ﾍﾞﾝﾀﾞｰ小型'!A129</f>
        <v> TS60299214 </v>
      </c>
      <c r="F128" s="8" t="str">
        <f>IFERROR(VLOOKUP(E128,'(新)ﾍﾞﾝﾀﾞｰ小型'!$A$3:$K$300,8,0), "")</f>
        <v>0D7904 </v>
      </c>
      <c r="G128" s="7" t="str">
        <f>IFERROR(VLOOKUP(E128,'(旧)ﾍﾞﾝﾀﾞｰ小型'!$A$3:$K$310,10,0),"")</f>
        <v>2026/11/21 </v>
      </c>
      <c r="H128" s="12" t="s">
        <v>60</v>
      </c>
      <c r="I128" s="7" t="str">
        <f>IFERROR(VLOOKUP(E128,'(新)ﾍﾞﾝﾀﾞｰ小型'!$A$3:$K$300,10,0),"")</f>
        <v>2026/11/21 </v>
      </c>
    </row>
    <row r="129" spans="1:9" s="19" customFormat="1" ht="13.8" thickBot="1" x14ac:dyDescent="0.2">
      <c r="A129" s="11">
        <v>128</v>
      </c>
      <c r="B129" s="7" t="str">
        <f>IFERROR(VLOOKUP(E129,'(新)ﾍﾞﾝﾀﾞｰ小型'!$A$3:$K$300,2,0), "")</f>
        <v>12月 </v>
      </c>
      <c r="C129" s="7" t="str">
        <f>IFERROR(VLOOKUP(E129,'(新)ﾍﾞﾝﾀﾞｰ小型'!$A$3:$K$300,4,0), "")</f>
        <v>EGB1303E_EXP </v>
      </c>
      <c r="D129" s="7" t="str">
        <f>IFERROR(VLOOKUP(E129,'(新)ﾍﾞﾝﾀﾞｰ小型'!$A$3:$K$300,5,0), "")</f>
        <v> ＡＭＡＤＡ　ＡＭＥＲＩＣＡ　ＩＮＣ． </v>
      </c>
      <c r="E129" s="23" t="str">
        <f>'(新)ﾍﾞﾝﾀﾞｰ小型'!A130</f>
        <v> TS13377349 </v>
      </c>
      <c r="F129" s="8" t="str">
        <f>IFERROR(VLOOKUP(E129,'(新)ﾍﾞﾝﾀﾞｰ小型'!$A$3:$K$300,8,0), "")</f>
        <v>0D9825 </v>
      </c>
      <c r="G129" s="7" t="str">
        <f>IFERROR(VLOOKUP(E129,'(旧)ﾍﾞﾝﾀﾞｰ小型'!$A$3:$K$310,10,0),"")</f>
        <v>2026/11/21 </v>
      </c>
      <c r="H129" s="12" t="s">
        <v>60</v>
      </c>
      <c r="I129" s="7" t="str">
        <f>IFERROR(VLOOKUP(E129,'(新)ﾍﾞﾝﾀﾞｰ小型'!$A$3:$K$300,10,0),"")</f>
        <v>2026/11/21 </v>
      </c>
    </row>
    <row r="130" spans="1:9" s="19" customFormat="1" ht="13.8" thickBot="1" x14ac:dyDescent="0.2">
      <c r="A130" s="11">
        <v>129</v>
      </c>
      <c r="B130" s="7" t="str">
        <f>IFERROR(VLOOKUP(E130,'(新)ﾍﾞﾝﾀﾞｰ小型'!$A$3:$K$300,2,0), "")</f>
        <v>12月 </v>
      </c>
      <c r="C130" s="7" t="str">
        <f>IFERROR(VLOOKUP(E130,'(新)ﾍﾞﾝﾀﾞｰ小型'!$A$3:$K$300,4,0), "")</f>
        <v>EGB1303E_EXP </v>
      </c>
      <c r="D130" s="7" t="str">
        <f>IFERROR(VLOOKUP(E130,'(新)ﾍﾞﾝﾀﾞｰ小型'!$A$3:$K$300,5,0), "")</f>
        <v> ＡＭＡＤＡ　ＡＭＥＲＩＣＡ　ＩＮＣ． </v>
      </c>
      <c r="E130" s="23" t="str">
        <f>'(新)ﾍﾞﾝﾀﾞｰ小型'!A131</f>
        <v> TS13377353 </v>
      </c>
      <c r="F130" s="8" t="str">
        <f>IFERROR(VLOOKUP(E130,'(新)ﾍﾞﾝﾀﾞｰ小型'!$A$3:$K$300,8,0), "")</f>
        <v>0D9825 </v>
      </c>
      <c r="G130" s="7" t="str">
        <f>IFERROR(VLOOKUP(E130,'(旧)ﾍﾞﾝﾀﾞｰ小型'!$A$3:$K$310,10,0),"")</f>
        <v>2026/11/21 </v>
      </c>
      <c r="H130" s="12" t="s">
        <v>60</v>
      </c>
      <c r="I130" s="7" t="str">
        <f>IFERROR(VLOOKUP(E130,'(新)ﾍﾞﾝﾀﾞｰ小型'!$A$3:$K$300,10,0),"")</f>
        <v>2026/11/21 </v>
      </c>
    </row>
    <row r="131" spans="1:9" s="19" customFormat="1" ht="13.8" thickBot="1" x14ac:dyDescent="0.2">
      <c r="A131" s="11">
        <v>130</v>
      </c>
      <c r="B131" s="7" t="str">
        <f>IFERROR(VLOOKUP(E131,'(新)ﾍﾞﾝﾀﾞｰ小型'!$A$3:$K$300,2,0), "")</f>
        <v>12月 </v>
      </c>
      <c r="C131" s="7" t="str">
        <f>IFERROR(VLOOKUP(E131,'(新)ﾍﾞﾝﾀﾞｰ小型'!$A$3:$K$300,4,0), "")</f>
        <v>EGB1303AE_EXP </v>
      </c>
      <c r="D131" s="7" t="str">
        <f>IFERROR(VLOOKUP(E131,'(新)ﾍﾞﾝﾀﾞｰ小型'!$A$3:$K$300,5,0), "")</f>
        <v> ＡＭＡＤＡ　ＡＭＥＲＩＣＡ　ＩＮＣ． </v>
      </c>
      <c r="E131" s="23" t="str">
        <f>'(新)ﾍﾞﾝﾀﾞｰ小型'!A132</f>
        <v> TS13399275 </v>
      </c>
      <c r="F131" s="8" t="str">
        <f>IFERROR(VLOOKUP(E131,'(新)ﾍﾞﾝﾀﾞｰ小型'!$A$3:$K$300,8,0), "")</f>
        <v>0E1243 </v>
      </c>
      <c r="G131" s="7" t="str">
        <f>IFERROR(VLOOKUP(E131,'(旧)ﾍﾞﾝﾀﾞｰ小型'!$A$3:$K$310,10,0),"")</f>
        <v>2026/11/25 </v>
      </c>
      <c r="H131" s="12" t="s">
        <v>60</v>
      </c>
      <c r="I131" s="7" t="str">
        <f>IFERROR(VLOOKUP(E131,'(新)ﾍﾞﾝﾀﾞｰ小型'!$A$3:$K$300,10,0),"")</f>
        <v>2026/11/25 </v>
      </c>
    </row>
    <row r="132" spans="1:9" s="19" customFormat="1" ht="13.8" thickBot="1" x14ac:dyDescent="0.2">
      <c r="A132" s="11">
        <v>131</v>
      </c>
      <c r="B132" s="7" t="str">
        <f>IFERROR(VLOOKUP(E132,'(新)ﾍﾞﾝﾀﾞｰ小型'!$A$3:$K$300,2,0), "")</f>
        <v>12月 </v>
      </c>
      <c r="C132" s="7" t="str">
        <f>IFERROR(VLOOKUP(E132,'(新)ﾍﾞﾝﾀﾞｰ小型'!$A$3:$K$300,4,0), "")</f>
        <v>EGB8025E_EXP </v>
      </c>
      <c r="D132" s="7" t="str">
        <f>IFERROR(VLOOKUP(E132,'(新)ﾍﾞﾝﾀﾞｰ小型'!$A$3:$K$300,5,0), "")</f>
        <v> ＡＭＡＤＡ　ＣＡＮＡＤＡ　ＬＴＤ． </v>
      </c>
      <c r="E132" s="23" t="str">
        <f>'(新)ﾍﾞﾝﾀﾞｰ小型'!A133</f>
        <v> TS82577308 </v>
      </c>
      <c r="F132" s="8" t="str">
        <f>IFERROR(VLOOKUP(E132,'(新)ﾍﾞﾝﾀﾞｰ小型'!$A$3:$K$300,8,0), "")</f>
        <v>0E1858 </v>
      </c>
      <c r="G132" s="7" t="str">
        <f>IFERROR(VLOOKUP(E132,'(旧)ﾍﾞﾝﾀﾞｰ小型'!$A$3:$K$310,10,0),"")</f>
        <v>2026/11/25 </v>
      </c>
      <c r="H132" s="12" t="s">
        <v>60</v>
      </c>
      <c r="I132" s="7" t="str">
        <f>IFERROR(VLOOKUP(E132,'(新)ﾍﾞﾝﾀﾞｰ小型'!$A$3:$K$300,10,0),"")</f>
        <v>2026/11/25 </v>
      </c>
    </row>
    <row r="133" spans="1:9" s="19" customFormat="1" ht="13.8" thickBot="1" x14ac:dyDescent="0.2">
      <c r="A133" s="11">
        <v>132</v>
      </c>
      <c r="B133" s="7" t="str">
        <f>IFERROR(VLOOKUP(E133,'(新)ﾍﾞﾝﾀﾞｰ小型'!$A$3:$K$300,2,0), "")</f>
        <v>12月 </v>
      </c>
      <c r="C133" s="7" t="str">
        <f>IFERROR(VLOOKUP(E133,'(新)ﾍﾞﾝﾀﾞｰ小型'!$A$3:$K$300,4,0), "")</f>
        <v>EGB6020E </v>
      </c>
      <c r="D133" s="7" t="str">
        <f>IFERROR(VLOOKUP(E133,'(新)ﾍﾞﾝﾀﾞｰ小型'!$A$3:$K$300,5,0), "")</f>
        <v> エナジーウィズ（株） </v>
      </c>
      <c r="E133" s="23" t="str">
        <f>'(新)ﾍﾞﾝﾀﾞｰ小型'!A134</f>
        <v> TS62077169 </v>
      </c>
      <c r="F133" s="8" t="str">
        <f>IFERROR(VLOOKUP(E133,'(新)ﾍﾞﾝﾀﾞｰ小型'!$A$3:$K$300,8,0), "")</f>
        <v>0G4678 </v>
      </c>
      <c r="G133" s="7" t="str">
        <f>IFERROR(VLOOKUP(E133,'(旧)ﾍﾞﾝﾀﾞｰ小型'!$A$3:$K$310,10,0),"")</f>
        <v>2026/11/25 </v>
      </c>
      <c r="H133" s="12" t="s">
        <v>60</v>
      </c>
      <c r="I133" s="7" t="str">
        <f>IFERROR(VLOOKUP(E133,'(新)ﾍﾞﾝﾀﾞｰ小型'!$A$3:$K$300,10,0),"")</f>
        <v>2026/11/25 </v>
      </c>
    </row>
    <row r="134" spans="1:9" s="19" customFormat="1" ht="13.8" thickBot="1" x14ac:dyDescent="0.2">
      <c r="A134" s="11">
        <v>133</v>
      </c>
      <c r="B134" s="7" t="str">
        <f>IFERROR(VLOOKUP(E134,'(新)ﾍﾞﾝﾀﾞｰ小型'!$A$3:$K$300,2,0), "")</f>
        <v>12月 </v>
      </c>
      <c r="C134" s="7" t="str">
        <f>IFERROR(VLOOKUP(E134,'(新)ﾍﾞﾝﾀﾞｰ小型'!$A$3:$K$300,4,0), "")</f>
        <v>EGB1303E </v>
      </c>
      <c r="D134" s="7" t="str">
        <f>IFERROR(VLOOKUP(E134,'(新)ﾍﾞﾝﾀﾞｰ小型'!$A$3:$K$300,5,0), "")</f>
        <v> 横河マニュファクチャリング（株） </v>
      </c>
      <c r="E134" s="23" t="str">
        <f>'(新)ﾍﾞﾝﾀﾞｰ小型'!A135</f>
        <v> TS13377355 </v>
      </c>
      <c r="F134" s="8" t="str">
        <f>IFERROR(VLOOKUP(E134,'(新)ﾍﾞﾝﾀﾞｰ小型'!$A$3:$K$300,8,0), "")</f>
        <v>0D9824 </v>
      </c>
      <c r="G134" s="7" t="str">
        <f>IFERROR(VLOOKUP(E134,'(旧)ﾍﾞﾝﾀﾞｰ小型'!$A$3:$K$310,10,0),"")</f>
        <v>2026/11/26 </v>
      </c>
      <c r="H134" s="12" t="s">
        <v>60</v>
      </c>
      <c r="I134" s="7" t="str">
        <f>IFERROR(VLOOKUP(E134,'(新)ﾍﾞﾝﾀﾞｰ小型'!$A$3:$K$300,10,0),"")</f>
        <v>2026/11/26 </v>
      </c>
    </row>
    <row r="135" spans="1:9" s="19" customFormat="1" ht="13.8" thickBot="1" x14ac:dyDescent="0.2">
      <c r="A135" s="11">
        <v>134</v>
      </c>
      <c r="B135" s="7" t="str">
        <f>IFERROR(VLOOKUP(E135,'(新)ﾍﾞﾝﾀﾞｰ小型'!$A$3:$K$300,2,0), "")</f>
        <v>12月 </v>
      </c>
      <c r="C135" s="7" t="str">
        <f>IFERROR(VLOOKUP(E135,'(新)ﾍﾞﾝﾀﾞｰ小型'!$A$3:$K$300,4,0), "")</f>
        <v>EGB6020E_EXP </v>
      </c>
      <c r="D135" s="7" t="str">
        <f>IFERROR(VLOOKUP(E135,'(新)ﾍﾞﾝﾀﾞｰ小型'!$A$3:$K$300,5,0), "")</f>
        <v> ＡＭＡＤＡ　ＡＭＥＲＩＣＡ　ＩＮＣ． </v>
      </c>
      <c r="E135" s="23" t="str">
        <f>'(新)ﾍﾞﾝﾀﾞｰ小型'!A136</f>
        <v> TS62077180 </v>
      </c>
      <c r="F135" s="8" t="str">
        <f>IFERROR(VLOOKUP(E135,'(新)ﾍﾞﾝﾀﾞｰ小型'!$A$3:$K$300,8,0), "")</f>
        <v>0D7905 </v>
      </c>
      <c r="G135" s="7" t="str">
        <f>IFERROR(VLOOKUP(E135,'(旧)ﾍﾞﾝﾀﾞｰ小型'!$A$3:$K$310,10,0),"")</f>
        <v>2026/11/26 </v>
      </c>
      <c r="H135" s="12" t="s">
        <v>60</v>
      </c>
      <c r="I135" s="7" t="str">
        <f>IFERROR(VLOOKUP(E135,'(新)ﾍﾞﾝﾀﾞｰ小型'!$A$3:$K$300,10,0),"")</f>
        <v>2026/11/26 </v>
      </c>
    </row>
    <row r="136" spans="1:9" s="19" customFormat="1" ht="13.8" thickBot="1" x14ac:dyDescent="0.2">
      <c r="A136" s="11">
        <v>135</v>
      </c>
      <c r="B136" s="7" t="str">
        <f>IFERROR(VLOOKUP(E136,'(新)ﾍﾞﾝﾀﾞｰ小型'!$A$3:$K$300,2,0), "")</f>
        <v>12月 </v>
      </c>
      <c r="C136" s="7" t="str">
        <f>IFERROR(VLOOKUP(E136,'(新)ﾍﾞﾝﾀﾞｰ小型'!$A$3:$K$300,4,0), "")</f>
        <v>EGB6020AE </v>
      </c>
      <c r="D136" s="7" t="str">
        <f>IFERROR(VLOOKUP(E136,'(新)ﾍﾞﾝﾀﾞｰ小型'!$A$3:$K$300,5,0), "")</f>
        <v> ワールド工業（株） </v>
      </c>
      <c r="E136" s="23" t="str">
        <f>'(新)ﾍﾞﾝﾀﾞｰ小型'!A137</f>
        <v> TS60299215 </v>
      </c>
      <c r="F136" s="8" t="str">
        <f>IFERROR(VLOOKUP(E136,'(新)ﾍﾞﾝﾀﾞｰ小型'!$A$3:$K$300,8,0), "")</f>
        <v>0D7904 </v>
      </c>
      <c r="G136" s="7" t="str">
        <f>IFERROR(VLOOKUP(E136,'(旧)ﾍﾞﾝﾀﾞｰ小型'!$A$3:$K$310,10,0),"")</f>
        <v>2026/11/26 </v>
      </c>
      <c r="H136" s="12" t="s">
        <v>60</v>
      </c>
      <c r="I136" s="7" t="str">
        <f>IFERROR(VLOOKUP(E136,'(新)ﾍﾞﾝﾀﾞｰ小型'!$A$3:$K$300,10,0),"")</f>
        <v>2026/11/26 </v>
      </c>
    </row>
    <row r="137" spans="1:9" s="19" customFormat="1" ht="13.8" thickBot="1" x14ac:dyDescent="0.2">
      <c r="A137" s="11">
        <v>136</v>
      </c>
      <c r="B137" s="7" t="str">
        <f>IFERROR(VLOOKUP(E137,'(新)ﾍﾞﾝﾀﾞｰ小型'!$A$3:$K$300,2,0), "")</f>
        <v>12月 </v>
      </c>
      <c r="C137" s="7" t="str">
        <f>IFERROR(VLOOKUP(E137,'(新)ﾍﾞﾝﾀﾞｰ小型'!$A$3:$K$300,4,0), "")</f>
        <v>EGB1303AE_EXP </v>
      </c>
      <c r="D137" s="7" t="str">
        <f>IFERROR(VLOOKUP(E137,'(新)ﾍﾞﾝﾀﾞｰ小型'!$A$3:$K$300,5,0), "")</f>
        <v> ＡＭＡＤＡ　ＡＭＥＲＩＣＡ　ＩＮＣ． </v>
      </c>
      <c r="E137" s="23" t="str">
        <f>'(新)ﾍﾞﾝﾀﾞｰ小型'!A138</f>
        <v> TS13399276 </v>
      </c>
      <c r="F137" s="8" t="str">
        <f>IFERROR(VLOOKUP(E137,'(新)ﾍﾞﾝﾀﾞｰ小型'!$A$3:$K$300,8,0), "")</f>
        <v>0E1243 </v>
      </c>
      <c r="G137" s="7" t="str">
        <f>IFERROR(VLOOKUP(E137,'(旧)ﾍﾞﾝﾀﾞｰ小型'!$A$3:$K$310,10,0),"")</f>
        <v>2026/11/28 </v>
      </c>
      <c r="H137" s="12" t="s">
        <v>60</v>
      </c>
      <c r="I137" s="7" t="str">
        <f>IFERROR(VLOOKUP(E137,'(新)ﾍﾞﾝﾀﾞｰ小型'!$A$3:$K$300,10,0),"")</f>
        <v>2026/11/28 </v>
      </c>
    </row>
    <row r="138" spans="1:9" s="19" customFormat="1" ht="13.8" thickBot="1" x14ac:dyDescent="0.2">
      <c r="A138" s="11">
        <v>137</v>
      </c>
      <c r="B138" s="7" t="str">
        <f>IFERROR(VLOOKUP(E138,'(新)ﾍﾞﾝﾀﾞｰ小型'!$A$3:$K$300,2,0), "")</f>
        <v>12月 </v>
      </c>
      <c r="C138" s="7" t="str">
        <f>IFERROR(VLOOKUP(E138,'(新)ﾍﾞﾝﾀﾞｰ小型'!$A$3:$K$300,4,0), "")</f>
        <v>EGB8025E_EXP </v>
      </c>
      <c r="D138" s="7" t="str">
        <f>IFERROR(VLOOKUP(E138,'(新)ﾍﾞﾝﾀﾞｰ小型'!$A$3:$K$300,5,0), "")</f>
        <v> ＡＭＡＤＡ　ＡＭＥＲＩＣＡ　ＩＮＣ． </v>
      </c>
      <c r="E138" s="23" t="str">
        <f>'(新)ﾍﾞﾝﾀﾞｰ小型'!A139</f>
        <v> TS82577307 </v>
      </c>
      <c r="F138" s="8" t="str">
        <f>IFERROR(VLOOKUP(E138,'(新)ﾍﾞﾝﾀﾞｰ小型'!$A$3:$K$300,8,0), "")</f>
        <v>0E1858 </v>
      </c>
      <c r="G138" s="7" t="str">
        <f>IFERROR(VLOOKUP(E138,'(旧)ﾍﾞﾝﾀﾞｰ小型'!$A$3:$K$310,10,0),"")</f>
        <v>2026/11/28 </v>
      </c>
      <c r="H138" s="12" t="s">
        <v>60</v>
      </c>
      <c r="I138" s="7" t="str">
        <f>IFERROR(VLOOKUP(E138,'(新)ﾍﾞﾝﾀﾞｰ小型'!$A$3:$K$300,10,0),"")</f>
        <v>2026/11/28 </v>
      </c>
    </row>
    <row r="139" spans="1:9" s="19" customFormat="1" ht="13.8" thickBot="1" x14ac:dyDescent="0.2">
      <c r="A139" s="11">
        <v>138</v>
      </c>
      <c r="B139" s="7" t="str">
        <f>IFERROR(VLOOKUP(E139,'(新)ﾍﾞﾝﾀﾞｰ小型'!$A$3:$K$300,2,0), "")</f>
        <v>12月 </v>
      </c>
      <c r="C139" s="7" t="str">
        <f>IFERROR(VLOOKUP(E139,'(新)ﾍﾞﾝﾀﾞｰ小型'!$A$3:$K$300,4,0), "")</f>
        <v>EGB8025E_EXP </v>
      </c>
      <c r="D139" s="7" t="str">
        <f>IFERROR(VLOOKUP(E139,'(新)ﾍﾞﾝﾀﾞｰ小型'!$A$3:$K$300,5,0), "")</f>
        <v> ＡＭＡＤＡ　ＡＭＥＲＩＣＡ　ＩＮＣ． </v>
      </c>
      <c r="E139" s="23" t="str">
        <f>'(新)ﾍﾞﾝﾀﾞｰ小型'!A140</f>
        <v> TS82577310 </v>
      </c>
      <c r="F139" s="8" t="str">
        <f>IFERROR(VLOOKUP(E139,'(新)ﾍﾞﾝﾀﾞｰ小型'!$A$3:$K$300,8,0), "")</f>
        <v>0E1858 </v>
      </c>
      <c r="G139" s="7" t="str">
        <f>IFERROR(VLOOKUP(E139,'(旧)ﾍﾞﾝﾀﾞｰ小型'!$A$3:$K$310,10,0),"")</f>
        <v>2026/11/28 </v>
      </c>
      <c r="H139" s="12" t="s">
        <v>60</v>
      </c>
      <c r="I139" s="7" t="str">
        <f>IFERROR(VLOOKUP(E139,'(新)ﾍﾞﾝﾀﾞｰ小型'!$A$3:$K$300,10,0),"")</f>
        <v>2026/11/28 </v>
      </c>
    </row>
    <row r="140" spans="1:9" s="19" customFormat="1" ht="13.8" thickBot="1" x14ac:dyDescent="0.2">
      <c r="A140" s="11">
        <v>139</v>
      </c>
      <c r="B140" s="7" t="str">
        <f>IFERROR(VLOOKUP(E140,'(新)ﾍﾞﾝﾀﾞｰ小型'!$A$3:$K$300,2,0), "")</f>
        <v>12月 </v>
      </c>
      <c r="C140" s="7" t="str">
        <f>IFERROR(VLOOKUP(E140,'(新)ﾍﾞﾝﾀﾞｰ小型'!$A$3:$K$300,4,0), "")</f>
        <v>EGB8025E </v>
      </c>
      <c r="D140" s="7" t="str">
        <f>IFERROR(VLOOKUP(E140,'(新)ﾍﾞﾝﾀﾞｰ小型'!$A$3:$K$300,5,0), "")</f>
        <v> （株）イコマ・メカニカル </v>
      </c>
      <c r="E140" s="23" t="str">
        <f>'(新)ﾍﾞﾝﾀﾞｰ小型'!A141</f>
        <v> TS82577311 </v>
      </c>
      <c r="F140" s="8" t="str">
        <f>IFERROR(VLOOKUP(E140,'(新)ﾍﾞﾝﾀﾞｰ小型'!$A$3:$K$300,8,0), "")</f>
        <v>0E1240 </v>
      </c>
      <c r="G140" s="7" t="str">
        <f>IFERROR(VLOOKUP(E140,'(旧)ﾍﾞﾝﾀﾞｰ小型'!$A$3:$K$310,10,0),"")</f>
        <v>2026/12/01 </v>
      </c>
      <c r="H140" s="12" t="s">
        <v>60</v>
      </c>
      <c r="I140" s="7" t="str">
        <f>IFERROR(VLOOKUP(E140,'(新)ﾍﾞﾝﾀﾞｰ小型'!$A$3:$K$300,10,0),"")</f>
        <v>2026/12/01 </v>
      </c>
    </row>
    <row r="141" spans="1:9" s="19" customFormat="1" ht="13.8" thickBot="1" x14ac:dyDescent="0.2">
      <c r="A141" s="11">
        <v>140</v>
      </c>
      <c r="B141" s="7" t="str">
        <f>IFERROR(VLOOKUP(E141,'(新)ﾍﾞﾝﾀﾞｰ小型'!$A$3:$K$300,2,0), "")</f>
        <v>12月 </v>
      </c>
      <c r="C141" s="7" t="str">
        <f>IFERROR(VLOOKUP(E141,'(新)ﾍﾞﾝﾀﾞｰ小型'!$A$3:$K$300,4,0), "")</f>
        <v>EGB1303E_EXP </v>
      </c>
      <c r="D141" s="7" t="str">
        <f>IFERROR(VLOOKUP(E141,'(新)ﾍﾞﾝﾀﾞｰ小型'!$A$3:$K$300,5,0), "")</f>
        <v> ＡＭＡＤＡ　ＡＭＥＲＩＣＡ　ＩＮＣ． </v>
      </c>
      <c r="E141" s="23" t="str">
        <f>'(新)ﾍﾞﾝﾀﾞｰ小型'!A142</f>
        <v> TS13377351 </v>
      </c>
      <c r="F141" s="8" t="str">
        <f>IFERROR(VLOOKUP(E141,'(新)ﾍﾞﾝﾀﾞｰ小型'!$A$3:$K$300,8,0), "")</f>
        <v>0D9825 </v>
      </c>
      <c r="G141" s="7" t="str">
        <f>IFERROR(VLOOKUP(E141,'(旧)ﾍﾞﾝﾀﾞｰ小型'!$A$3:$K$310,10,0),"")</f>
        <v>2026/12/01 </v>
      </c>
      <c r="H141" s="12" t="s">
        <v>60</v>
      </c>
      <c r="I141" s="7" t="str">
        <f>IFERROR(VLOOKUP(E141,'(新)ﾍﾞﾝﾀﾞｰ小型'!$A$3:$K$300,10,0),"")</f>
        <v>2026/12/01 </v>
      </c>
    </row>
    <row r="142" spans="1:9" s="19" customFormat="1" ht="13.8" thickBot="1" x14ac:dyDescent="0.2">
      <c r="A142" s="11">
        <v>141</v>
      </c>
      <c r="B142" s="7" t="str">
        <f>IFERROR(VLOOKUP(E142,'(新)ﾍﾞﾝﾀﾞｰ小型'!$A$3:$K$300,2,0), "")</f>
        <v>12月 </v>
      </c>
      <c r="C142" s="7" t="str">
        <f>IFERROR(VLOOKUP(E142,'(新)ﾍﾞﾝﾀﾞｰ小型'!$A$3:$K$300,4,0), "")</f>
        <v>EGB6020AE </v>
      </c>
      <c r="D142" s="7" t="str">
        <f>IFERROR(VLOOKUP(E142,'(新)ﾍﾞﾝﾀﾞｰ小型'!$A$3:$K$300,5,0), "")</f>
        <v> （株）アマダベンディングＳ部 </v>
      </c>
      <c r="E142" s="23" t="str">
        <f>'(新)ﾍﾞﾝﾀﾞｰ小型'!A143</f>
        <v> TS60299216 </v>
      </c>
      <c r="F142" s="8" t="str">
        <f>IFERROR(VLOOKUP(E142,'(新)ﾍﾞﾝﾀﾞｰ小型'!$A$3:$K$300,8,0), "")</f>
        <v>0D7904 </v>
      </c>
      <c r="G142" s="7" t="str">
        <f>IFERROR(VLOOKUP(E142,'(旧)ﾍﾞﾝﾀﾞｰ小型'!$A$3:$K$310,10,0),"")</f>
        <v>2026/12/01 </v>
      </c>
      <c r="H142" s="12" t="s">
        <v>60</v>
      </c>
      <c r="I142" s="7" t="str">
        <f>IFERROR(VLOOKUP(E142,'(新)ﾍﾞﾝﾀﾞｰ小型'!$A$3:$K$300,10,0),"")</f>
        <v>2026/12/01 </v>
      </c>
    </row>
    <row r="143" spans="1:9" s="19" customFormat="1" ht="13.8" thickBot="1" x14ac:dyDescent="0.2">
      <c r="A143" s="11">
        <v>142</v>
      </c>
      <c r="B143" s="7" t="str">
        <f>IFERROR(VLOOKUP(E143,'(新)ﾍﾞﾝﾀﾞｰ小型'!$A$3:$K$300,2,0), "")</f>
        <v>12月 </v>
      </c>
      <c r="C143" s="7" t="str">
        <f>IFERROR(VLOOKUP(E143,'(新)ﾍﾞﾝﾀﾞｰ小型'!$A$3:$K$300,4,0), "")</f>
        <v>EGB1303AE_EXP </v>
      </c>
      <c r="D143" s="7" t="str">
        <f>IFERROR(VLOOKUP(E143,'(新)ﾍﾞﾝﾀﾞｰ小型'!$A$3:$K$300,5,0), "")</f>
        <v> ＡＭＡＤＡ　ＡＭＥＲＩＣＡ　ＩＮＣ． </v>
      </c>
      <c r="E143" s="23" t="str">
        <f>'(新)ﾍﾞﾝﾀﾞｰ小型'!A144</f>
        <v> TS13399277 </v>
      </c>
      <c r="F143" s="8" t="str">
        <f>IFERROR(VLOOKUP(E143,'(新)ﾍﾞﾝﾀﾞｰ小型'!$A$3:$K$300,8,0), "")</f>
        <v>0E1243 </v>
      </c>
      <c r="G143" s="7" t="str">
        <f>IFERROR(VLOOKUP(E143,'(旧)ﾍﾞﾝﾀﾞｰ小型'!$A$3:$K$310,10,0),"")</f>
        <v>2026/12/03 </v>
      </c>
      <c r="H143" s="12" t="s">
        <v>60</v>
      </c>
      <c r="I143" s="7" t="str">
        <f>IFERROR(VLOOKUP(E143,'(新)ﾍﾞﾝﾀﾞｰ小型'!$A$3:$K$300,10,0),"")</f>
        <v>2026/12/03 </v>
      </c>
    </row>
    <row r="144" spans="1:9" s="19" customFormat="1" ht="13.8" thickBot="1" x14ac:dyDescent="0.2">
      <c r="A144" s="11">
        <v>143</v>
      </c>
      <c r="B144" s="7" t="str">
        <f>IFERROR(VLOOKUP(E144,'(新)ﾍﾞﾝﾀﾞｰ小型'!$A$3:$K$300,2,0), "")</f>
        <v>12月 </v>
      </c>
      <c r="C144" s="7" t="str">
        <f>IFERROR(VLOOKUP(E144,'(新)ﾍﾞﾝﾀﾞｰ小型'!$A$3:$K$300,4,0), "")</f>
        <v>EGB6020E_EXP </v>
      </c>
      <c r="D144" s="7" t="str">
        <f>IFERROR(VLOOKUP(E144,'(新)ﾍﾞﾝﾀﾞｰ小型'!$A$3:$K$300,5,0), "")</f>
        <v> ＡＭＡＤＡ　ＣＡＮＡＤＡ　ＬＴＤ． </v>
      </c>
      <c r="E144" s="23" t="str">
        <f>'(新)ﾍﾞﾝﾀﾞｰ小型'!A145</f>
        <v> TS62077171 </v>
      </c>
      <c r="F144" s="8" t="str">
        <f>IFERROR(VLOOKUP(E144,'(新)ﾍﾞﾝﾀﾞｰ小型'!$A$3:$K$300,8,0), "")</f>
        <v>0D7905 </v>
      </c>
      <c r="G144" s="7" t="str">
        <f>IFERROR(VLOOKUP(E144,'(旧)ﾍﾞﾝﾀﾞｰ小型'!$A$3:$K$310,10,0),"")</f>
        <v>2026/12/03 </v>
      </c>
      <c r="H144" s="12" t="s">
        <v>60</v>
      </c>
      <c r="I144" s="7" t="str">
        <f>IFERROR(VLOOKUP(E144,'(新)ﾍﾞﾝﾀﾞｰ小型'!$A$3:$K$300,10,0),"")</f>
        <v>2026/12/03 </v>
      </c>
    </row>
    <row r="145" spans="1:9" s="19" customFormat="1" ht="13.8" thickBot="1" x14ac:dyDescent="0.2">
      <c r="A145" s="11">
        <v>144</v>
      </c>
      <c r="B145" s="7" t="str">
        <f>IFERROR(VLOOKUP(E145,'(新)ﾍﾞﾝﾀﾞｰ小型'!$A$3:$K$300,2,0), "")</f>
        <v>12月 </v>
      </c>
      <c r="C145" s="7" t="str">
        <f>IFERROR(VLOOKUP(E145,'(新)ﾍﾞﾝﾀﾞｰ小型'!$A$3:$K$300,4,0), "")</f>
        <v>EGB6020E_EXP </v>
      </c>
      <c r="D145" s="7" t="str">
        <f>IFERROR(VLOOKUP(E145,'(新)ﾍﾞﾝﾀﾞｰ小型'!$A$3:$K$300,5,0), "")</f>
        <v> ＡＭＡＤＡ　ＣＡＮＡＤＡ　ＬＴＤ． </v>
      </c>
      <c r="E145" s="23" t="str">
        <f>'(新)ﾍﾞﾝﾀﾞｰ小型'!A146</f>
        <v> TS62077173 </v>
      </c>
      <c r="F145" s="8" t="str">
        <f>IFERROR(VLOOKUP(E145,'(新)ﾍﾞﾝﾀﾞｰ小型'!$A$3:$K$300,8,0), "")</f>
        <v>0D7905 </v>
      </c>
      <c r="G145" s="7" t="str">
        <f>IFERROR(VLOOKUP(E145,'(旧)ﾍﾞﾝﾀﾞｰ小型'!$A$3:$K$310,10,0),"")</f>
        <v>2026/12/03 </v>
      </c>
      <c r="H145" s="12" t="s">
        <v>60</v>
      </c>
      <c r="I145" s="7" t="str">
        <f>IFERROR(VLOOKUP(E145,'(新)ﾍﾞﾝﾀﾞｰ小型'!$A$3:$K$300,10,0),"")</f>
        <v>2026/12/03 </v>
      </c>
    </row>
    <row r="146" spans="1:9" s="19" customFormat="1" ht="13.8" thickBot="1" x14ac:dyDescent="0.2">
      <c r="A146" s="11">
        <v>145</v>
      </c>
      <c r="B146" s="7" t="str">
        <f>IFERROR(VLOOKUP(E146,'(新)ﾍﾞﾝﾀﾞｰ小型'!$A$3:$K$300,2,0), "")</f>
        <v>12月 </v>
      </c>
      <c r="C146" s="7" t="str">
        <f>IFERROR(VLOOKUP(E146,'(新)ﾍﾞﾝﾀﾞｰ小型'!$A$3:$K$300,4,0), "")</f>
        <v>EGB1303E </v>
      </c>
      <c r="D146" s="7" t="str">
        <f>IFERROR(VLOOKUP(E146,'(新)ﾍﾞﾝﾀﾞｰ小型'!$A$3:$K$300,5,0), "")</f>
        <v> （株）アマダベンディングＳ部 </v>
      </c>
      <c r="E146" s="23" t="str">
        <f>'(新)ﾍﾞﾝﾀﾞｰ小型'!A147</f>
        <v> TS13377356 </v>
      </c>
      <c r="F146" s="8" t="str">
        <f>IFERROR(VLOOKUP(E146,'(新)ﾍﾞﾝﾀﾞｰ小型'!$A$3:$K$300,8,0), "")</f>
        <v>0D9824 </v>
      </c>
      <c r="G146" s="7" t="str">
        <f>IFERROR(VLOOKUP(E146,'(旧)ﾍﾞﾝﾀﾞｰ小型'!$A$3:$K$310,10,0),"")</f>
        <v>2026/12/04 </v>
      </c>
      <c r="H146" s="12" t="s">
        <v>60</v>
      </c>
      <c r="I146" s="7" t="str">
        <f>IFERROR(VLOOKUP(E146,'(新)ﾍﾞﾝﾀﾞｰ小型'!$A$3:$K$300,10,0),"")</f>
        <v>2026/12/04 </v>
      </c>
    </row>
    <row r="147" spans="1:9" s="19" customFormat="1" ht="13.8" thickBot="1" x14ac:dyDescent="0.2">
      <c r="A147" s="11">
        <v>146</v>
      </c>
      <c r="B147" s="7" t="str">
        <f>IFERROR(VLOOKUP(E147,'(新)ﾍﾞﾝﾀﾞｰ小型'!$A$3:$K$300,2,0), "")</f>
        <v>12月 </v>
      </c>
      <c r="C147" s="7" t="str">
        <f>IFERROR(VLOOKUP(E147,'(新)ﾍﾞﾝﾀﾞｰ小型'!$A$3:$K$300,4,0), "")</f>
        <v>EGB6020E_EXP </v>
      </c>
      <c r="D147" s="7" t="str">
        <f>IFERROR(VLOOKUP(E147,'(新)ﾍﾞﾝﾀﾞｰ小型'!$A$3:$K$300,5,0), "")</f>
        <v> ＡＭＡＤＡ　ＣＡＮＡＤＡ　ＬＴＤ． </v>
      </c>
      <c r="E147" s="23" t="str">
        <f>'(新)ﾍﾞﾝﾀﾞｰ小型'!A148</f>
        <v> TS62077172 </v>
      </c>
      <c r="F147" s="8" t="str">
        <f>IFERROR(VLOOKUP(E147,'(新)ﾍﾞﾝﾀﾞｰ小型'!$A$3:$K$300,8,0), "")</f>
        <v>0D7905 </v>
      </c>
      <c r="G147" s="7" t="str">
        <f>IFERROR(VLOOKUP(E147,'(旧)ﾍﾞﾝﾀﾞｰ小型'!$A$3:$K$310,10,0),"")</f>
        <v>2026/12/04 </v>
      </c>
      <c r="H147" s="12" t="s">
        <v>60</v>
      </c>
      <c r="I147" s="7" t="str">
        <f>IFERROR(VLOOKUP(E147,'(新)ﾍﾞﾝﾀﾞｰ小型'!$A$3:$K$300,10,0),"")</f>
        <v>2026/12/04 </v>
      </c>
    </row>
    <row r="148" spans="1:9" s="19" customFormat="1" ht="13.8" thickBot="1" x14ac:dyDescent="0.2">
      <c r="A148" s="11">
        <v>147</v>
      </c>
      <c r="B148" s="7" t="str">
        <f>IFERROR(VLOOKUP(E148,'(新)ﾍﾞﾝﾀﾞｰ小型'!$A$3:$K$300,2,0), "")</f>
        <v>12月 </v>
      </c>
      <c r="C148" s="7" t="str">
        <f>IFERROR(VLOOKUP(E148,'(新)ﾍﾞﾝﾀﾞｰ小型'!$A$3:$K$300,4,0), "")</f>
        <v>EGB6020AE </v>
      </c>
      <c r="D148" s="7" t="str">
        <f>IFERROR(VLOOKUP(E148,'(新)ﾍﾞﾝﾀﾞｰ小型'!$A$3:$K$300,5,0), "")</f>
        <v> （株）アマダベンディングＳ部 </v>
      </c>
      <c r="E148" s="23" t="str">
        <f>'(新)ﾍﾞﾝﾀﾞｰ小型'!A149</f>
        <v> TS60299217 </v>
      </c>
      <c r="F148" s="8" t="str">
        <f>IFERROR(VLOOKUP(E148,'(新)ﾍﾞﾝﾀﾞｰ小型'!$A$3:$K$300,8,0), "")</f>
        <v>0D7904 </v>
      </c>
      <c r="G148" s="7" t="str">
        <f>IFERROR(VLOOKUP(E148,'(旧)ﾍﾞﾝﾀﾞｰ小型'!$A$3:$K$310,10,0),"")</f>
        <v>2026/12/04 </v>
      </c>
      <c r="H148" s="12" t="s">
        <v>60</v>
      </c>
      <c r="I148" s="7" t="str">
        <f>IFERROR(VLOOKUP(E148,'(新)ﾍﾞﾝﾀﾞｰ小型'!$A$3:$K$300,10,0),"")</f>
        <v>2026/12/04 </v>
      </c>
    </row>
    <row r="149" spans="1:9" s="19" customFormat="1" ht="13.8" thickBot="1" x14ac:dyDescent="0.2">
      <c r="A149" s="11">
        <v>148</v>
      </c>
      <c r="B149" s="7" t="str">
        <f>IFERROR(VLOOKUP(E149,'(新)ﾍﾞﾝﾀﾞｰ小型'!$A$3:$K$300,2,0), "")</f>
        <v>12月 </v>
      </c>
      <c r="C149" s="7" t="str">
        <f>IFERROR(VLOOKUP(E149,'(新)ﾍﾞﾝﾀﾞｰ小型'!$A$3:$K$300,4,0), "")</f>
        <v>EGB6020E </v>
      </c>
      <c r="D149" s="7" t="str">
        <f>IFERROR(VLOOKUP(E149,'(新)ﾍﾞﾝﾀﾞｰ小型'!$A$3:$K$300,5,0), "")</f>
        <v> グローリープロダクツ（株） </v>
      </c>
      <c r="E149" s="23" t="str">
        <f>'(新)ﾍﾞﾝﾀﾞｰ小型'!A150</f>
        <v> TS62077177 </v>
      </c>
      <c r="F149" s="8" t="str">
        <f>IFERROR(VLOOKUP(E149,'(新)ﾍﾞﾝﾀﾞｰ小型'!$A$3:$K$300,8,0), "")</f>
        <v>0D7255 </v>
      </c>
      <c r="G149" s="7" t="str">
        <f>IFERROR(VLOOKUP(E149,'(旧)ﾍﾞﾝﾀﾞｰ小型'!$A$3:$K$310,10,0),"")</f>
        <v>2026/12/08 </v>
      </c>
      <c r="H149" s="12" t="s">
        <v>60</v>
      </c>
      <c r="I149" s="7" t="str">
        <f>IFERROR(VLOOKUP(E149,'(新)ﾍﾞﾝﾀﾞｰ小型'!$A$3:$K$300,10,0),"")</f>
        <v>2026/12/08 </v>
      </c>
    </row>
    <row r="150" spans="1:9" s="19" customFormat="1" ht="13.8" thickBot="1" x14ac:dyDescent="0.2">
      <c r="A150" s="11">
        <v>149</v>
      </c>
      <c r="B150" s="7" t="str">
        <f>IFERROR(VLOOKUP(E150,'(新)ﾍﾞﾝﾀﾞｰ小型'!$A$3:$K$300,2,0), "")</f>
        <v>12月 </v>
      </c>
      <c r="C150" s="7" t="str">
        <f>IFERROR(VLOOKUP(E150,'(新)ﾍﾞﾝﾀﾞｰ小型'!$A$3:$K$300,4,0), "")</f>
        <v>EGB1303AE_EXP </v>
      </c>
      <c r="D150" s="7" t="str">
        <f>IFERROR(VLOOKUP(E150,'(新)ﾍﾞﾝﾀﾞｰ小型'!$A$3:$K$300,5,0), "")</f>
        <v> ＡＭＡＤＡ　ＡＭＥＲＩＣＡ　ＩＮＣ． </v>
      </c>
      <c r="E150" s="23" t="str">
        <f>'(新)ﾍﾞﾝﾀﾞｰ小型'!A151</f>
        <v> TS13399274 </v>
      </c>
      <c r="F150" s="8" t="str">
        <f>IFERROR(VLOOKUP(E150,'(新)ﾍﾞﾝﾀﾞｰ小型'!$A$3:$K$300,8,0), "")</f>
        <v>0E1243 </v>
      </c>
      <c r="G150" s="7" t="str">
        <f>IFERROR(VLOOKUP(E150,'(旧)ﾍﾞﾝﾀﾞｰ小型'!$A$3:$K$310,10,0),"")</f>
        <v>2026/12/08 </v>
      </c>
      <c r="H150" s="12" t="s">
        <v>60</v>
      </c>
      <c r="I150" s="7" t="str">
        <f>IFERROR(VLOOKUP(E150,'(新)ﾍﾞﾝﾀﾞｰ小型'!$A$3:$K$300,10,0),"")</f>
        <v>2026/12/08 </v>
      </c>
    </row>
    <row r="151" spans="1:9" s="19" customFormat="1" ht="13.8" thickBot="1" x14ac:dyDescent="0.2">
      <c r="A151" s="11">
        <v>150</v>
      </c>
      <c r="B151" s="7" t="str">
        <f>IFERROR(VLOOKUP(E151,'(新)ﾍﾞﾝﾀﾞｰ小型'!$A$3:$K$300,2,0), "")</f>
        <v>12月 </v>
      </c>
      <c r="C151" s="7" t="str">
        <f>IFERROR(VLOOKUP(E151,'(新)ﾍﾞﾝﾀﾞｰ小型'!$A$3:$K$300,4,0), "")</f>
        <v>EGB6020AE </v>
      </c>
      <c r="D151" s="7" t="str">
        <f>IFERROR(VLOOKUP(E151,'(新)ﾍﾞﾝﾀﾞｰ小型'!$A$3:$K$300,5,0), "")</f>
        <v> 木村電子工業（株） </v>
      </c>
      <c r="E151" s="23" t="str">
        <f>'(新)ﾍﾞﾝﾀﾞｰ小型'!A152</f>
        <v> TS60299218 </v>
      </c>
      <c r="F151" s="8" t="str">
        <f>IFERROR(VLOOKUP(E151,'(新)ﾍﾞﾝﾀﾞｰ小型'!$A$3:$K$300,8,0), "")</f>
        <v>0D7904 </v>
      </c>
      <c r="G151" s="7" t="str">
        <f>IFERROR(VLOOKUP(E151,'(旧)ﾍﾞﾝﾀﾞｰ小型'!$A$3:$K$310,10,0),"")</f>
        <v>2026/12/08 </v>
      </c>
      <c r="H151" s="12" t="s">
        <v>60</v>
      </c>
      <c r="I151" s="7" t="str">
        <f>IFERROR(VLOOKUP(E151,'(新)ﾍﾞﾝﾀﾞｰ小型'!$A$3:$K$300,10,0),"")</f>
        <v>2026/12/08 </v>
      </c>
    </row>
    <row r="152" spans="1:9" s="19" customFormat="1" ht="13.8" thickBot="1" x14ac:dyDescent="0.2">
      <c r="A152" s="11">
        <v>151</v>
      </c>
      <c r="B152" s="7" t="str">
        <f>IFERROR(VLOOKUP(E152,'(新)ﾍﾞﾝﾀﾞｰ小型'!$A$3:$K$300,2,0), "")</f>
        <v>12月 </v>
      </c>
      <c r="C152" s="7" t="str">
        <f>IFERROR(VLOOKUP(E152,'(新)ﾍﾞﾝﾀﾞｰ小型'!$A$3:$K$300,4,0), "")</f>
        <v>EGB1303E </v>
      </c>
      <c r="D152" s="7" t="str">
        <f>IFERROR(VLOOKUP(E152,'(新)ﾍﾞﾝﾀﾞｰ小型'!$A$3:$K$300,5,0), "")</f>
        <v> （株）ナベル </v>
      </c>
      <c r="E152" s="23" t="str">
        <f>'(新)ﾍﾞﾝﾀﾞｰ小型'!A153</f>
        <v> TS13377354 </v>
      </c>
      <c r="F152" s="8" t="str">
        <f>IFERROR(VLOOKUP(E152,'(新)ﾍﾞﾝﾀﾞｰ小型'!$A$3:$K$300,8,0), "")</f>
        <v>0D9824 </v>
      </c>
      <c r="G152" s="7" t="str">
        <f>IFERROR(VLOOKUP(E152,'(旧)ﾍﾞﾝﾀﾞｰ小型'!$A$3:$K$310,10,0),"")</f>
        <v>2026/12/09 </v>
      </c>
      <c r="H152" s="12" t="s">
        <v>60</v>
      </c>
      <c r="I152" s="7" t="str">
        <f>IFERROR(VLOOKUP(E152,'(新)ﾍﾞﾝﾀﾞｰ小型'!$A$3:$K$300,10,0),"")</f>
        <v>2026/12/09 </v>
      </c>
    </row>
    <row r="153" spans="1:9" s="19" customFormat="1" ht="13.8" thickBot="1" x14ac:dyDescent="0.2">
      <c r="A153" s="11">
        <v>152</v>
      </c>
      <c r="B153" s="7" t="str">
        <f>IFERROR(VLOOKUP(E153,'(新)ﾍﾞﾝﾀﾞｰ小型'!$A$3:$K$300,2,0), "")</f>
        <v>12月 </v>
      </c>
      <c r="C153" s="7" t="str">
        <f>IFERROR(VLOOKUP(E153,'(新)ﾍﾞﾝﾀﾞｰ小型'!$A$3:$K$300,4,0), "")</f>
        <v>EGB6020E_EXP </v>
      </c>
      <c r="D153" s="7" t="str">
        <f>IFERROR(VLOOKUP(E153,'(新)ﾍﾞﾝﾀﾞｰ小型'!$A$3:$K$300,5,0), "")</f>
        <v> ＡＭＡＤＡ　ＣＡＮＡＤＡ　ＬＴＤ． </v>
      </c>
      <c r="E153" s="23" t="str">
        <f>'(新)ﾍﾞﾝﾀﾞｰ小型'!A154</f>
        <v> TS62077170 </v>
      </c>
      <c r="F153" s="8" t="str">
        <f>IFERROR(VLOOKUP(E153,'(新)ﾍﾞﾝﾀﾞｰ小型'!$A$3:$K$300,8,0), "")</f>
        <v>0D7905 </v>
      </c>
      <c r="G153" s="7" t="str">
        <f>IFERROR(VLOOKUP(E153,'(旧)ﾍﾞﾝﾀﾞｰ小型'!$A$3:$K$310,10,0),"")</f>
        <v>2026/12/09 </v>
      </c>
      <c r="H153" s="12" t="s">
        <v>60</v>
      </c>
      <c r="I153" s="7" t="str">
        <f>IFERROR(VLOOKUP(E153,'(新)ﾍﾞﾝﾀﾞｰ小型'!$A$3:$K$300,10,0),"")</f>
        <v>2026/12/09 </v>
      </c>
    </row>
    <row r="154" spans="1:9" s="19" customFormat="1" ht="13.8" thickBot="1" x14ac:dyDescent="0.2">
      <c r="A154" s="11">
        <v>153</v>
      </c>
      <c r="B154" s="7" t="str">
        <f>IFERROR(VLOOKUP(E154,'(新)ﾍﾞﾝﾀﾞｰ小型'!$A$3:$K$300,2,0), "")</f>
        <v>12月 </v>
      </c>
      <c r="C154" s="7" t="str">
        <f>IFERROR(VLOOKUP(E154,'(新)ﾍﾞﾝﾀﾞｰ小型'!$A$3:$K$300,4,0), "")</f>
        <v>EGB8025E_EXP </v>
      </c>
      <c r="D154" s="7" t="str">
        <f>IFERROR(VLOOKUP(E154,'(新)ﾍﾞﾝﾀﾞｰ小型'!$A$3:$K$300,5,0), "")</f>
        <v> ＡＭＡＤＡ　ＴＡＩＷＡＮ　ＩＮＣ． </v>
      </c>
      <c r="E154" s="23" t="str">
        <f>'(新)ﾍﾞﾝﾀﾞｰ小型'!A155</f>
        <v> TS82577306 </v>
      </c>
      <c r="F154" s="8" t="str">
        <f>IFERROR(VLOOKUP(E154,'(新)ﾍﾞﾝﾀﾞｰ小型'!$A$3:$K$300,8,0), "")</f>
        <v>0E1858 </v>
      </c>
      <c r="G154" s="7" t="str">
        <f>IFERROR(VLOOKUP(E154,'(旧)ﾍﾞﾝﾀﾞｰ小型'!$A$3:$K$310,10,0),"")</f>
        <v>2026/12/09 </v>
      </c>
      <c r="H154" s="12" t="s">
        <v>60</v>
      </c>
      <c r="I154" s="7" t="str">
        <f>IFERROR(VLOOKUP(E154,'(新)ﾍﾞﾝﾀﾞｰ小型'!$A$3:$K$300,10,0),"")</f>
        <v>2026/12/10 </v>
      </c>
    </row>
    <row r="155" spans="1:9" s="19" customFormat="1" ht="13.8" thickBot="1" x14ac:dyDescent="0.2">
      <c r="A155" s="11">
        <v>154</v>
      </c>
      <c r="B155" s="7" t="str">
        <f>IFERROR(VLOOKUP(E155,'(新)ﾍﾞﾝﾀﾞｰ小型'!$A$3:$K$300,2,0), "")</f>
        <v>12月 </v>
      </c>
      <c r="C155" s="7" t="str">
        <f>IFERROR(VLOOKUP(E155,'(新)ﾍﾞﾝﾀﾞｰ小型'!$A$3:$K$300,4,0), "")</f>
        <v>EGB6020E </v>
      </c>
      <c r="D155" s="7" t="str">
        <f>IFERROR(VLOOKUP(E155,'(新)ﾍﾞﾝﾀﾞｰ小型'!$A$3:$K$300,5,0), "")</f>
        <v> グローリープロダクツ（株） </v>
      </c>
      <c r="E155" s="23" t="str">
        <f>'(新)ﾍﾞﾝﾀﾞｰ小型'!A156</f>
        <v> TS62077175 </v>
      </c>
      <c r="F155" s="8" t="str">
        <f>IFERROR(VLOOKUP(E155,'(新)ﾍﾞﾝﾀﾞｰ小型'!$A$3:$K$300,8,0), "")</f>
        <v>0D7255 </v>
      </c>
      <c r="G155" s="7" t="str">
        <f>IFERROR(VLOOKUP(E155,'(旧)ﾍﾞﾝﾀﾞｰ小型'!$A$3:$K$310,10,0),"")</f>
        <v>2026/12/11 </v>
      </c>
      <c r="H155" s="12" t="s">
        <v>60</v>
      </c>
      <c r="I155" s="7" t="str">
        <f>IFERROR(VLOOKUP(E155,'(新)ﾍﾞﾝﾀﾞｰ小型'!$A$3:$K$300,10,0),"")</f>
        <v>2026/12/11 </v>
      </c>
    </row>
    <row r="156" spans="1:9" s="19" customFormat="1" ht="13.8" thickBot="1" x14ac:dyDescent="0.2">
      <c r="A156" s="11">
        <v>155</v>
      </c>
      <c r="B156" s="7" t="str">
        <f>IFERROR(VLOOKUP(E156,'(新)ﾍﾞﾝﾀﾞｰ小型'!$A$3:$K$300,2,0), "")</f>
        <v>12月 </v>
      </c>
      <c r="C156" s="7" t="str">
        <f>IFERROR(VLOOKUP(E156,'(新)ﾍﾞﾝﾀﾞｰ小型'!$A$3:$K$300,4,0), "")</f>
        <v>EGB6020E_EXP </v>
      </c>
      <c r="D156" s="7" t="str">
        <f>IFERROR(VLOOKUP(E156,'(新)ﾍﾞﾝﾀﾞｰ小型'!$A$3:$K$300,5,0), "")</f>
        <v> ＡＭＡＤＡ　ＣＡＮＡＤＡ　ＬＴＤ． </v>
      </c>
      <c r="E156" s="23" t="str">
        <f>'(新)ﾍﾞﾝﾀﾞｰ小型'!A157</f>
        <v> TS62077174 </v>
      </c>
      <c r="F156" s="8" t="str">
        <f>IFERROR(VLOOKUP(E156,'(新)ﾍﾞﾝﾀﾞｰ小型'!$A$3:$K$300,8,0), "")</f>
        <v>0D7905 </v>
      </c>
      <c r="G156" s="7" t="str">
        <f>IFERROR(VLOOKUP(E156,'(旧)ﾍﾞﾝﾀﾞｰ小型'!$A$3:$K$310,10,0),"")</f>
        <v>2026/12/11 </v>
      </c>
      <c r="H156" s="12" t="s">
        <v>60</v>
      </c>
      <c r="I156" s="7" t="str">
        <f>IFERROR(VLOOKUP(E156,'(新)ﾍﾞﾝﾀﾞｰ小型'!$A$3:$K$300,10,0),"")</f>
        <v>2026/12/11 </v>
      </c>
    </row>
    <row r="157" spans="1:9" s="19" customFormat="1" ht="13.8" thickBot="1" x14ac:dyDescent="0.2">
      <c r="A157" s="11">
        <v>156</v>
      </c>
      <c r="B157" s="7" t="str">
        <f>IFERROR(VLOOKUP(E157,'(新)ﾍﾞﾝﾀﾞｰ小型'!$A$3:$K$300,2,0), "")</f>
        <v>12月 </v>
      </c>
      <c r="C157" s="7" t="str">
        <f>IFERROR(VLOOKUP(E157,'(新)ﾍﾞﾝﾀﾞｰ小型'!$A$3:$K$300,4,0), "")</f>
        <v>EGB1303E </v>
      </c>
      <c r="D157" s="7" t="str">
        <f>IFERROR(VLOOKUP(E157,'(新)ﾍﾞﾝﾀﾞｰ小型'!$A$3:$K$300,5,0), "")</f>
        <v> （株）アマダベンディングＳ部 </v>
      </c>
      <c r="E157" s="23" t="str">
        <f>'(新)ﾍﾞﾝﾀﾞｰ小型'!A158</f>
        <v> TS13377357 </v>
      </c>
      <c r="F157" s="8" t="str">
        <f>IFERROR(VLOOKUP(E157,'(新)ﾍﾞﾝﾀﾞｰ小型'!$A$3:$K$300,8,0), "")</f>
        <v>0D9824 </v>
      </c>
      <c r="G157" s="7" t="str">
        <f>IFERROR(VLOOKUP(E157,'(旧)ﾍﾞﾝﾀﾞｰ小型'!$A$3:$K$310,10,0),"")</f>
        <v>2026/12/12 </v>
      </c>
      <c r="H157" s="12" t="s">
        <v>60</v>
      </c>
      <c r="I157" s="7" t="str">
        <f>IFERROR(VLOOKUP(E157,'(新)ﾍﾞﾝﾀﾞｰ小型'!$A$3:$K$300,10,0),"")</f>
        <v>2026/12/12 </v>
      </c>
    </row>
    <row r="158" spans="1:9" s="19" customFormat="1" ht="13.8" thickBot="1" x14ac:dyDescent="0.2">
      <c r="A158" s="11">
        <v>157</v>
      </c>
      <c r="B158" s="7" t="str">
        <f>IFERROR(VLOOKUP(E158,'(新)ﾍﾞﾝﾀﾞｰ小型'!$A$3:$K$300,2,0), "")</f>
        <v>12月 </v>
      </c>
      <c r="C158" s="7" t="str">
        <f>IFERROR(VLOOKUP(E158,'(新)ﾍﾞﾝﾀﾞｰ小型'!$A$3:$K$300,4,0), "")</f>
        <v>EGB6020E </v>
      </c>
      <c r="D158" s="7" t="str">
        <f>IFERROR(VLOOKUP(E158,'(新)ﾍﾞﾝﾀﾞｰ小型'!$A$3:$K$300,5,0), "")</f>
        <v> （株）伊藤 </v>
      </c>
      <c r="E158" s="23" t="str">
        <f>'(新)ﾍﾞﾝﾀﾞｰ小型'!A159</f>
        <v> TS62077178 </v>
      </c>
      <c r="F158" s="8" t="str">
        <f>IFERROR(VLOOKUP(E158,'(新)ﾍﾞﾝﾀﾞｰ小型'!$A$3:$K$300,8,0), "")</f>
        <v>0D7255 </v>
      </c>
      <c r="G158" s="7" t="str">
        <f>IFERROR(VLOOKUP(E158,'(旧)ﾍﾞﾝﾀﾞｰ小型'!$A$3:$K$310,10,0),"")</f>
        <v>2026/12/12 </v>
      </c>
      <c r="H158" s="12" t="s">
        <v>60</v>
      </c>
      <c r="I158" s="7" t="str">
        <f>IFERROR(VLOOKUP(E158,'(新)ﾍﾞﾝﾀﾞｰ小型'!$A$3:$K$300,10,0),"")</f>
        <v>2026/12/12 </v>
      </c>
    </row>
    <row r="159" spans="1:9" s="19" customFormat="1" ht="13.8" thickBot="1" x14ac:dyDescent="0.2">
      <c r="A159" s="11">
        <v>158</v>
      </c>
      <c r="B159" s="7" t="str">
        <f>IFERROR(VLOOKUP(E159,'(新)ﾍﾞﾝﾀﾞｰ小型'!$A$3:$K$300,2,0), "")</f>
        <v>12月 </v>
      </c>
      <c r="C159" s="7" t="str">
        <f>IFERROR(VLOOKUP(E159,'(新)ﾍﾞﾝﾀﾞｰ小型'!$A$3:$K$300,4,0), "")</f>
        <v>EGB6020E </v>
      </c>
      <c r="D159" s="7" t="str">
        <f>IFERROR(VLOOKUP(E159,'(新)ﾍﾞﾝﾀﾞｰ小型'!$A$3:$K$300,5,0), "")</f>
        <v> グローリープロダクツ（株） </v>
      </c>
      <c r="E159" s="23" t="str">
        <f>'(新)ﾍﾞﾝﾀﾞｰ小型'!A160</f>
        <v> TS62077176 </v>
      </c>
      <c r="F159" s="8" t="str">
        <f>IFERROR(VLOOKUP(E159,'(新)ﾍﾞﾝﾀﾞｰ小型'!$A$3:$K$300,8,0), "")</f>
        <v>0D7255 </v>
      </c>
      <c r="G159" s="7" t="str">
        <f>IFERROR(VLOOKUP(E159,'(旧)ﾍﾞﾝﾀﾞｰ小型'!$A$3:$K$310,10,0),"")</f>
        <v>2026/12/12 </v>
      </c>
      <c r="H159" s="12" t="s">
        <v>60</v>
      </c>
      <c r="I159" s="7" t="str">
        <f>IFERROR(VLOOKUP(E159,'(新)ﾍﾞﾝﾀﾞｰ小型'!$A$3:$K$300,10,0),"")</f>
        <v>2026/12/15 </v>
      </c>
    </row>
    <row r="160" spans="1:9" s="19" customFormat="1" ht="13.8" thickBot="1" x14ac:dyDescent="0.2">
      <c r="A160" s="11">
        <v>159</v>
      </c>
      <c r="B160" s="7" t="str">
        <f>IFERROR(VLOOKUP(E160,'(新)ﾍﾞﾝﾀﾞｰ小型'!$A$3:$K$300,2,0), "")</f>
        <v>12月 </v>
      </c>
      <c r="C160" s="7" t="str">
        <f>IFERROR(VLOOKUP(E160,'(新)ﾍﾞﾝﾀﾞｰ小型'!$A$3:$K$300,4,0), "")</f>
        <v>EGB6020E </v>
      </c>
      <c r="D160" s="7" t="str">
        <f>IFERROR(VLOOKUP(E160,'(新)ﾍﾞﾝﾀﾞｰ小型'!$A$3:$K$300,5,0), "")</f>
        <v> （株）アマダベンディングＳ部 </v>
      </c>
      <c r="E160" s="23" t="str">
        <f>'(新)ﾍﾞﾝﾀﾞｰ小型'!A161</f>
        <v> TS62077179 </v>
      </c>
      <c r="F160" s="8" t="str">
        <f>IFERROR(VLOOKUP(E160,'(新)ﾍﾞﾝﾀﾞｰ小型'!$A$3:$K$300,8,0), "")</f>
        <v>0D7255 </v>
      </c>
      <c r="G160" s="7" t="str">
        <f>IFERROR(VLOOKUP(E160,'(旧)ﾍﾞﾝﾀﾞｰ小型'!$A$3:$K$310,10,0),"")</f>
        <v>2026/12/11 </v>
      </c>
      <c r="H160" s="12" t="s">
        <v>60</v>
      </c>
      <c r="I160" s="7" t="str">
        <f>IFERROR(VLOOKUP(E160,'(新)ﾍﾞﾝﾀﾞｰ小型'!$A$3:$K$300,10,0),"")</f>
        <v>2026/12/16 </v>
      </c>
    </row>
    <row r="161" spans="1:9" s="19" customFormat="1" ht="13.8" thickBot="1" x14ac:dyDescent="0.2">
      <c r="A161" s="11">
        <v>160</v>
      </c>
      <c r="B161" s="7" t="str">
        <f>IFERROR(VLOOKUP(E161,'(新)ﾍﾞﾝﾀﾞｰ小型'!$A$3:$K$300,2,0), "")</f>
        <v>01月 </v>
      </c>
      <c r="C161" s="7" t="str">
        <f>IFERROR(VLOOKUP(E161,'(新)ﾍﾞﾝﾀﾞｰ小型'!$A$3:$K$300,4,0), "")</f>
        <v>EGB1303ARE_EXP </v>
      </c>
      <c r="D161" s="7" t="str">
        <f>IFERROR(VLOOKUP(E161,'(新)ﾍﾞﾝﾀﾞｰ小型'!$A$3:$K$300,5,0), "")</f>
        <v> 【CHINA】昆山栄科 </v>
      </c>
      <c r="E161" s="23" t="str">
        <f>'(新)ﾍﾞﾝﾀﾞｰ小型'!A162</f>
        <v> TS13329061 </v>
      </c>
      <c r="F161" s="8" t="str">
        <f>IFERROR(VLOOKUP(E161,'(新)ﾍﾞﾝﾀﾞｰ小型'!$A$3:$K$300,8,0), "")</f>
        <v>0E1859 </v>
      </c>
      <c r="G161" s="7" t="str">
        <f>IFERROR(VLOOKUP(E161,'(旧)ﾍﾞﾝﾀﾞｰ小型'!$A$3:$K$310,10,0),"")</f>
        <v>2026/12/03 </v>
      </c>
      <c r="H161" s="12" t="s">
        <v>60</v>
      </c>
      <c r="I161" s="7" t="str">
        <f>IFERROR(VLOOKUP(E161,'(新)ﾍﾞﾝﾀﾞｰ小型'!$A$3:$K$300,10,0),"")</f>
        <v>2026/12/05 </v>
      </c>
    </row>
    <row r="162" spans="1:9" s="19" customFormat="1" ht="13.8" thickBot="1" x14ac:dyDescent="0.2">
      <c r="A162" s="11">
        <v>161</v>
      </c>
      <c r="B162" s="7" t="str">
        <f>IFERROR(VLOOKUP(E162,'(新)ﾍﾞﾝﾀﾞｰ小型'!$A$3:$K$300,2,0), "")</f>
        <v>01月 </v>
      </c>
      <c r="C162" s="7" t="str">
        <f>IFERROR(VLOOKUP(E162,'(新)ﾍﾞﾝﾀﾞｰ小型'!$A$3:$K$300,4,0), "")</f>
        <v>EGB6020AE </v>
      </c>
      <c r="D162" s="7" t="str">
        <f>IFERROR(VLOOKUP(E162,'(新)ﾍﾞﾝﾀﾞｰ小型'!$A$3:$K$300,5,0), "")</f>
        <v>  </v>
      </c>
      <c r="E162" s="23" t="str">
        <f>'(新)ﾍﾞﾝﾀﾞｰ小型'!A163</f>
        <v> TS60299219 </v>
      </c>
      <c r="F162" s="8" t="str">
        <f>IFERROR(VLOOKUP(E162,'(新)ﾍﾞﾝﾀﾞｰ小型'!$A$3:$K$300,8,0), "")</f>
        <v>0D7904 </v>
      </c>
      <c r="G162" s="7" t="str">
        <f>IFERROR(VLOOKUP(E162,'(旧)ﾍﾞﾝﾀﾞｰ小型'!$A$3:$K$310,10,0),"")</f>
        <v>2026/12/16 </v>
      </c>
      <c r="H162" s="12" t="s">
        <v>60</v>
      </c>
      <c r="I162" s="7" t="str">
        <f>IFERROR(VLOOKUP(E162,'(新)ﾍﾞﾝﾀﾞｰ小型'!$A$3:$K$300,10,0),"")</f>
        <v>2026/12/09 </v>
      </c>
    </row>
    <row r="163" spans="1:9" s="19" customFormat="1" ht="13.8" thickBot="1" x14ac:dyDescent="0.2">
      <c r="A163" s="11">
        <v>162</v>
      </c>
      <c r="B163" s="7" t="str">
        <f>IFERROR(VLOOKUP(E163,'(新)ﾍﾞﾝﾀﾞｰ小型'!$A$3:$K$300,2,0), "")</f>
        <v>01月 </v>
      </c>
      <c r="C163" s="7" t="str">
        <f>IFERROR(VLOOKUP(E163,'(新)ﾍﾞﾝﾀﾞｰ小型'!$A$3:$K$300,4,0), "")</f>
        <v>EGB6020AE </v>
      </c>
      <c r="D163" s="7" t="str">
        <f>IFERROR(VLOOKUP(E163,'(新)ﾍﾞﾝﾀﾞｰ小型'!$A$3:$K$300,5,0), "")</f>
        <v>  </v>
      </c>
      <c r="E163" s="23" t="str">
        <f>'(新)ﾍﾞﾝﾀﾞｰ小型'!A164</f>
        <v> TS60299220 </v>
      </c>
      <c r="F163" s="8" t="str">
        <f>IFERROR(VLOOKUP(E163,'(新)ﾍﾞﾝﾀﾞｰ小型'!$A$3:$K$300,8,0), "")</f>
        <v>0D7904 </v>
      </c>
      <c r="G163" s="7" t="str">
        <f>IFERROR(VLOOKUP(E163,'(旧)ﾍﾞﾝﾀﾞｰ小型'!$A$3:$K$310,10,0),"")</f>
        <v>2026/12/17 </v>
      </c>
      <c r="H163" s="12" t="s">
        <v>60</v>
      </c>
      <c r="I163" s="7" t="str">
        <f>IFERROR(VLOOKUP(E163,'(新)ﾍﾞﾝﾀﾞｰ小型'!$A$3:$K$300,10,0),"")</f>
        <v>2026/12/11 </v>
      </c>
    </row>
    <row r="164" spans="1:9" s="19" customFormat="1" ht="13.8" thickBot="1" x14ac:dyDescent="0.2">
      <c r="A164" s="11">
        <v>163</v>
      </c>
      <c r="B164" s="7" t="str">
        <f>IFERROR(VLOOKUP(E164,'(新)ﾍﾞﾝﾀﾞｰ小型'!$A$3:$K$300,2,0), "")</f>
        <v>01月 </v>
      </c>
      <c r="C164" s="7" t="str">
        <f>IFERROR(VLOOKUP(E164,'(新)ﾍﾞﾝﾀﾞｰ小型'!$A$3:$K$300,4,0), "")</f>
        <v>EGB1303AE </v>
      </c>
      <c r="D164" s="7" t="str">
        <f>IFERROR(VLOOKUP(E164,'(新)ﾍﾞﾝﾀﾞｰ小型'!$A$3:$K$300,5,0), "")</f>
        <v> （株）マエショウ </v>
      </c>
      <c r="E164" s="23" t="str">
        <f>'(新)ﾍﾞﾝﾀﾞｰ小型'!A165</f>
        <v> TS13399281 </v>
      </c>
      <c r="F164" s="8" t="str">
        <f>IFERROR(VLOOKUP(E164,'(新)ﾍﾞﾝﾀﾞｰ小型'!$A$3:$K$300,8,0), "")</f>
        <v>0D9621 </v>
      </c>
      <c r="G164" s="7" t="str">
        <f>IFERROR(VLOOKUP(E164,'(旧)ﾍﾞﾝﾀﾞｰ小型'!$A$3:$K$310,10,0),"")</f>
        <v>2026/12/09 </v>
      </c>
      <c r="H164" s="12" t="s">
        <v>60</v>
      </c>
      <c r="I164" s="7" t="str">
        <f>IFERROR(VLOOKUP(E164,'(新)ﾍﾞﾝﾀﾞｰ小型'!$A$3:$K$300,10,0),"")</f>
        <v>2026/12/12 </v>
      </c>
    </row>
    <row r="165" spans="1:9" s="19" customFormat="1" ht="13.8" thickBot="1" x14ac:dyDescent="0.2">
      <c r="A165" s="11">
        <v>164</v>
      </c>
      <c r="B165" s="7" t="str">
        <f>IFERROR(VLOOKUP(E165,'(新)ﾍﾞﾝﾀﾞｰ小型'!$A$3:$K$300,2,0), "")</f>
        <v>01月 </v>
      </c>
      <c r="C165" s="7" t="str">
        <f>IFERROR(VLOOKUP(E165,'(新)ﾍﾞﾝﾀﾞｰ小型'!$A$3:$K$300,4,0), "")</f>
        <v>EGB1303AE_EXP </v>
      </c>
      <c r="D165" s="7" t="str">
        <f>IFERROR(VLOOKUP(E165,'(新)ﾍﾞﾝﾀﾞｰ小型'!$A$3:$K$300,5,0), "")</f>
        <v> 【CHINA】深セン市君瀚承科技有限公司 </v>
      </c>
      <c r="E165" s="23" t="str">
        <f>'(新)ﾍﾞﾝﾀﾞｰ小型'!A166</f>
        <v> TS13399283 </v>
      </c>
      <c r="F165" s="8" t="str">
        <f>IFERROR(VLOOKUP(E165,'(新)ﾍﾞﾝﾀﾞｰ小型'!$A$3:$K$300,8,0), "")</f>
        <v>0E1243 </v>
      </c>
      <c r="G165" s="7" t="str">
        <f>IFERROR(VLOOKUP(E165,'(旧)ﾍﾞﾝﾀﾞｰ小型'!$A$3:$K$310,10,0),"")</f>
        <v>2026/12/11 </v>
      </c>
      <c r="H165" s="12" t="s">
        <v>60</v>
      </c>
      <c r="I165" s="7" t="str">
        <f>IFERROR(VLOOKUP(E165,'(新)ﾍﾞﾝﾀﾞｰ小型'!$A$3:$K$300,10,0),"")</f>
        <v>2026/12/15 </v>
      </c>
    </row>
    <row r="166" spans="1:9" s="19" customFormat="1" ht="13.8" thickBot="1" x14ac:dyDescent="0.2">
      <c r="A166" s="11">
        <v>165</v>
      </c>
      <c r="B166" s="7" t="str">
        <f>IFERROR(VLOOKUP(E166,'(新)ﾍﾞﾝﾀﾞｰ小型'!$A$3:$K$300,2,0), "")</f>
        <v>01月 </v>
      </c>
      <c r="C166" s="7" t="str">
        <f>IFERROR(VLOOKUP(E166,'(新)ﾍﾞﾝﾀﾞｰ小型'!$A$3:$K$300,4,0), "")</f>
        <v>EGB1303ARE_EXP </v>
      </c>
      <c r="D166" s="7" t="str">
        <f>IFERROR(VLOOKUP(E166,'(新)ﾍﾞﾝﾀﾞｰ小型'!$A$3:$K$300,5,0), "")</f>
        <v> 【CHINA】蘇州鉄拓机械 </v>
      </c>
      <c r="E166" s="23" t="str">
        <f>'(新)ﾍﾞﾝﾀﾞｰ小型'!A167</f>
        <v> TS13329062 </v>
      </c>
      <c r="F166" s="8" t="str">
        <f>IFERROR(VLOOKUP(E166,'(新)ﾍﾞﾝﾀﾞｰ小型'!$A$3:$K$300,8,0), "")</f>
        <v>0E1859 </v>
      </c>
      <c r="G166" s="7" t="str">
        <f>IFERROR(VLOOKUP(E166,'(旧)ﾍﾞﾝﾀﾞｰ小型'!$A$3:$K$310,10,0),"")</f>
        <v>2026/12/04 </v>
      </c>
      <c r="H166" s="12" t="s">
        <v>60</v>
      </c>
      <c r="I166" s="7" t="str">
        <f>IFERROR(VLOOKUP(E166,'(新)ﾍﾞﾝﾀﾞｰ小型'!$A$3:$K$300,10,0),"")</f>
        <v>2026/12/15 </v>
      </c>
    </row>
    <row r="167" spans="1:9" s="19" customFormat="1" ht="13.8" thickBot="1" x14ac:dyDescent="0.2">
      <c r="A167" s="11">
        <v>166</v>
      </c>
      <c r="B167" s="7" t="str">
        <f>IFERROR(VLOOKUP(E167,'(新)ﾍﾞﾝﾀﾞｰ小型'!$A$3:$K$300,2,0), "")</f>
        <v>01月 </v>
      </c>
      <c r="C167" s="7" t="str">
        <f>IFERROR(VLOOKUP(E167,'(新)ﾍﾞﾝﾀﾞｰ小型'!$A$3:$K$300,4,0), "")</f>
        <v>EGB6020AE_EXP </v>
      </c>
      <c r="D167" s="7" t="str">
        <f>IFERROR(VLOOKUP(E167,'(新)ﾍﾞﾝﾀﾞｰ小型'!$A$3:$K$300,5,0), "")</f>
        <v> 【ブラジル】EXPOMAFE（公共展） </v>
      </c>
      <c r="E167" s="23" t="str">
        <f>'(新)ﾍﾞﾝﾀﾞｰ小型'!A168</f>
        <v> TS60299223 </v>
      </c>
      <c r="F167" s="8" t="str">
        <f>IFERROR(VLOOKUP(E167,'(新)ﾍﾞﾝﾀﾞｰ小型'!$A$3:$K$300,8,0), "")</f>
        <v>0D8050 </v>
      </c>
      <c r="G167" s="7" t="str">
        <f>IFERROR(VLOOKUP(E167,'(旧)ﾍﾞﾝﾀﾞｰ小型'!$A$3:$K$310,10,0),"")</f>
        <v>2026/12/04 </v>
      </c>
      <c r="H167" s="12" t="s">
        <v>60</v>
      </c>
      <c r="I167" s="7" t="str">
        <f>IFERROR(VLOOKUP(E167,'(新)ﾍﾞﾝﾀﾞｰ小型'!$A$3:$K$300,10,0),"")</f>
        <v>2026/12/17 </v>
      </c>
    </row>
    <row r="168" spans="1:9" s="19" customFormat="1" ht="13.8" thickBot="1" x14ac:dyDescent="0.2">
      <c r="A168" s="11">
        <v>167</v>
      </c>
      <c r="B168" s="7" t="str">
        <f>IFERROR(VLOOKUP(E168,'(新)ﾍﾞﾝﾀﾞｰ小型'!$A$3:$K$300,2,0), "")</f>
        <v>01月 </v>
      </c>
      <c r="C168" s="7" t="str">
        <f>IFERROR(VLOOKUP(E168,'(新)ﾍﾞﾝﾀﾞｰ小型'!$A$3:$K$300,4,0), "")</f>
        <v>EGB6020E_EXP </v>
      </c>
      <c r="D168" s="7" t="str">
        <f>IFERROR(VLOOKUP(E168,'(新)ﾍﾞﾝﾀﾞｰ小型'!$A$3:$K$300,5,0), "")</f>
        <v> 【マレーシア】Humanetics Precision Metal </v>
      </c>
      <c r="E168" s="23" t="str">
        <f>'(新)ﾍﾞﾝﾀﾞｰ小型'!A169</f>
        <v> TS62077182 </v>
      </c>
      <c r="F168" s="8" t="str">
        <f>IFERROR(VLOOKUP(E168,'(新)ﾍﾞﾝﾀﾞｰ小型'!$A$3:$K$300,8,0), "")</f>
        <v>0D7905 </v>
      </c>
      <c r="G168" s="7" t="str">
        <f>IFERROR(VLOOKUP(E168,'(旧)ﾍﾞﾝﾀﾞｰ小型'!$A$3:$K$310,10,0),"")</f>
        <v>2026/12/19 </v>
      </c>
      <c r="H168" s="12" t="s">
        <v>60</v>
      </c>
      <c r="I168" s="7" t="str">
        <f>IFERROR(VLOOKUP(E168,'(新)ﾍﾞﾝﾀﾞｰ小型'!$A$3:$K$300,10,0),"")</f>
        <v>2026/12/17 </v>
      </c>
    </row>
    <row r="169" spans="1:9" s="19" customFormat="1" ht="13.8" thickBot="1" x14ac:dyDescent="0.2">
      <c r="A169" s="11">
        <v>168</v>
      </c>
      <c r="B169" s="7" t="str">
        <f>IFERROR(VLOOKUP(E169,'(新)ﾍﾞﾝﾀﾞｰ小型'!$A$3:$K$300,2,0), "")</f>
        <v>01月 </v>
      </c>
      <c r="C169" s="7" t="str">
        <f>IFERROR(VLOOKUP(E169,'(新)ﾍﾞﾝﾀﾞｰ小型'!$A$3:$K$300,4,0), "")</f>
        <v>EGB6020E_EXP </v>
      </c>
      <c r="D169" s="7" t="str">
        <f>IFERROR(VLOOKUP(E169,'(新)ﾍﾞﾝﾀﾞｰ小型'!$A$3:$K$300,5,0), "")</f>
        <v> 【マレーシア】Humanetics Precision Metal </v>
      </c>
      <c r="E169" s="23" t="str">
        <f>'(新)ﾍﾞﾝﾀﾞｰ小型'!A170</f>
        <v> TS62077183 </v>
      </c>
      <c r="F169" s="8" t="str">
        <f>IFERROR(VLOOKUP(E169,'(新)ﾍﾞﾝﾀﾞｰ小型'!$A$3:$K$300,8,0), "")</f>
        <v>0D7905 </v>
      </c>
      <c r="G169" s="7" t="str">
        <f>IFERROR(VLOOKUP(E169,'(旧)ﾍﾞﾝﾀﾞｰ小型'!$A$3:$K$310,10,0),"")</f>
        <v>2026/12/22 </v>
      </c>
      <c r="H169" s="12" t="s">
        <v>60</v>
      </c>
      <c r="I169" s="7" t="str">
        <f>IFERROR(VLOOKUP(E169,'(新)ﾍﾞﾝﾀﾞｰ小型'!$A$3:$K$300,10,0),"")</f>
        <v>2026/12/17 </v>
      </c>
    </row>
    <row r="170" spans="1:9" s="19" customFormat="1" ht="13.8" thickBot="1" x14ac:dyDescent="0.2">
      <c r="A170" s="11">
        <v>169</v>
      </c>
      <c r="B170" s="7" t="str">
        <f>IFERROR(VLOOKUP(E170,'(新)ﾍﾞﾝﾀﾞｰ小型'!$A$3:$K$300,2,0), "")</f>
        <v>01月 </v>
      </c>
      <c r="C170" s="7" t="str">
        <f>IFERROR(VLOOKUP(E170,'(新)ﾍﾞﾝﾀﾞｰ小型'!$A$3:$K$300,4,0), "")</f>
        <v>EGB8025E </v>
      </c>
      <c r="D170" s="7" t="str">
        <f>IFERROR(VLOOKUP(E170,'(新)ﾍﾞﾝﾀﾞｰ小型'!$A$3:$K$300,5,0), "")</f>
        <v>  </v>
      </c>
      <c r="E170" s="23" t="str">
        <f>'(新)ﾍﾞﾝﾀﾞｰ小型'!A171</f>
        <v> TS82577320 </v>
      </c>
      <c r="F170" s="8" t="str">
        <f>IFERROR(VLOOKUP(E170,'(新)ﾍﾞﾝﾀﾞｰ小型'!$A$3:$K$300,8,0), "")</f>
        <v>0E1240 </v>
      </c>
      <c r="G170" s="7" t="str">
        <f>IFERROR(VLOOKUP(E170,'(旧)ﾍﾞﾝﾀﾞｰ小型'!$A$3:$K$310,10,0),"")</f>
        <v>2027/01/19 </v>
      </c>
      <c r="H170" s="12" t="s">
        <v>60</v>
      </c>
      <c r="I170" s="7" t="str">
        <f>IFERROR(VLOOKUP(E170,'(新)ﾍﾞﾝﾀﾞｰ小型'!$A$3:$K$300,10,0),"")</f>
        <v>2026/12/18 </v>
      </c>
    </row>
    <row r="171" spans="1:9" s="19" customFormat="1" ht="13.8" thickBot="1" x14ac:dyDescent="0.2">
      <c r="A171" s="11">
        <v>170</v>
      </c>
      <c r="B171" s="7" t="str">
        <f>IFERROR(VLOOKUP(E171,'(新)ﾍﾞﾝﾀﾞｰ小型'!$A$3:$K$300,2,0), "")</f>
        <v>01月 </v>
      </c>
      <c r="C171" s="7" t="str">
        <f>IFERROR(VLOOKUP(E171,'(新)ﾍﾞﾝﾀﾞｰ小型'!$A$3:$K$300,4,0), "")</f>
        <v>EGB1303AE_EXP </v>
      </c>
      <c r="D171" s="7" t="str">
        <f>IFERROR(VLOOKUP(E171,'(新)ﾍﾞﾝﾀﾞｰ小型'!$A$3:$K$300,5,0), "")</f>
        <v> 【CHINA】新郷市祥和精密機械有限公司 </v>
      </c>
      <c r="E171" s="23" t="str">
        <f>'(新)ﾍﾞﾝﾀﾞｰ小型'!A172</f>
        <v> TS13399285 </v>
      </c>
      <c r="F171" s="8" t="str">
        <f>IFERROR(VLOOKUP(E171,'(新)ﾍﾞﾝﾀﾞｰ小型'!$A$3:$K$300,8,0), "")</f>
        <v>0E1243 </v>
      </c>
      <c r="G171" s="7" t="str">
        <f>IFERROR(VLOOKUP(E171,'(旧)ﾍﾞﾝﾀﾞｰ小型'!$A$3:$K$310,10,0),"")</f>
        <v>2026/12/11 </v>
      </c>
      <c r="H171" s="12" t="s">
        <v>60</v>
      </c>
      <c r="I171" s="7" t="str">
        <f>IFERROR(VLOOKUP(E171,'(新)ﾍﾞﾝﾀﾞｰ小型'!$A$3:$K$300,10,0),"")</f>
        <v>2026/12/18 </v>
      </c>
    </row>
    <row r="172" spans="1:9" s="19" customFormat="1" ht="13.8" thickBot="1" x14ac:dyDescent="0.2">
      <c r="A172" s="11">
        <v>171</v>
      </c>
      <c r="B172" s="7" t="str">
        <f>IFERROR(VLOOKUP(E172,'(新)ﾍﾞﾝﾀﾞｰ小型'!$A$3:$K$300,2,0), "")</f>
        <v>01月 </v>
      </c>
      <c r="C172" s="7" t="str">
        <f>IFERROR(VLOOKUP(E172,'(新)ﾍﾞﾝﾀﾞｰ小型'!$A$3:$K$300,4,0), "")</f>
        <v>EGB6020AE </v>
      </c>
      <c r="D172" s="7" t="str">
        <f>IFERROR(VLOOKUP(E172,'(新)ﾍﾞﾝﾀﾞｰ小型'!$A$3:$K$300,5,0), "")</f>
        <v>  </v>
      </c>
      <c r="E172" s="23" t="str">
        <f>'(新)ﾍﾞﾝﾀﾞｰ小型'!A173</f>
        <v> TS60299221 </v>
      </c>
      <c r="F172" s="8" t="str">
        <f>IFERROR(VLOOKUP(E172,'(新)ﾍﾞﾝﾀﾞｰ小型'!$A$3:$K$300,8,0), "")</f>
        <v>0D7904 </v>
      </c>
      <c r="G172" s="7" t="str">
        <f>IFERROR(VLOOKUP(E172,'(旧)ﾍﾞﾝﾀﾞｰ小型'!$A$3:$K$310,10,0),"")</f>
        <v>2026/12/17 </v>
      </c>
      <c r="H172" s="12" t="s">
        <v>60</v>
      </c>
      <c r="I172" s="7" t="str">
        <f>IFERROR(VLOOKUP(E172,'(新)ﾍﾞﾝﾀﾞｰ小型'!$A$3:$K$300,10,0),"")</f>
        <v>2026/12/18 </v>
      </c>
    </row>
    <row r="173" spans="1:9" s="19" customFormat="1" ht="13.8" thickBot="1" x14ac:dyDescent="0.2">
      <c r="A173" s="11">
        <v>172</v>
      </c>
      <c r="B173" s="7" t="str">
        <f>IFERROR(VLOOKUP(E173,'(新)ﾍﾞﾝﾀﾞｰ小型'!$A$3:$K$300,2,0), "")</f>
        <v>01月 </v>
      </c>
      <c r="C173" s="7" t="str">
        <f>IFERROR(VLOOKUP(E173,'(新)ﾍﾞﾝﾀﾞｰ小型'!$A$3:$K$300,4,0), "")</f>
        <v>EGB8025E_EXP </v>
      </c>
      <c r="D173" s="7" t="str">
        <f>IFERROR(VLOOKUP(E173,'(新)ﾍﾞﾝﾀﾞｰ小型'!$A$3:$K$300,5,0), "")</f>
        <v> 【CHINA】昆山栄科 </v>
      </c>
      <c r="E173" s="23" t="str">
        <f>'(新)ﾍﾞﾝﾀﾞｰ小型'!A174</f>
        <v> TS82577316 </v>
      </c>
      <c r="F173" s="8" t="str">
        <f>IFERROR(VLOOKUP(E173,'(新)ﾍﾞﾝﾀﾞｰ小型'!$A$3:$K$300,8,0), "")</f>
        <v>0E1858 </v>
      </c>
      <c r="G173" s="7" t="str">
        <f>IFERROR(VLOOKUP(E173,'(旧)ﾍﾞﾝﾀﾞｰ小型'!$A$3:$K$310,10,0),"")</f>
        <v>2027/01/05 </v>
      </c>
      <c r="H173" s="12" t="s">
        <v>60</v>
      </c>
      <c r="I173" s="7" t="str">
        <f>IFERROR(VLOOKUP(E173,'(新)ﾍﾞﾝﾀﾞｰ小型'!$A$3:$K$300,10,0),"")</f>
        <v>2026/12/19 </v>
      </c>
    </row>
    <row r="174" spans="1:9" s="19" customFormat="1" ht="13.8" thickBot="1" x14ac:dyDescent="0.2">
      <c r="A174" s="11">
        <v>173</v>
      </c>
      <c r="B174" s="7" t="str">
        <f>IFERROR(VLOOKUP(E174,'(新)ﾍﾞﾝﾀﾞｰ小型'!$A$3:$K$300,2,0), "")</f>
        <v>01月 </v>
      </c>
      <c r="C174" s="7" t="str">
        <f>IFERROR(VLOOKUP(E174,'(新)ﾍﾞﾝﾀﾞｰ小型'!$A$3:$K$300,4,0), "")</f>
        <v>EGB8025E </v>
      </c>
      <c r="D174" s="7" t="str">
        <f>IFERROR(VLOOKUP(E174,'(新)ﾍﾞﾝﾀﾞｰ小型'!$A$3:$K$300,5,0), "")</f>
        <v> 引当解除 2026- </v>
      </c>
      <c r="E174" s="23" t="str">
        <f>'(新)ﾍﾞﾝﾀﾞｰ小型'!A175</f>
        <v> TS82577312 </v>
      </c>
      <c r="F174" s="8" t="str">
        <f>IFERROR(VLOOKUP(E174,'(新)ﾍﾞﾝﾀﾞｰ小型'!$A$3:$K$300,8,0), "")</f>
        <v>0E1240 </v>
      </c>
      <c r="G174" s="7" t="str">
        <f>IFERROR(VLOOKUP(E174,'(旧)ﾍﾞﾝﾀﾞｰ小型'!$A$3:$K$310,10,0),"")</f>
        <v>2027/01/15 </v>
      </c>
      <c r="H174" s="12" t="s">
        <v>60</v>
      </c>
      <c r="I174" s="7" t="str">
        <f>IFERROR(VLOOKUP(E174,'(新)ﾍﾞﾝﾀﾞｰ小型'!$A$3:$K$300,10,0),"")</f>
        <v>2026/12/22 </v>
      </c>
    </row>
    <row r="175" spans="1:9" s="19" customFormat="1" ht="13.8" thickBot="1" x14ac:dyDescent="0.2">
      <c r="A175" s="11">
        <v>174</v>
      </c>
      <c r="B175" s="7" t="str">
        <f>IFERROR(VLOOKUP(E175,'(新)ﾍﾞﾝﾀﾞｰ小型'!$A$3:$K$300,2,0), "")</f>
        <v>01月 </v>
      </c>
      <c r="C175" s="7" t="str">
        <f>IFERROR(VLOOKUP(E175,'(新)ﾍﾞﾝﾀﾞｰ小型'!$A$3:$K$300,4,0), "")</f>
        <v>EGB1303AE_EXP </v>
      </c>
      <c r="D175" s="7" t="str">
        <f>IFERROR(VLOOKUP(E175,'(新)ﾍﾞﾝﾀﾞｰ小型'!$A$3:$K$300,5,0), "")</f>
        <v> ＡＭＡＤＡ　ＡＭＥＲＩＣＡ　ＩＮＣ． </v>
      </c>
      <c r="E175" s="23" t="str">
        <f>'(新)ﾍﾞﾝﾀﾞｰ小型'!A176</f>
        <v> TS13399286 </v>
      </c>
      <c r="F175" s="8" t="str">
        <f>IFERROR(VLOOKUP(E175,'(新)ﾍﾞﾝﾀﾞｰ小型'!$A$3:$K$300,8,0), "")</f>
        <v>0E1243 </v>
      </c>
      <c r="G175" s="7" t="str">
        <f>IFERROR(VLOOKUP(E175,'(旧)ﾍﾞﾝﾀﾞｰ小型'!$A$3:$K$310,10,0),"")</f>
        <v>2026/12/12 </v>
      </c>
      <c r="H175" s="12" t="s">
        <v>60</v>
      </c>
      <c r="I175" s="7" t="str">
        <f>IFERROR(VLOOKUP(E175,'(新)ﾍﾞﾝﾀﾞｰ小型'!$A$3:$K$300,10,0),"")</f>
        <v>2026/12/22 </v>
      </c>
    </row>
    <row r="176" spans="1:9" s="19" customFormat="1" ht="13.8" thickBot="1" x14ac:dyDescent="0.2">
      <c r="A176" s="11">
        <v>175</v>
      </c>
      <c r="B176" s="7" t="str">
        <f>IFERROR(VLOOKUP(E176,'(新)ﾍﾞﾝﾀﾞｰ小型'!$A$3:$K$300,2,0), "")</f>
        <v>01月 </v>
      </c>
      <c r="C176" s="7" t="str">
        <f>IFERROR(VLOOKUP(E176,'(新)ﾍﾞﾝﾀﾞｰ小型'!$A$3:$K$300,4,0), "")</f>
        <v>EGB1303E_EXP </v>
      </c>
      <c r="D176" s="7" t="str">
        <f>IFERROR(VLOOKUP(E176,'(新)ﾍﾞﾝﾀﾞｰ小型'!$A$3:$K$300,5,0), "")</f>
        <v> アマダアメリカ </v>
      </c>
      <c r="E176" s="23" t="str">
        <f>'(新)ﾍﾞﾝﾀﾞｰ小型'!A177</f>
        <v> TS13377363 </v>
      </c>
      <c r="F176" s="8" t="str">
        <f>IFERROR(VLOOKUP(E176,'(新)ﾍﾞﾝﾀﾞｰ小型'!$A$3:$K$300,8,0), "")</f>
        <v>0D9825 </v>
      </c>
      <c r="G176" s="7" t="str">
        <f>IFERROR(VLOOKUP(E176,'(旧)ﾍﾞﾝﾀﾞｰ小型'!$A$3:$K$310,10,0),"")</f>
        <v>2026/12/24 </v>
      </c>
      <c r="H176" s="12" t="s">
        <v>60</v>
      </c>
      <c r="I176" s="7" t="str">
        <f>IFERROR(VLOOKUP(E176,'(新)ﾍﾞﾝﾀﾞｰ小型'!$A$3:$K$300,10,0),"")</f>
        <v>2026/12/22 </v>
      </c>
    </row>
    <row r="177" spans="1:9" s="19" customFormat="1" ht="13.8" thickBot="1" x14ac:dyDescent="0.2">
      <c r="A177" s="11">
        <v>176</v>
      </c>
      <c r="B177" s="7" t="str">
        <f>IFERROR(VLOOKUP(E177,'(新)ﾍﾞﾝﾀﾞｰ小型'!$A$3:$K$300,2,0), "")</f>
        <v>01月 </v>
      </c>
      <c r="C177" s="7" t="str">
        <f>IFERROR(VLOOKUP(E177,'(新)ﾍﾞﾝﾀﾞｰ小型'!$A$3:$K$300,4,0), "")</f>
        <v>EGB1303E </v>
      </c>
      <c r="D177" s="7" t="str">
        <f>IFERROR(VLOOKUP(E177,'(新)ﾍﾞﾝﾀﾞｰ小型'!$A$3:$K$300,5,0), "")</f>
        <v>  </v>
      </c>
      <c r="E177" s="23" t="str">
        <f>'(新)ﾍﾞﾝﾀﾞｰ小型'!A178</f>
        <v> TS13377362 </v>
      </c>
      <c r="F177" s="8" t="str">
        <f>IFERROR(VLOOKUP(E177,'(新)ﾍﾞﾝﾀﾞｰ小型'!$A$3:$K$300,8,0), "")</f>
        <v>0D9824 </v>
      </c>
      <c r="G177" s="7" t="str">
        <f>IFERROR(VLOOKUP(E177,'(旧)ﾍﾞﾝﾀﾞｰ小型'!$A$3:$K$310,10,0),"")</f>
        <v>2027/01/14 </v>
      </c>
      <c r="H177" s="12" t="s">
        <v>60</v>
      </c>
      <c r="I177" s="7" t="str">
        <f>IFERROR(VLOOKUP(E177,'(新)ﾍﾞﾝﾀﾞｰ小型'!$A$3:$K$300,10,0),"")</f>
        <v>2026/12/23 </v>
      </c>
    </row>
    <row r="178" spans="1:9" s="19" customFormat="1" ht="13.8" thickBot="1" x14ac:dyDescent="0.2">
      <c r="A178" s="11">
        <v>177</v>
      </c>
      <c r="B178" s="7" t="str">
        <f>IFERROR(VLOOKUP(E178,'(新)ﾍﾞﾝﾀﾞｰ小型'!$A$3:$K$300,2,0), "")</f>
        <v>01月 </v>
      </c>
      <c r="C178" s="7" t="str">
        <f>IFERROR(VLOOKUP(E178,'(新)ﾍﾞﾝﾀﾞｰ小型'!$A$3:$K$300,4,0), "")</f>
        <v>EGB1303ARE </v>
      </c>
      <c r="D178" s="7" t="str">
        <f>IFERROR(VLOOKUP(E178,'(新)ﾍﾞﾝﾀﾞｰ小型'!$A$3:$K$300,5,0), "")</f>
        <v> 太洋工業（株） </v>
      </c>
      <c r="E178" s="23" t="str">
        <f>'(新)ﾍﾞﾝﾀﾞｰ小型'!A179</f>
        <v> TS13329063 </v>
      </c>
      <c r="F178" s="8" t="str">
        <f>IFERROR(VLOOKUP(E178,'(新)ﾍﾞﾝﾀﾞｰ小型'!$A$3:$K$300,8,0), "")</f>
        <v>0E1242 </v>
      </c>
      <c r="G178" s="7" t="str">
        <f>IFERROR(VLOOKUP(E178,'(旧)ﾍﾞﾝﾀﾞｰ小型'!$A$3:$K$310,10,0),"")</f>
        <v>2026/12/02 </v>
      </c>
      <c r="H178" s="12" t="s">
        <v>60</v>
      </c>
      <c r="I178" s="7" t="str">
        <f>IFERROR(VLOOKUP(E178,'(新)ﾍﾞﾝﾀﾞｰ小型'!$A$3:$K$300,10,0),"")</f>
        <v>2026/12/24 </v>
      </c>
    </row>
    <row r="179" spans="1:9" s="19" customFormat="1" ht="13.8" thickBot="1" x14ac:dyDescent="0.2">
      <c r="A179" s="11">
        <v>178</v>
      </c>
      <c r="B179" s="7" t="str">
        <f>IFERROR(VLOOKUP(E179,'(新)ﾍﾞﾝﾀﾞｰ小型'!$A$3:$K$300,2,0), "")</f>
        <v>01月 </v>
      </c>
      <c r="C179" s="7" t="str">
        <f>IFERROR(VLOOKUP(E179,'(新)ﾍﾞﾝﾀﾞｰ小型'!$A$3:$K$300,4,0), "")</f>
        <v>EGB8025E_EXP </v>
      </c>
      <c r="D179" s="7" t="str">
        <f>IFERROR(VLOOKUP(E179,'(新)ﾍﾞﾝﾀﾞｰ小型'!$A$3:$K$300,5,0), "")</f>
        <v> 【マレーシア】Humanetics Precision Metal </v>
      </c>
      <c r="E179" s="23" t="str">
        <f>'(新)ﾍﾞﾝﾀﾞｰ小型'!A180</f>
        <v> TS82577317 </v>
      </c>
      <c r="F179" s="8" t="str">
        <f>IFERROR(VLOOKUP(E179,'(新)ﾍﾞﾝﾀﾞｰ小型'!$A$3:$K$300,8,0), "")</f>
        <v>0E1858 </v>
      </c>
      <c r="G179" s="7" t="str">
        <f>IFERROR(VLOOKUP(E179,'(旧)ﾍﾞﾝﾀﾞｰ小型'!$A$3:$K$310,10,0),"")</f>
        <v>2027/01/06 </v>
      </c>
      <c r="H179" s="12" t="s">
        <v>60</v>
      </c>
      <c r="I179" s="7" t="str">
        <f>IFERROR(VLOOKUP(E179,'(新)ﾍﾞﾝﾀﾞｰ小型'!$A$3:$K$300,10,0),"")</f>
        <v>2026/12/24 </v>
      </c>
    </row>
    <row r="180" spans="1:9" s="19" customFormat="1" ht="13.8" thickBot="1" x14ac:dyDescent="0.2">
      <c r="A180" s="11">
        <v>179</v>
      </c>
      <c r="B180" s="7" t="str">
        <f>IFERROR(VLOOKUP(E180,'(新)ﾍﾞﾝﾀﾞｰ小型'!$A$3:$K$300,2,0), "")</f>
        <v>01月 </v>
      </c>
      <c r="C180" s="7" t="str">
        <f>IFERROR(VLOOKUP(E180,'(新)ﾍﾞﾝﾀﾞｰ小型'!$A$3:$K$300,4,0), "")</f>
        <v>EGB1303AE_EXP </v>
      </c>
      <c r="D180" s="7" t="str">
        <f>IFERROR(VLOOKUP(E180,'(新)ﾍﾞﾝﾀﾞｰ小型'!$A$3:$K$300,5,0), "")</f>
        <v> ＡＭＡＤＡ　ＣＡＮＡＤＡ　ＬＴＤ． </v>
      </c>
      <c r="E180" s="23" t="str">
        <f>'(新)ﾍﾞﾝﾀﾞｰ小型'!A181</f>
        <v> TS13399287 </v>
      </c>
      <c r="F180" s="8" t="str">
        <f>IFERROR(VLOOKUP(E180,'(新)ﾍﾞﾝﾀﾞｰ小型'!$A$3:$K$300,8,0), "")</f>
        <v>0E1243 </v>
      </c>
      <c r="G180" s="7" t="str">
        <f>IFERROR(VLOOKUP(E180,'(旧)ﾍﾞﾝﾀﾞｰ小型'!$A$3:$K$310,10,0),"")</f>
        <v>2026/12/15 </v>
      </c>
      <c r="H180" s="12" t="s">
        <v>60</v>
      </c>
      <c r="I180" s="7" t="str">
        <f>IFERROR(VLOOKUP(E180,'(新)ﾍﾞﾝﾀﾞｰ小型'!$A$3:$K$300,10,0),"")</f>
        <v>2026/12/24 </v>
      </c>
    </row>
    <row r="181" spans="1:9" s="19" customFormat="1" ht="13.8" thickBot="1" x14ac:dyDescent="0.2">
      <c r="A181" s="11">
        <v>180</v>
      </c>
      <c r="B181" s="7" t="str">
        <f>IFERROR(VLOOKUP(E181,'(新)ﾍﾞﾝﾀﾞｰ小型'!$A$3:$K$300,2,0), "")</f>
        <v>01月 </v>
      </c>
      <c r="C181" s="7" t="str">
        <f>IFERROR(VLOOKUP(E181,'(新)ﾍﾞﾝﾀﾞｰ小型'!$A$3:$K$300,4,0), "")</f>
        <v>EGB8025E_EXP </v>
      </c>
      <c r="D181" s="7" t="str">
        <f>IFERROR(VLOOKUP(E181,'(新)ﾍﾞﾝﾀﾞｰ小型'!$A$3:$K$300,5,0), "")</f>
        <v> 【CHINA】昆山栄科 </v>
      </c>
      <c r="E181" s="23" t="str">
        <f>'(新)ﾍﾞﾝﾀﾞｰ小型'!A182</f>
        <v> TS82577315 </v>
      </c>
      <c r="F181" s="8" t="str">
        <f>IFERROR(VLOOKUP(E181,'(新)ﾍﾞﾝﾀﾞｰ小型'!$A$3:$K$300,8,0), "")</f>
        <v>0E1858 </v>
      </c>
      <c r="G181" s="7" t="str">
        <f>IFERROR(VLOOKUP(E181,'(旧)ﾍﾞﾝﾀﾞｰ小型'!$A$3:$K$310,10,0),"")</f>
        <v>2026/12/26 </v>
      </c>
      <c r="H181" s="12" t="s">
        <v>60</v>
      </c>
      <c r="I181" s="7" t="str">
        <f>IFERROR(VLOOKUP(E181,'(新)ﾍﾞﾝﾀﾞｰ小型'!$A$3:$K$300,10,0),"")</f>
        <v>2026/12/25 </v>
      </c>
    </row>
    <row r="182" spans="1:9" s="19" customFormat="1" ht="13.8" thickBot="1" x14ac:dyDescent="0.2">
      <c r="A182" s="11">
        <v>181</v>
      </c>
      <c r="B182" s="7" t="str">
        <f>IFERROR(VLOOKUP(E182,'(新)ﾍﾞﾝﾀﾞｰ小型'!$A$3:$K$300,2,0), "")</f>
        <v>01月 </v>
      </c>
      <c r="C182" s="7" t="str">
        <f>IFERROR(VLOOKUP(E182,'(新)ﾍﾞﾝﾀﾞｰ小型'!$A$3:$K$300,4,0), "")</f>
        <v>EGB8025E_EXP </v>
      </c>
      <c r="D182" s="7" t="str">
        <f>IFERROR(VLOOKUP(E182,'(新)ﾍﾞﾝﾀﾞｰ小型'!$A$3:$K$300,5,0), "")</f>
        <v> 【フィリピン】GLORY PHILIPPINES </v>
      </c>
      <c r="E182" s="23" t="str">
        <f>'(新)ﾍﾞﾝﾀﾞｰ小型'!A183</f>
        <v> TS82577309 </v>
      </c>
      <c r="F182" s="8" t="str">
        <f>IFERROR(VLOOKUP(E182,'(新)ﾍﾞﾝﾀﾞｰ小型'!$A$3:$K$300,8,0), "")</f>
        <v>0E1858 </v>
      </c>
      <c r="G182" s="7" t="str">
        <f>IFERROR(VLOOKUP(E182,'(旧)ﾍﾞﾝﾀﾞｰ小型'!$A$3:$K$310,10,0),"")</f>
        <v>2027/01/05 </v>
      </c>
      <c r="H182" s="12" t="s">
        <v>60</v>
      </c>
      <c r="I182" s="7" t="str">
        <f>IFERROR(VLOOKUP(E182,'(新)ﾍﾞﾝﾀﾞｰ小型'!$A$3:$K$300,10,0),"")</f>
        <v>2026/12/25 </v>
      </c>
    </row>
    <row r="183" spans="1:9" s="19" customFormat="1" ht="13.8" thickBot="1" x14ac:dyDescent="0.2">
      <c r="A183" s="11">
        <v>182</v>
      </c>
      <c r="B183" s="7" t="str">
        <f>IFERROR(VLOOKUP(E183,'(新)ﾍﾞﾝﾀﾞｰ小型'!$A$3:$K$300,2,0), "")</f>
        <v>01月 </v>
      </c>
      <c r="C183" s="7" t="str">
        <f>IFERROR(VLOOKUP(E183,'(新)ﾍﾞﾝﾀﾞｰ小型'!$A$3:$K$300,4,0), "")</f>
        <v>EGB6020AE </v>
      </c>
      <c r="D183" s="7" t="str">
        <f>IFERROR(VLOOKUP(E183,'(新)ﾍﾞﾝﾀﾞｰ小型'!$A$3:$K$300,5,0), "")</f>
        <v>  </v>
      </c>
      <c r="E183" s="23" t="str">
        <f>'(新)ﾍﾞﾝﾀﾞｰ小型'!A184</f>
        <v> TS60299222 </v>
      </c>
      <c r="F183" s="8" t="str">
        <f>IFERROR(VLOOKUP(E183,'(新)ﾍﾞﾝﾀﾞｰ小型'!$A$3:$K$300,8,0), "")</f>
        <v>0D7904 </v>
      </c>
      <c r="G183" s="7" t="str">
        <f>IFERROR(VLOOKUP(E183,'(旧)ﾍﾞﾝﾀﾞｰ小型'!$A$3:$K$310,10,0),"")</f>
        <v>2026/12/18 </v>
      </c>
      <c r="H183" s="12" t="s">
        <v>60</v>
      </c>
      <c r="I183" s="7" t="str">
        <f>IFERROR(VLOOKUP(E183,'(新)ﾍﾞﾝﾀﾞｰ小型'!$A$3:$K$300,10,0),"")</f>
        <v>2026/12/25 </v>
      </c>
    </row>
    <row r="184" spans="1:9" s="19" customFormat="1" ht="13.8" thickBot="1" x14ac:dyDescent="0.2">
      <c r="A184" s="11">
        <v>183</v>
      </c>
      <c r="B184" s="7" t="str">
        <f>IFERROR(VLOOKUP(E184,'(新)ﾍﾞﾝﾀﾞｰ小型'!$A$3:$K$300,2,0), "")</f>
        <v>01月 </v>
      </c>
      <c r="C184" s="7" t="str">
        <f>IFERROR(VLOOKUP(E184,'(新)ﾍﾞﾝﾀﾞｰ小型'!$A$3:$K$300,4,0), "")</f>
        <v>EGB8025E </v>
      </c>
      <c r="D184" s="7" t="str">
        <f>IFERROR(VLOOKUP(E184,'(新)ﾍﾞﾝﾀﾞｰ小型'!$A$3:$K$300,5,0), "")</f>
        <v> 日野自動車（株） </v>
      </c>
      <c r="E184" s="23" t="str">
        <f>'(新)ﾍﾞﾝﾀﾞｰ小型'!A185</f>
        <v> TS82577313 </v>
      </c>
      <c r="F184" s="8" t="str">
        <f>IFERROR(VLOOKUP(E184,'(新)ﾍﾞﾝﾀﾞｰ小型'!$A$3:$K$300,8,0), "")</f>
        <v>0E1240 </v>
      </c>
      <c r="G184" s="7" t="str">
        <f>IFERROR(VLOOKUP(E184,'(旧)ﾍﾞﾝﾀﾞｰ小型'!$A$3:$K$310,10,0),"")</f>
        <v>2027/01/15 </v>
      </c>
      <c r="H184" s="12" t="s">
        <v>60</v>
      </c>
      <c r="I184" s="7" t="str">
        <f>IFERROR(VLOOKUP(E184,'(新)ﾍﾞﾝﾀﾞｰ小型'!$A$3:$K$300,10,0),"")</f>
        <v>2026/12/26 </v>
      </c>
    </row>
    <row r="185" spans="1:9" s="19" customFormat="1" ht="13.8" thickBot="1" x14ac:dyDescent="0.2">
      <c r="A185" s="11">
        <v>184</v>
      </c>
      <c r="B185" s="7" t="str">
        <f>IFERROR(VLOOKUP(E185,'(新)ﾍﾞﾝﾀﾞｰ小型'!$A$3:$K$300,2,0), "")</f>
        <v>01月 </v>
      </c>
      <c r="C185" s="7" t="str">
        <f>IFERROR(VLOOKUP(E185,'(新)ﾍﾞﾝﾀﾞｰ小型'!$A$3:$K$300,4,0), "")</f>
        <v>EGB1303AE </v>
      </c>
      <c r="D185" s="7" t="str">
        <f>IFERROR(VLOOKUP(E185,'(新)ﾍﾞﾝﾀﾞｰ小型'!$A$3:$K$300,5,0), "")</f>
        <v> （株）長村製作所 </v>
      </c>
      <c r="E185" s="23" t="str">
        <f>'(新)ﾍﾞﾝﾀﾞｰ小型'!A186</f>
        <v> TS13399279 </v>
      </c>
      <c r="F185" s="8" t="str">
        <f>IFERROR(VLOOKUP(E185,'(新)ﾍﾞﾝﾀﾞｰ小型'!$A$3:$K$300,8,0), "")</f>
        <v>0D9621 </v>
      </c>
      <c r="G185" s="7" t="str">
        <f>IFERROR(VLOOKUP(E185,'(旧)ﾍﾞﾝﾀﾞｰ小型'!$A$3:$K$310,10,0),"")</f>
        <v>2026/12/08 </v>
      </c>
      <c r="H185" s="12" t="s">
        <v>60</v>
      </c>
      <c r="I185" s="7" t="str">
        <f>IFERROR(VLOOKUP(E185,'(新)ﾍﾞﾝﾀﾞｰ小型'!$A$3:$K$300,10,0),"")</f>
        <v>2027/01/05 </v>
      </c>
    </row>
    <row r="186" spans="1:9" s="19" customFormat="1" ht="13.8" thickBot="1" x14ac:dyDescent="0.2">
      <c r="A186" s="11">
        <v>185</v>
      </c>
      <c r="B186" s="7" t="str">
        <f>IFERROR(VLOOKUP(E186,'(新)ﾍﾞﾝﾀﾞｰ小型'!$A$3:$K$300,2,0), "")</f>
        <v>01月 </v>
      </c>
      <c r="C186" s="7" t="str">
        <f>IFERROR(VLOOKUP(E186,'(新)ﾍﾞﾝﾀﾞｰ小型'!$A$3:$K$300,4,0), "")</f>
        <v>EGB6020AE_EXP </v>
      </c>
      <c r="D186" s="7" t="str">
        <f>IFERROR(VLOOKUP(E186,'(新)ﾍﾞﾝﾀﾞｰ小型'!$A$3:$K$300,5,0), "")</f>
        <v> ＡＭＡＤＡ　ＴＡＩＷＡＮ　ＩＮＣ． </v>
      </c>
      <c r="E186" s="23" t="str">
        <f>'(新)ﾍﾞﾝﾀﾞｰ小型'!A187</f>
        <v> TS60299224 </v>
      </c>
      <c r="F186" s="8" t="str">
        <f>IFERROR(VLOOKUP(E186,'(新)ﾍﾞﾝﾀﾞｰ小型'!$A$3:$K$300,8,0), "")</f>
        <v>0D8050 </v>
      </c>
      <c r="G186" s="7" t="str">
        <f>IFERROR(VLOOKUP(E186,'(旧)ﾍﾞﾝﾀﾞｰ小型'!$A$3:$K$310,10,0),"")</f>
        <v>2026/12/05 </v>
      </c>
      <c r="H186" s="12" t="s">
        <v>60</v>
      </c>
      <c r="I186" s="7" t="str">
        <f>IFERROR(VLOOKUP(E186,'(新)ﾍﾞﾝﾀﾞｰ小型'!$A$3:$K$300,10,0),"")</f>
        <v>2027/01/05 </v>
      </c>
    </row>
    <row r="187" spans="1:9" s="19" customFormat="1" ht="13.8" thickBot="1" x14ac:dyDescent="0.2">
      <c r="A187" s="11">
        <v>186</v>
      </c>
      <c r="B187" s="7" t="str">
        <f>IFERROR(VLOOKUP(E187,'(新)ﾍﾞﾝﾀﾞｰ小型'!$A$3:$K$300,2,0), "")</f>
        <v>01月 </v>
      </c>
      <c r="C187" s="7" t="str">
        <f>IFERROR(VLOOKUP(E187,'(新)ﾍﾞﾝﾀﾞｰ小型'!$A$3:$K$300,4,0), "")</f>
        <v>EGB1303E_EXP </v>
      </c>
      <c r="D187" s="7" t="str">
        <f>IFERROR(VLOOKUP(E187,'(新)ﾍﾞﾝﾀﾞｰ小型'!$A$3:$K$300,5,0), "")</f>
        <v> ＡＭＡＤＡ　ＣＡＮＡＤＡ　ＬＴＤ． </v>
      </c>
      <c r="E187" s="23" t="str">
        <f>'(新)ﾍﾞﾝﾀﾞｰ小型'!A188</f>
        <v> TS13377367 </v>
      </c>
      <c r="F187" s="8" t="str">
        <f>IFERROR(VLOOKUP(E187,'(新)ﾍﾞﾝﾀﾞｰ小型'!$A$3:$K$300,8,0), "")</f>
        <v>0D9825 </v>
      </c>
      <c r="G187" s="7" t="str">
        <f>IFERROR(VLOOKUP(E187,'(旧)ﾍﾞﾝﾀﾞｰ小型'!$A$3:$K$310,10,0),"")</f>
        <v>2027/01/07 </v>
      </c>
      <c r="H187" s="12" t="s">
        <v>60</v>
      </c>
      <c r="I187" s="7" t="str">
        <f>IFERROR(VLOOKUP(E187,'(新)ﾍﾞﾝﾀﾞｰ小型'!$A$3:$K$300,10,0),"")</f>
        <v>2027/01/05 </v>
      </c>
    </row>
    <row r="188" spans="1:9" s="19" customFormat="1" ht="13.8" thickBot="1" x14ac:dyDescent="0.2">
      <c r="A188" s="11">
        <v>187</v>
      </c>
      <c r="B188" s="7" t="str">
        <f>IFERROR(VLOOKUP(E188,'(新)ﾍﾞﾝﾀﾞｰ小型'!$A$3:$K$300,2,0), "")</f>
        <v>01月 </v>
      </c>
      <c r="C188" s="7" t="str">
        <f>IFERROR(VLOOKUP(E188,'(新)ﾍﾞﾝﾀﾞｰ小型'!$A$3:$K$300,4,0), "")</f>
        <v>EGB1303E </v>
      </c>
      <c r="D188" s="7" t="str">
        <f>IFERROR(VLOOKUP(E188,'(新)ﾍﾞﾝﾀﾞｰ小型'!$A$3:$K$300,5,0), "")</f>
        <v> （株）日立ハイテクマニファクチャ＆サービ </v>
      </c>
      <c r="E188" s="23" t="str">
        <f>'(新)ﾍﾞﾝﾀﾞｰ小型'!A189</f>
        <v> TS13377358 </v>
      </c>
      <c r="F188" s="8" t="str">
        <f>IFERROR(VLOOKUP(E188,'(新)ﾍﾞﾝﾀﾞｰ小型'!$A$3:$K$300,8,0), "")</f>
        <v>0D9824 </v>
      </c>
      <c r="G188" s="7" t="str">
        <f>IFERROR(VLOOKUP(E188,'(旧)ﾍﾞﾝﾀﾞｰ小型'!$A$3:$K$310,10,0),"")</f>
        <v>2027/01/13 </v>
      </c>
      <c r="H188" s="12" t="s">
        <v>60</v>
      </c>
      <c r="I188" s="7" t="str">
        <f>IFERROR(VLOOKUP(E188,'(新)ﾍﾞﾝﾀﾞｰ小型'!$A$3:$K$300,10,0),"")</f>
        <v>2027/01/06 </v>
      </c>
    </row>
    <row r="189" spans="1:9" s="19" customFormat="1" ht="13.8" thickBot="1" x14ac:dyDescent="0.2">
      <c r="A189" s="11">
        <v>188</v>
      </c>
      <c r="B189" s="7" t="str">
        <f>IFERROR(VLOOKUP(E189,'(新)ﾍﾞﾝﾀﾞｰ小型'!$A$3:$K$300,2,0), "")</f>
        <v>01月 </v>
      </c>
      <c r="C189" s="7" t="str">
        <f>IFERROR(VLOOKUP(E189,'(新)ﾍﾞﾝﾀﾞｰ小型'!$A$3:$K$300,4,0), "")</f>
        <v>EGB1303AE </v>
      </c>
      <c r="D189" s="7" t="str">
        <f>IFERROR(VLOOKUP(E189,'(新)ﾍﾞﾝﾀﾞｰ小型'!$A$3:$K$300,5,0), "")</f>
        <v>  </v>
      </c>
      <c r="E189" s="23" t="str">
        <f>'(新)ﾍﾞﾝﾀﾞｰ小型'!A190</f>
        <v> TS13399282 </v>
      </c>
      <c r="F189" s="8" t="str">
        <f>IFERROR(VLOOKUP(E189,'(新)ﾍﾞﾝﾀﾞｰ小型'!$A$3:$K$300,8,0), "")</f>
        <v>0D9621 </v>
      </c>
      <c r="G189" s="7" t="str">
        <f>IFERROR(VLOOKUP(E189,'(旧)ﾍﾞﾝﾀﾞｰ小型'!$A$3:$K$310,10,0),"")</f>
        <v>2026/12/10 </v>
      </c>
      <c r="H189" s="12" t="s">
        <v>60</v>
      </c>
      <c r="I189" s="7" t="str">
        <f>IFERROR(VLOOKUP(E189,'(新)ﾍﾞﾝﾀﾞｰ小型'!$A$3:$K$300,10,0),"")</f>
        <v>2027/01/07 </v>
      </c>
    </row>
    <row r="190" spans="1:9" s="19" customFormat="1" ht="13.8" thickBot="1" x14ac:dyDescent="0.2">
      <c r="A190" s="11">
        <v>189</v>
      </c>
      <c r="B190" s="7" t="str">
        <f>IFERROR(VLOOKUP(E190,'(新)ﾍﾞﾝﾀﾞｰ小型'!$A$3:$K$300,2,0), "")</f>
        <v>01月 </v>
      </c>
      <c r="C190" s="7" t="str">
        <f>IFERROR(VLOOKUP(E190,'(新)ﾍﾞﾝﾀﾞｰ小型'!$A$3:$K$300,4,0), "")</f>
        <v>EGB6020E </v>
      </c>
      <c r="D190" s="7" t="str">
        <f>IFERROR(VLOOKUP(E190,'(新)ﾍﾞﾝﾀﾞｰ小型'!$A$3:$K$300,5,0), "")</f>
        <v>  </v>
      </c>
      <c r="E190" s="23" t="str">
        <f>'(新)ﾍﾞﾝﾀﾞｰ小型'!A191</f>
        <v> TS62077186 </v>
      </c>
      <c r="F190" s="8" t="str">
        <f>IFERROR(VLOOKUP(E190,'(新)ﾍﾞﾝﾀﾞｰ小型'!$A$3:$K$300,8,0), "")</f>
        <v>0D7255 </v>
      </c>
      <c r="G190" s="7" t="str">
        <f>IFERROR(VLOOKUP(E190,'(旧)ﾍﾞﾝﾀﾞｰ小型'!$A$3:$K$310,10,0),"")</f>
        <v>2027/01/09 </v>
      </c>
      <c r="H190" s="12" t="s">
        <v>60</v>
      </c>
      <c r="I190" s="7" t="str">
        <f>IFERROR(VLOOKUP(E190,'(新)ﾍﾞﾝﾀﾞｰ小型'!$A$3:$K$300,10,0),"")</f>
        <v>2027/01/07 </v>
      </c>
    </row>
    <row r="191" spans="1:9" s="19" customFormat="1" ht="13.8" thickBot="1" x14ac:dyDescent="0.2">
      <c r="A191" s="11">
        <v>190</v>
      </c>
      <c r="B191" s="7" t="str">
        <f>IFERROR(VLOOKUP(E191,'(新)ﾍﾞﾝﾀﾞｰ小型'!$A$3:$K$300,2,0), "")</f>
        <v>01月 </v>
      </c>
      <c r="C191" s="7" t="str">
        <f>IFERROR(VLOOKUP(E191,'(新)ﾍﾞﾝﾀﾞｰ小型'!$A$3:$K$300,4,0), "")</f>
        <v>EGB1303E_EXP </v>
      </c>
      <c r="D191" s="7" t="str">
        <f>IFERROR(VLOOKUP(E191,'(新)ﾍﾞﾝﾀﾞｰ小型'!$A$3:$K$300,5,0), "")</f>
        <v> ＡＭＡＤＡ　ＣＡＮＡＤＡ　ＬＴＤ． </v>
      </c>
      <c r="E191" s="23" t="str">
        <f>'(新)ﾍﾞﾝﾀﾞｰ小型'!A192</f>
        <v> TS13377368 </v>
      </c>
      <c r="F191" s="8" t="str">
        <f>IFERROR(VLOOKUP(E191,'(新)ﾍﾞﾝﾀﾞｰ小型'!$A$3:$K$300,8,0), "")</f>
        <v>0D9825 </v>
      </c>
      <c r="G191" s="7" t="str">
        <f>IFERROR(VLOOKUP(E191,'(旧)ﾍﾞﾝﾀﾞｰ小型'!$A$3:$K$310,10,0),"")</f>
        <v>2027/01/07 </v>
      </c>
      <c r="H191" s="12" t="s">
        <v>60</v>
      </c>
      <c r="I191" s="7" t="str">
        <f>IFERROR(VLOOKUP(E191,'(新)ﾍﾞﾝﾀﾞｰ小型'!$A$3:$K$300,10,0),"")</f>
        <v>2027/01/07 </v>
      </c>
    </row>
    <row r="192" spans="1:9" s="19" customFormat="1" ht="13.8" thickBot="1" x14ac:dyDescent="0.2">
      <c r="A192" s="11">
        <v>191</v>
      </c>
      <c r="B192" s="7" t="str">
        <f>IFERROR(VLOOKUP(E192,'(新)ﾍﾞﾝﾀﾞｰ小型'!$A$3:$K$300,2,0), "")</f>
        <v>01月 </v>
      </c>
      <c r="C192" s="7" t="str">
        <f>IFERROR(VLOOKUP(E192,'(新)ﾍﾞﾝﾀﾞｰ小型'!$A$3:$K$300,4,0), "")</f>
        <v>EGB1303AE </v>
      </c>
      <c r="D192" s="7" t="str">
        <f>IFERROR(VLOOKUP(E192,'(新)ﾍﾞﾝﾀﾞｰ小型'!$A$3:$K$300,5,0), "")</f>
        <v> 第一精機（株） </v>
      </c>
      <c r="E192" s="23" t="str">
        <f>'(新)ﾍﾞﾝﾀﾞｰ小型'!A193</f>
        <v> TS13399280 </v>
      </c>
      <c r="F192" s="8" t="str">
        <f>IFERROR(VLOOKUP(E192,'(新)ﾍﾞﾝﾀﾞｰ小型'!$A$3:$K$300,8,0), "")</f>
        <v>0D9621 </v>
      </c>
      <c r="G192" s="7" t="str">
        <f>IFERROR(VLOOKUP(E192,'(旧)ﾍﾞﾝﾀﾞｰ小型'!$A$3:$K$310,10,0),"")</f>
        <v>2026/12/08 </v>
      </c>
      <c r="H192" s="12" t="s">
        <v>60</v>
      </c>
      <c r="I192" s="7" t="str">
        <f>IFERROR(VLOOKUP(E192,'(新)ﾍﾞﾝﾀﾞｰ小型'!$A$3:$K$300,10,0),"")</f>
        <v>2027/01/08 </v>
      </c>
    </row>
    <row r="193" spans="1:9" s="19" customFormat="1" ht="13.8" thickBot="1" x14ac:dyDescent="0.2">
      <c r="A193" s="11">
        <v>192</v>
      </c>
      <c r="B193" s="7" t="str">
        <f>IFERROR(VLOOKUP(E193,'(新)ﾍﾞﾝﾀﾞｰ小型'!$A$3:$K$300,2,0), "")</f>
        <v>01月 </v>
      </c>
      <c r="C193" s="7" t="str">
        <f>IFERROR(VLOOKUP(E193,'(新)ﾍﾞﾝﾀﾞｰ小型'!$A$3:$K$300,4,0), "")</f>
        <v>EGB8025E </v>
      </c>
      <c r="D193" s="7" t="str">
        <f>IFERROR(VLOOKUP(E193,'(新)ﾍﾞﾝﾀﾞｰ小型'!$A$3:$K$300,5,0), "")</f>
        <v>  </v>
      </c>
      <c r="E193" s="23" t="str">
        <f>'(新)ﾍﾞﾝﾀﾞｰ小型'!A194</f>
        <v> TS82577319 </v>
      </c>
      <c r="F193" s="8" t="str">
        <f>IFERROR(VLOOKUP(E193,'(新)ﾍﾞﾝﾀﾞｰ小型'!$A$3:$K$300,8,0), "")</f>
        <v>0E1240 </v>
      </c>
      <c r="G193" s="7" t="str">
        <f>IFERROR(VLOOKUP(E193,'(旧)ﾍﾞﾝﾀﾞｰ小型'!$A$3:$K$310,10,0),"")</f>
        <v>2027/01/09 </v>
      </c>
      <c r="H193" s="12" t="s">
        <v>60</v>
      </c>
      <c r="I193" s="7" t="str">
        <f>IFERROR(VLOOKUP(E193,'(新)ﾍﾞﾝﾀﾞｰ小型'!$A$3:$K$300,10,0),"")</f>
        <v>2027/01/08 </v>
      </c>
    </row>
    <row r="194" spans="1:9" s="19" customFormat="1" ht="13.8" thickBot="1" x14ac:dyDescent="0.2">
      <c r="A194" s="11">
        <v>193</v>
      </c>
      <c r="B194" s="7" t="str">
        <f>IFERROR(VLOOKUP(E194,'(新)ﾍﾞﾝﾀﾞｰ小型'!$A$3:$K$300,2,0), "")</f>
        <v>01月 </v>
      </c>
      <c r="C194" s="7" t="str">
        <f>IFERROR(VLOOKUP(E194,'(新)ﾍﾞﾝﾀﾞｰ小型'!$A$3:$K$300,4,0), "")</f>
        <v>EGB1303AE </v>
      </c>
      <c r="D194" s="7" t="str">
        <f>IFERROR(VLOOKUP(E194,'(新)ﾍﾞﾝﾀﾞｰ小型'!$A$3:$K$300,5,0), "")</f>
        <v>  </v>
      </c>
      <c r="E194" s="23" t="str">
        <f>'(新)ﾍﾞﾝﾀﾞｰ小型'!A195</f>
        <v> TS13399302 </v>
      </c>
      <c r="F194" s="8" t="str">
        <f>IFERROR(VLOOKUP(E194,'(新)ﾍﾞﾝﾀﾞｰ小型'!$A$3:$K$300,8,0), "")</f>
        <v>0D9621 </v>
      </c>
      <c r="G194" s="7" t="str">
        <f>IFERROR(VLOOKUP(E194,'(旧)ﾍﾞﾝﾀﾞｰ小型'!$A$3:$K$310,10,0),"")</f>
        <v>2026/12/15 </v>
      </c>
      <c r="H194" s="12" t="s">
        <v>60</v>
      </c>
      <c r="I194" s="7" t="str">
        <f>IFERROR(VLOOKUP(E194,'(新)ﾍﾞﾝﾀﾞｰ小型'!$A$3:$K$300,10,0),"")</f>
        <v>2027/01/08 </v>
      </c>
    </row>
    <row r="195" spans="1:9" s="19" customFormat="1" ht="13.8" thickBot="1" x14ac:dyDescent="0.2">
      <c r="A195" s="11">
        <v>194</v>
      </c>
      <c r="B195" s="7" t="str">
        <f>IFERROR(VLOOKUP(E195,'(新)ﾍﾞﾝﾀﾞｰ小型'!$A$3:$K$300,2,0), "")</f>
        <v>01月 </v>
      </c>
      <c r="C195" s="7" t="str">
        <f>IFERROR(VLOOKUP(E195,'(新)ﾍﾞﾝﾀﾞｰ小型'!$A$3:$K$300,4,0), "")</f>
        <v>EGB1303E </v>
      </c>
      <c r="D195" s="7" t="str">
        <f>IFERROR(VLOOKUP(E195,'(新)ﾍﾞﾝﾀﾞｰ小型'!$A$3:$K$300,5,0), "")</f>
        <v> （株）ツガワ </v>
      </c>
      <c r="E195" s="23" t="str">
        <f>'(新)ﾍﾞﾝﾀﾞｰ小型'!A196</f>
        <v> TS13377361 </v>
      </c>
      <c r="F195" s="8" t="str">
        <f>IFERROR(VLOOKUP(E195,'(新)ﾍﾞﾝﾀﾞｰ小型'!$A$3:$K$300,8,0), "")</f>
        <v>0D9824 </v>
      </c>
      <c r="G195" s="7" t="str">
        <f>IFERROR(VLOOKUP(E195,'(旧)ﾍﾞﾝﾀﾞｰ小型'!$A$3:$K$310,10,0),"")</f>
        <v>2027/01/14 </v>
      </c>
      <c r="H195" s="12" t="s">
        <v>60</v>
      </c>
      <c r="I195" s="7" t="str">
        <f>IFERROR(VLOOKUP(E195,'(新)ﾍﾞﾝﾀﾞｰ小型'!$A$3:$K$300,10,0),"")</f>
        <v>2027/01/09 </v>
      </c>
    </row>
    <row r="196" spans="1:9" s="19" customFormat="1" ht="13.8" thickBot="1" x14ac:dyDescent="0.2">
      <c r="A196" s="11">
        <v>195</v>
      </c>
      <c r="B196" s="7" t="str">
        <f>IFERROR(VLOOKUP(E196,'(新)ﾍﾞﾝﾀﾞｰ小型'!$A$3:$K$300,2,0), "")</f>
        <v>01月 </v>
      </c>
      <c r="C196" s="7" t="str">
        <f>IFERROR(VLOOKUP(E196,'(新)ﾍﾞﾝﾀﾞｰ小型'!$A$3:$K$300,4,0), "")</f>
        <v>EGB6020E </v>
      </c>
      <c r="D196" s="7" t="str">
        <f>IFERROR(VLOOKUP(E196,'(新)ﾍﾞﾝﾀﾞｰ小型'!$A$3:$K$300,5,0), "")</f>
        <v>  </v>
      </c>
      <c r="E196" s="23" t="str">
        <f>'(新)ﾍﾞﾝﾀﾞｰ小型'!A197</f>
        <v> TS62077187 </v>
      </c>
      <c r="F196" s="8" t="str">
        <f>IFERROR(VLOOKUP(E196,'(新)ﾍﾞﾝﾀﾞｰ小型'!$A$3:$K$300,8,0), "")</f>
        <v>0D7255 </v>
      </c>
      <c r="G196" s="7" t="str">
        <f>IFERROR(VLOOKUP(E196,'(旧)ﾍﾞﾝﾀﾞｰ小型'!$A$3:$K$310,10,0),"")</f>
        <v>2027/01/12 </v>
      </c>
      <c r="H196" s="12" t="s">
        <v>60</v>
      </c>
      <c r="I196" s="7" t="str">
        <f>IFERROR(VLOOKUP(E196,'(新)ﾍﾞﾝﾀﾞｰ小型'!$A$3:$K$300,10,0),"")</f>
        <v>2027/01/12 </v>
      </c>
    </row>
    <row r="197" spans="1:9" s="19" customFormat="1" ht="13.8" thickBot="1" x14ac:dyDescent="0.2">
      <c r="A197" s="11">
        <v>196</v>
      </c>
      <c r="B197" s="7" t="str">
        <f>IFERROR(VLOOKUP(E197,'(新)ﾍﾞﾝﾀﾞｰ小型'!$A$3:$K$300,2,0), "")</f>
        <v>01月 </v>
      </c>
      <c r="C197" s="7" t="str">
        <f>IFERROR(VLOOKUP(E197,'(新)ﾍﾞﾝﾀﾞｰ小型'!$A$3:$K$300,4,0), "")</f>
        <v>EGB6020E </v>
      </c>
      <c r="D197" s="7" t="str">
        <f>IFERROR(VLOOKUP(E197,'(新)ﾍﾞﾝﾀﾞｰ小型'!$A$3:$K$300,5,0), "")</f>
        <v>  </v>
      </c>
      <c r="E197" s="23" t="str">
        <f>'(新)ﾍﾞﾝﾀﾞｰ小型'!A198</f>
        <v> TS62077201 </v>
      </c>
      <c r="F197" s="8" t="str">
        <f>IFERROR(VLOOKUP(E197,'(新)ﾍﾞﾝﾀﾞｰ小型'!$A$3:$K$300,8,0), "")</f>
        <v>0D7255 </v>
      </c>
      <c r="G197" s="7" t="str">
        <f>IFERROR(VLOOKUP(E197,'(旧)ﾍﾞﾝﾀﾞｰ小型'!$A$3:$K$310,10,0),"")</f>
        <v>2027/01/12 </v>
      </c>
      <c r="H197" s="12" t="s">
        <v>60</v>
      </c>
      <c r="I197" s="7" t="str">
        <f>IFERROR(VLOOKUP(E197,'(新)ﾍﾞﾝﾀﾞｰ小型'!$A$3:$K$300,10,0),"")</f>
        <v>2027/01/12 </v>
      </c>
    </row>
    <row r="198" spans="1:9" s="19" customFormat="1" ht="13.8" thickBot="1" x14ac:dyDescent="0.2">
      <c r="A198" s="11">
        <v>197</v>
      </c>
      <c r="B198" s="7" t="str">
        <f>IFERROR(VLOOKUP(E198,'(新)ﾍﾞﾝﾀﾞｰ小型'!$A$3:$K$300,2,0), "")</f>
        <v>01月 </v>
      </c>
      <c r="C198" s="7" t="str">
        <f>IFERROR(VLOOKUP(E198,'(新)ﾍﾞﾝﾀﾞｰ小型'!$A$3:$K$300,4,0), "")</f>
        <v>EGB6020AE </v>
      </c>
      <c r="D198" s="7" t="str">
        <f>IFERROR(VLOOKUP(E198,'(新)ﾍﾞﾝﾀﾞｰ小型'!$A$3:$K$300,5,0), "")</f>
        <v>  </v>
      </c>
      <c r="E198" s="23" t="str">
        <f>'(新)ﾍﾞﾝﾀﾞｰ小型'!A199</f>
        <v> TS60299236 </v>
      </c>
      <c r="F198" s="8" t="str">
        <f>IFERROR(VLOOKUP(E198,'(新)ﾍﾞﾝﾀﾞｰ小型'!$A$3:$K$300,8,0), "")</f>
        <v>0D7904 </v>
      </c>
      <c r="G198" s="7" t="str">
        <f>IFERROR(VLOOKUP(E198,'(旧)ﾍﾞﾝﾀﾞｰ小型'!$A$3:$K$310,10,0),"")</f>
        <v>2026/12/19 </v>
      </c>
      <c r="H198" s="12" t="s">
        <v>60</v>
      </c>
      <c r="I198" s="7" t="str">
        <f>IFERROR(VLOOKUP(E198,'(新)ﾍﾞﾝﾀﾞｰ小型'!$A$3:$K$300,10,0),"")</f>
        <v>2027/01/12 </v>
      </c>
    </row>
    <row r="199" spans="1:9" s="19" customFormat="1" ht="13.8" thickBot="1" x14ac:dyDescent="0.2">
      <c r="A199" s="11">
        <v>198</v>
      </c>
      <c r="B199" s="7" t="str">
        <f>IFERROR(VLOOKUP(E199,'(新)ﾍﾞﾝﾀﾞｰ小型'!$A$3:$K$300,2,0), "")</f>
        <v>01月 </v>
      </c>
      <c r="C199" s="7" t="str">
        <f>IFERROR(VLOOKUP(E199,'(新)ﾍﾞﾝﾀﾞｰ小型'!$A$3:$K$300,4,0), "")</f>
        <v>EGB1303E_EXP </v>
      </c>
      <c r="D199" s="7" t="str">
        <f>IFERROR(VLOOKUP(E199,'(新)ﾍﾞﾝﾀﾞｰ小型'!$A$3:$K$300,5,0), "")</f>
        <v> アマダアメリカ </v>
      </c>
      <c r="E199" s="23" t="str">
        <f>'(新)ﾍﾞﾝﾀﾞｰ小型'!A200</f>
        <v> TS13377364 </v>
      </c>
      <c r="F199" s="8" t="str">
        <f>IFERROR(VLOOKUP(E199,'(新)ﾍﾞﾝﾀﾞｰ小型'!$A$3:$K$300,8,0), "")</f>
        <v>0D9825 </v>
      </c>
      <c r="G199" s="7" t="str">
        <f>IFERROR(VLOOKUP(E199,'(旧)ﾍﾞﾝﾀﾞｰ小型'!$A$3:$K$310,10,0),"")</f>
        <v>2026/12/25 </v>
      </c>
      <c r="H199" s="12" t="s">
        <v>60</v>
      </c>
      <c r="I199" s="7" t="str">
        <f>IFERROR(VLOOKUP(E199,'(新)ﾍﾞﾝﾀﾞｰ小型'!$A$3:$K$300,10,0),"")</f>
        <v>2027/01/13 </v>
      </c>
    </row>
    <row r="200" spans="1:9" s="19" customFormat="1" ht="13.8" thickBot="1" x14ac:dyDescent="0.2">
      <c r="A200" s="11">
        <v>199</v>
      </c>
      <c r="B200" s="7" t="str">
        <f>IFERROR(VLOOKUP(E200,'(新)ﾍﾞﾝﾀﾞｰ小型'!$A$3:$K$300,2,0), "")</f>
        <v>01月 </v>
      </c>
      <c r="C200" s="7" t="str">
        <f>IFERROR(VLOOKUP(E200,'(新)ﾍﾞﾝﾀﾞｰ小型'!$A$3:$K$300,4,0), "")</f>
        <v>EGB1303E_EXP </v>
      </c>
      <c r="D200" s="7" t="str">
        <f>IFERROR(VLOOKUP(E200,'(新)ﾍﾞﾝﾀﾞｰ小型'!$A$3:$K$300,5,0), "")</f>
        <v> 【オセアニア】Computer Room Solutions </v>
      </c>
      <c r="E200" s="23" t="str">
        <f>'(新)ﾍﾞﾝﾀﾞｰ小型'!A201</f>
        <v> TS13377365 </v>
      </c>
      <c r="F200" s="8" t="str">
        <f>IFERROR(VLOOKUP(E200,'(新)ﾍﾞﾝﾀﾞｰ小型'!$A$3:$K$300,8,0), "")</f>
        <v>0D9825 </v>
      </c>
      <c r="G200" s="7" t="str">
        <f>IFERROR(VLOOKUP(E200,'(旧)ﾍﾞﾝﾀﾞｰ小型'!$A$3:$K$310,10,0),"")</f>
        <v>2026/12/25 </v>
      </c>
      <c r="H200" s="12" t="s">
        <v>60</v>
      </c>
      <c r="I200" s="7" t="str">
        <f>IFERROR(VLOOKUP(E200,'(新)ﾍﾞﾝﾀﾞｰ小型'!$A$3:$K$300,10,0),"")</f>
        <v>2027/01/13 </v>
      </c>
    </row>
    <row r="201" spans="1:9" s="19" customFormat="1" ht="13.8" thickBot="1" x14ac:dyDescent="0.2">
      <c r="A201" s="11">
        <v>200</v>
      </c>
      <c r="B201" s="7" t="str">
        <f>IFERROR(VLOOKUP(E201,'(新)ﾍﾞﾝﾀﾞｰ小型'!$A$3:$K$300,2,0), "")</f>
        <v>01月 </v>
      </c>
      <c r="C201" s="7" t="str">
        <f>IFERROR(VLOOKUP(E201,'(新)ﾍﾞﾝﾀﾞｰ小型'!$A$3:$K$300,4,0), "")</f>
        <v>EGB6020E_EXP </v>
      </c>
      <c r="D201" s="7" t="str">
        <f>IFERROR(VLOOKUP(E201,'(新)ﾍﾞﾝﾀﾞｰ小型'!$A$3:$K$300,5,0), "")</f>
        <v> アマダアメリカ </v>
      </c>
      <c r="E201" s="23" t="str">
        <f>'(新)ﾍﾞﾝﾀﾞｰ小型'!A202</f>
        <v> TS62077188 </v>
      </c>
      <c r="F201" s="8" t="str">
        <f>IFERROR(VLOOKUP(E201,'(新)ﾍﾞﾝﾀﾞｰ小型'!$A$3:$K$300,8,0), "")</f>
        <v>0D7905 </v>
      </c>
      <c r="G201" s="7" t="str">
        <f>IFERROR(VLOOKUP(E201,'(旧)ﾍﾞﾝﾀﾞｰ小型'!$A$3:$K$310,10,0),"")</f>
        <v>2026/12/23 </v>
      </c>
      <c r="H201" s="12" t="s">
        <v>60</v>
      </c>
      <c r="I201" s="7" t="str">
        <f>IFERROR(VLOOKUP(E201,'(新)ﾍﾞﾝﾀﾞｰ小型'!$A$3:$K$300,10,0),"")</f>
        <v>2027/01/13 </v>
      </c>
    </row>
    <row r="202" spans="1:9" s="19" customFormat="1" ht="13.8" thickBot="1" x14ac:dyDescent="0.2">
      <c r="A202" s="11">
        <v>201</v>
      </c>
      <c r="B202" s="7" t="str">
        <f>IFERROR(VLOOKUP(E202,'(新)ﾍﾞﾝﾀﾞｰ小型'!$A$3:$K$300,2,0), "")</f>
        <v>01月 </v>
      </c>
      <c r="C202" s="7" t="str">
        <f>IFERROR(VLOOKUP(E202,'(新)ﾍﾞﾝﾀﾞｰ小型'!$A$3:$K$300,4,0), "")</f>
        <v>EGB1303E_EXP </v>
      </c>
      <c r="D202" s="7" t="str">
        <f>IFERROR(VLOOKUP(E202,'(新)ﾍﾞﾝﾀﾞｰ小型'!$A$3:$K$300,5,0), "")</f>
        <v> 【オセアニア】Computer Room Solutions </v>
      </c>
      <c r="E202" s="23" t="str">
        <f>'(新)ﾍﾞﾝﾀﾞｰ小型'!A203</f>
        <v> TS13377366 </v>
      </c>
      <c r="F202" s="8" t="str">
        <f>IFERROR(VLOOKUP(E202,'(新)ﾍﾞﾝﾀﾞｰ小型'!$A$3:$K$300,8,0), "")</f>
        <v>0D9825 </v>
      </c>
      <c r="G202" s="7" t="str">
        <f>IFERROR(VLOOKUP(E202,'(旧)ﾍﾞﾝﾀﾞｰ小型'!$A$3:$K$310,10,0),"")</f>
        <v>2027/01/06 </v>
      </c>
      <c r="H202" s="12" t="s">
        <v>60</v>
      </c>
      <c r="I202" s="7" t="str">
        <f>IFERROR(VLOOKUP(E202,'(新)ﾍﾞﾝﾀﾞｰ小型'!$A$3:$K$300,10,0),"")</f>
        <v>2027/01/14 </v>
      </c>
    </row>
    <row r="203" spans="1:9" s="19" customFormat="1" ht="13.8" thickBot="1" x14ac:dyDescent="0.2">
      <c r="A203" s="11">
        <v>202</v>
      </c>
      <c r="B203" s="7" t="str">
        <f>IFERROR(VLOOKUP(E203,'(新)ﾍﾞﾝﾀﾞｰ小型'!$A$3:$K$300,2,0), "")</f>
        <v>01月 </v>
      </c>
      <c r="C203" s="7" t="str">
        <f>IFERROR(VLOOKUP(E203,'(新)ﾍﾞﾝﾀﾞｰ小型'!$A$3:$K$300,4,0), "")</f>
        <v>EGB1303E_EXP </v>
      </c>
      <c r="D203" s="7" t="str">
        <f>IFERROR(VLOOKUP(E203,'(新)ﾍﾞﾝﾀﾞｰ小型'!$A$3:$K$300,5,0), "")</f>
        <v> 【タイ】Karwin </v>
      </c>
      <c r="E203" s="23" t="str">
        <f>'(新)ﾍﾞﾝﾀﾞｰ小型'!A204</f>
        <v> TS13377369 </v>
      </c>
      <c r="F203" s="8" t="str">
        <f>IFERROR(VLOOKUP(E203,'(新)ﾍﾞﾝﾀﾞｰ小型'!$A$3:$K$300,8,0), "")</f>
        <v>0D9825 </v>
      </c>
      <c r="G203" s="7" t="str">
        <f>IFERROR(VLOOKUP(E203,'(旧)ﾍﾞﾝﾀﾞｰ小型'!$A$3:$K$310,10,0),"")</f>
        <v>2027/01/08 </v>
      </c>
      <c r="H203" s="12" t="s">
        <v>60</v>
      </c>
      <c r="I203" s="7" t="str">
        <f>IFERROR(VLOOKUP(E203,'(新)ﾍﾞﾝﾀﾞｰ小型'!$A$3:$K$300,10,0),"")</f>
        <v>2027/01/14 </v>
      </c>
    </row>
    <row r="204" spans="1:9" s="19" customFormat="1" ht="13.8" thickBot="1" x14ac:dyDescent="0.2">
      <c r="A204" s="11">
        <v>203</v>
      </c>
      <c r="B204" s="7" t="str">
        <f>IFERROR(VLOOKUP(E204,'(新)ﾍﾞﾝﾀﾞｰ小型'!$A$3:$K$300,2,0), "")</f>
        <v>01月 </v>
      </c>
      <c r="C204" s="7" t="str">
        <f>IFERROR(VLOOKUP(E204,'(新)ﾍﾞﾝﾀﾞｰ小型'!$A$3:$K$300,4,0), "")</f>
        <v>EGB8025E </v>
      </c>
      <c r="D204" s="7" t="str">
        <f>IFERROR(VLOOKUP(E204,'(新)ﾍﾞﾝﾀﾞｰ小型'!$A$3:$K$300,5,0), "")</f>
        <v>  </v>
      </c>
      <c r="E204" s="23" t="str">
        <f>'(新)ﾍﾞﾝﾀﾞｰ小型'!A205</f>
        <v> TS82577314 </v>
      </c>
      <c r="F204" s="8" t="str">
        <f>IFERROR(VLOOKUP(E204,'(新)ﾍﾞﾝﾀﾞｰ小型'!$A$3:$K$300,8,0), "")</f>
        <v>0E1240 </v>
      </c>
      <c r="G204" s="7" t="str">
        <f>IFERROR(VLOOKUP(E204,'(旧)ﾍﾞﾝﾀﾞｰ小型'!$A$3:$K$310,10,0),"")</f>
        <v>2027/01/16 </v>
      </c>
      <c r="H204" s="12" t="s">
        <v>60</v>
      </c>
      <c r="I204" s="7" t="str">
        <f>IFERROR(VLOOKUP(E204,'(新)ﾍﾞﾝﾀﾞｰ小型'!$A$3:$K$300,10,0),"")</f>
        <v>2027/01/15 </v>
      </c>
    </row>
    <row r="205" spans="1:9" s="19" customFormat="1" ht="13.8" thickBot="1" x14ac:dyDescent="0.2">
      <c r="A205" s="11">
        <v>204</v>
      </c>
      <c r="B205" s="7" t="str">
        <f>IFERROR(VLOOKUP(E205,'(新)ﾍﾞﾝﾀﾞｰ小型'!$A$3:$K$300,2,0), "")</f>
        <v>01月 </v>
      </c>
      <c r="C205" s="7" t="str">
        <f>IFERROR(VLOOKUP(E205,'(新)ﾍﾞﾝﾀﾞｰ小型'!$A$3:$K$300,4,0), "")</f>
        <v>EGB6020E_EXP </v>
      </c>
      <c r="D205" s="7" t="str">
        <f>IFERROR(VLOOKUP(E205,'(新)ﾍﾞﾝﾀﾞｰ小型'!$A$3:$K$300,5,0), "")</f>
        <v> 【タイ】Karwin </v>
      </c>
      <c r="E205" s="23" t="str">
        <f>'(新)ﾍﾞﾝﾀﾞｰ小型'!A206</f>
        <v> TS62077189 </v>
      </c>
      <c r="F205" s="8" t="str">
        <f>IFERROR(VLOOKUP(E205,'(新)ﾍﾞﾝﾀﾞｰ小型'!$A$3:$K$300,8,0), "")</f>
        <v>0D7905 </v>
      </c>
      <c r="G205" s="7" t="str">
        <f>IFERROR(VLOOKUP(E205,'(旧)ﾍﾞﾝﾀﾞｰ小型'!$A$3:$K$310,10,0),"")</f>
        <v>2026/12/23 </v>
      </c>
      <c r="H205" s="12" t="s">
        <v>60</v>
      </c>
      <c r="I205" s="7" t="str">
        <f>IFERROR(VLOOKUP(E205,'(新)ﾍﾞﾝﾀﾞｰ小型'!$A$3:$K$300,10,0),"")</f>
        <v>2027/01/15 </v>
      </c>
    </row>
    <row r="206" spans="1:9" s="19" customFormat="1" ht="13.8" thickBot="1" x14ac:dyDescent="0.2">
      <c r="A206" s="11">
        <v>205</v>
      </c>
      <c r="B206" s="7" t="str">
        <f>IFERROR(VLOOKUP(E206,'(新)ﾍﾞﾝﾀﾞｰ小型'!$A$3:$K$300,2,0), "")</f>
        <v>01月 </v>
      </c>
      <c r="C206" s="7" t="str">
        <f>IFERROR(VLOOKUP(E206,'(新)ﾍﾞﾝﾀﾞｰ小型'!$A$3:$K$300,4,0), "")</f>
        <v>EGB6020E </v>
      </c>
      <c r="D206" s="7" t="str">
        <f>IFERROR(VLOOKUP(E206,'(新)ﾍﾞﾝﾀﾞｰ小型'!$A$3:$K$300,5,0), "")</f>
        <v> 米海軍横須賀艦船修理廠 </v>
      </c>
      <c r="E206" s="23" t="str">
        <f>'(新)ﾍﾞﾝﾀﾞｰ小型'!A207</f>
        <v> TS62077185 </v>
      </c>
      <c r="F206" s="8" t="str">
        <f>IFERROR(VLOOKUP(E206,'(新)ﾍﾞﾝﾀﾞｰ小型'!$A$3:$K$300,8,0), "")</f>
        <v>0D7255 </v>
      </c>
      <c r="G206" s="7" t="str">
        <f>IFERROR(VLOOKUP(E206,'(旧)ﾍﾞﾝﾀﾞｰ小型'!$A$3:$K$310,10,0),"")</f>
        <v>2026/12/24 </v>
      </c>
      <c r="H206" s="12" t="s">
        <v>60</v>
      </c>
      <c r="I206" s="7" t="str">
        <f>IFERROR(VLOOKUP(E206,'(新)ﾍﾞﾝﾀﾞｰ小型'!$A$3:$K$300,10,0),"")</f>
        <v>2027/01/15 </v>
      </c>
    </row>
    <row r="207" spans="1:9" s="19" customFormat="1" ht="13.8" thickBot="1" x14ac:dyDescent="0.2">
      <c r="A207" s="11">
        <v>206</v>
      </c>
      <c r="B207" s="7" t="str">
        <f>IFERROR(VLOOKUP(E207,'(新)ﾍﾞﾝﾀﾞｰ小型'!$A$3:$K$300,2,0), "")</f>
        <v>01月 </v>
      </c>
      <c r="C207" s="7" t="str">
        <f>IFERROR(VLOOKUP(E207,'(新)ﾍﾞﾝﾀﾞｰ小型'!$A$3:$K$300,4,0), "")</f>
        <v>EGB8025E </v>
      </c>
      <c r="D207" s="7" t="str">
        <f>IFERROR(VLOOKUP(E207,'(新)ﾍﾞﾝﾀﾞｰ小型'!$A$3:$K$300,5,0), "")</f>
        <v>  </v>
      </c>
      <c r="E207" s="23" t="str">
        <f>'(新)ﾍﾞﾝﾀﾞｰ小型'!A208</f>
        <v> TS82577321 </v>
      </c>
      <c r="F207" s="8" t="str">
        <f>IFERROR(VLOOKUP(E207,'(新)ﾍﾞﾝﾀﾞｰ小型'!$A$3:$K$300,8,0), "")</f>
        <v>0E1240 </v>
      </c>
      <c r="G207" s="7" t="str">
        <f>IFERROR(VLOOKUP(E207,'(旧)ﾍﾞﾝﾀﾞｰ小型'!$A$3:$K$310,10,0),"")</f>
        <v>2027/01/16 </v>
      </c>
      <c r="H207" s="12" t="s">
        <v>60</v>
      </c>
      <c r="I207" s="7" t="str">
        <f>IFERROR(VLOOKUP(E207,'(新)ﾍﾞﾝﾀﾞｰ小型'!$A$3:$K$300,10,0),"")</f>
        <v>2027/01/16 </v>
      </c>
    </row>
    <row r="208" spans="1:9" s="19" customFormat="1" ht="13.8" thickBot="1" x14ac:dyDescent="0.2">
      <c r="A208" s="11">
        <v>207</v>
      </c>
      <c r="B208" s="7" t="str">
        <f>IFERROR(VLOOKUP(E208,'(新)ﾍﾞﾝﾀﾞｰ小型'!$A$3:$K$300,2,0), "")</f>
        <v>01月 </v>
      </c>
      <c r="C208" s="7" t="str">
        <f>IFERROR(VLOOKUP(E208,'(新)ﾍﾞﾝﾀﾞｰ小型'!$A$3:$K$300,4,0), "")</f>
        <v>EGB6020E </v>
      </c>
      <c r="D208" s="7" t="str">
        <f>IFERROR(VLOOKUP(E208,'(新)ﾍﾞﾝﾀﾞｰ小型'!$A$3:$K$300,5,0), "")</f>
        <v>  </v>
      </c>
      <c r="E208" s="23" t="str">
        <f>'(新)ﾍﾞﾝﾀﾞｰ小型'!A209</f>
        <v> TS62077202 </v>
      </c>
      <c r="F208" s="8" t="str">
        <f>IFERROR(VLOOKUP(E208,'(新)ﾍﾞﾝﾀﾞｰ小型'!$A$3:$K$300,8,0), "")</f>
        <v>0D7255 </v>
      </c>
      <c r="G208" s="7" t="str">
        <f>IFERROR(VLOOKUP(E208,'(旧)ﾍﾞﾝﾀﾞｰ小型'!$A$3:$K$310,10,0),"")</f>
        <v>2027/01/13 </v>
      </c>
      <c r="H208" s="12" t="s">
        <v>60</v>
      </c>
      <c r="I208" s="7" t="str">
        <f>IFERROR(VLOOKUP(E208,'(新)ﾍﾞﾝﾀﾞｰ小型'!$A$3:$K$300,10,0),"")</f>
        <v>2027/01/16 </v>
      </c>
    </row>
    <row r="209" spans="1:9" s="19" customFormat="1" ht="13.8" thickBot="1" x14ac:dyDescent="0.2">
      <c r="A209" s="11">
        <v>208</v>
      </c>
      <c r="B209" s="7" t="str">
        <f>IFERROR(VLOOKUP(E209,'(新)ﾍﾞﾝﾀﾞｰ小型'!$A$3:$K$300,2,0), "")</f>
        <v>01月 </v>
      </c>
      <c r="C209" s="7" t="str">
        <f>IFERROR(VLOOKUP(E209,'(新)ﾍﾞﾝﾀﾞｰ小型'!$A$3:$K$300,4,0), "")</f>
        <v>EGB1303E </v>
      </c>
      <c r="D209" s="7" t="str">
        <f>IFERROR(VLOOKUP(E209,'(新)ﾍﾞﾝﾀﾞｰ小型'!$A$3:$K$300,5,0), "")</f>
        <v>  </v>
      </c>
      <c r="E209" s="23" t="str">
        <f>'(新)ﾍﾞﾝﾀﾞｰ小型'!A210</f>
        <v> TS13377386 </v>
      </c>
      <c r="F209" s="8" t="str">
        <f>IFERROR(VLOOKUP(E209,'(新)ﾍﾞﾝﾀﾞｰ小型'!$A$3:$K$300,8,0), "")</f>
        <v>0D9824 </v>
      </c>
      <c r="G209" s="7" t="str">
        <f>IFERROR(VLOOKUP(E209,'(旧)ﾍﾞﾝﾀﾞｰ小型'!$A$3:$K$310,10,0),"")</f>
        <v>2027/01/19 </v>
      </c>
      <c r="H209" s="12" t="s">
        <v>60</v>
      </c>
      <c r="I209" s="7" t="str">
        <f>IFERROR(VLOOKUP(E209,'(新)ﾍﾞﾝﾀﾞｰ小型'!$A$3:$K$300,10,0),"")</f>
        <v>2027/01/16 </v>
      </c>
    </row>
    <row r="210" spans="1:9" s="19" customFormat="1" ht="13.8" thickBot="1" x14ac:dyDescent="0.2">
      <c r="A210" s="11">
        <v>209</v>
      </c>
      <c r="B210" s="7" t="str">
        <f>IFERROR(VLOOKUP(E210,'(新)ﾍﾞﾝﾀﾞｰ小型'!$A$3:$K$300,2,0), "")</f>
        <v>02月 </v>
      </c>
      <c r="C210" s="7" t="str">
        <f>IFERROR(VLOOKUP(E210,'(新)ﾍﾞﾝﾀﾞｰ小型'!$A$3:$K$300,4,0), "")</f>
        <v>EGB1303ARE </v>
      </c>
      <c r="D210" s="7" t="str">
        <f>IFERROR(VLOOKUP(E210,'(新)ﾍﾞﾝﾀﾞｰ小型'!$A$3:$K$300,5,0), "")</f>
        <v>  </v>
      </c>
      <c r="E210" s="23" t="str">
        <f>'(新)ﾍﾞﾝﾀﾞｰ小型'!A211</f>
        <v> TS13329064 </v>
      </c>
      <c r="F210" s="8" t="str">
        <f>IFERROR(VLOOKUP(E210,'(新)ﾍﾞﾝﾀﾞｰ小型'!$A$3:$K$300,8,0), "")</f>
        <v>0E1242 </v>
      </c>
      <c r="G210" s="7" t="str">
        <f>IFERROR(VLOOKUP(E210,'(旧)ﾍﾞﾝﾀﾞｰ小型'!$A$3:$K$310,10,0),"")</f>
        <v>2027/01/06 </v>
      </c>
      <c r="H210" s="12" t="s">
        <v>60</v>
      </c>
      <c r="I210" s="7" t="str">
        <f>IFERROR(VLOOKUP(E210,'(新)ﾍﾞﾝﾀﾞｰ小型'!$A$3:$K$300,10,0),"")</f>
        <v>2027/01/06 </v>
      </c>
    </row>
    <row r="211" spans="1:9" s="19" customFormat="1" ht="13.8" thickBot="1" x14ac:dyDescent="0.2">
      <c r="A211" s="11">
        <v>210</v>
      </c>
      <c r="B211" s="7" t="str">
        <f>IFERROR(VLOOKUP(E211,'(新)ﾍﾞﾝﾀﾞｰ小型'!$A$3:$K$300,2,0), "")</f>
        <v>02月 </v>
      </c>
      <c r="C211" s="7" t="str">
        <f>IFERROR(VLOOKUP(E211,'(新)ﾍﾞﾝﾀﾞｰ小型'!$A$3:$K$300,4,0), "")</f>
        <v>EGB1303ARE </v>
      </c>
      <c r="D211" s="7" t="str">
        <f>IFERROR(VLOOKUP(E211,'(新)ﾍﾞﾝﾀﾞｰ小型'!$A$3:$K$300,5,0), "")</f>
        <v> （株）アスカ </v>
      </c>
      <c r="E211" s="23" t="str">
        <f>'(新)ﾍﾞﾝﾀﾞｰ小型'!A212</f>
        <v> TS13329065 </v>
      </c>
      <c r="F211" s="8" t="str">
        <f>IFERROR(VLOOKUP(E211,'(新)ﾍﾞﾝﾀﾞｰ小型'!$A$3:$K$300,8,0), "")</f>
        <v>0E1242 </v>
      </c>
      <c r="G211" s="7" t="str">
        <f>IFERROR(VLOOKUP(E211,'(旧)ﾍﾞﾝﾀﾞｰ小型'!$A$3:$K$310,10,0),"")</f>
        <v>2027/01/06 </v>
      </c>
      <c r="H211" s="12" t="s">
        <v>60</v>
      </c>
      <c r="I211" s="7" t="str">
        <f>IFERROR(VLOOKUP(E211,'(新)ﾍﾞﾝﾀﾞｰ小型'!$A$3:$K$300,10,0),"")</f>
        <v>2027/01/06 </v>
      </c>
    </row>
    <row r="212" spans="1:9" s="19" customFormat="1" ht="13.8" thickBot="1" x14ac:dyDescent="0.2">
      <c r="A212" s="11">
        <v>211</v>
      </c>
      <c r="B212" s="7" t="str">
        <f>IFERROR(VLOOKUP(E212,'(新)ﾍﾞﾝﾀﾞｰ小型'!$A$3:$K$300,2,0), "")</f>
        <v>02月 </v>
      </c>
      <c r="C212" s="7" t="str">
        <f>IFERROR(VLOOKUP(E212,'(新)ﾍﾞﾝﾀﾞｰ小型'!$A$3:$K$300,4,0), "")</f>
        <v>EGB1303ARE_EXP </v>
      </c>
      <c r="D212" s="7" t="str">
        <f>IFERROR(VLOOKUP(E212,'(新)ﾍﾞﾝﾀﾞｰ小型'!$A$3:$K$300,5,0), "")</f>
        <v> アマダアメリカ </v>
      </c>
      <c r="E212" s="23" t="str">
        <f>'(新)ﾍﾞﾝﾀﾞｰ小型'!A213</f>
        <v> TS13329066 </v>
      </c>
      <c r="F212" s="8" t="str">
        <f>IFERROR(VLOOKUP(E212,'(新)ﾍﾞﾝﾀﾞｰ小型'!$A$3:$K$300,8,0), "")</f>
        <v>0E1859 </v>
      </c>
      <c r="G212" s="7" t="str">
        <f>IFERROR(VLOOKUP(E212,'(旧)ﾍﾞﾝﾀﾞｰ小型'!$A$3:$K$310,10,0),"")</f>
        <v>2027/01/07 </v>
      </c>
      <c r="H212" s="12" t="s">
        <v>60</v>
      </c>
      <c r="I212" s="7" t="str">
        <f>IFERROR(VLOOKUP(E212,'(新)ﾍﾞﾝﾀﾞｰ小型'!$A$3:$K$300,10,0),"")</f>
        <v>2027/01/07 </v>
      </c>
    </row>
    <row r="213" spans="1:9" s="19" customFormat="1" ht="13.8" thickBot="1" x14ac:dyDescent="0.2">
      <c r="A213" s="11">
        <v>212</v>
      </c>
      <c r="B213" s="7" t="str">
        <f>IFERROR(VLOOKUP(E213,'(新)ﾍﾞﾝﾀﾞｰ小型'!$A$3:$K$300,2,0), "")</f>
        <v>02月 </v>
      </c>
      <c r="C213" s="7" t="str">
        <f>IFERROR(VLOOKUP(E213,'(新)ﾍﾞﾝﾀﾞｰ小型'!$A$3:$K$300,4,0), "")</f>
        <v>EGB1303AE </v>
      </c>
      <c r="D213" s="7" t="str">
        <f>IFERROR(VLOOKUP(E213,'(新)ﾍﾞﾝﾀﾞｰ小型'!$A$3:$K$300,5,0), "")</f>
        <v>  </v>
      </c>
      <c r="E213" s="23" t="str">
        <f>'(新)ﾍﾞﾝﾀﾞｰ小型'!A214</f>
        <v> TS13399288 </v>
      </c>
      <c r="F213" s="8" t="str">
        <f>IFERROR(VLOOKUP(E213,'(新)ﾍﾞﾝﾀﾞｰ小型'!$A$3:$K$300,8,0), "")</f>
        <v>0D9621 </v>
      </c>
      <c r="G213" s="7" t="str">
        <f>IFERROR(VLOOKUP(E213,'(旧)ﾍﾞﾝﾀﾞｰ小型'!$A$3:$K$310,10,0),"")</f>
        <v>2027/01/08 </v>
      </c>
      <c r="H213" s="12" t="s">
        <v>60</v>
      </c>
      <c r="I213" s="7" t="str">
        <f>IFERROR(VLOOKUP(E213,'(新)ﾍﾞﾝﾀﾞｰ小型'!$A$3:$K$300,10,0),"")</f>
        <v>2027/01/08 </v>
      </c>
    </row>
    <row r="214" spans="1:9" s="19" customFormat="1" ht="13.8" thickBot="1" x14ac:dyDescent="0.2">
      <c r="A214" s="11">
        <v>213</v>
      </c>
      <c r="B214" s="7" t="str">
        <f>IFERROR(VLOOKUP(E214,'(新)ﾍﾞﾝﾀﾞｰ小型'!$A$3:$K$300,2,0), "")</f>
        <v>02月 </v>
      </c>
      <c r="C214" s="7" t="str">
        <f>IFERROR(VLOOKUP(E214,'(新)ﾍﾞﾝﾀﾞｰ小型'!$A$3:$K$300,4,0), "")</f>
        <v>EGB1303AE </v>
      </c>
      <c r="D214" s="7" t="str">
        <f>IFERROR(VLOOKUP(E214,'(新)ﾍﾞﾝﾀﾞｰ小型'!$A$3:$K$300,5,0), "")</f>
        <v>  </v>
      </c>
      <c r="E214" s="23" t="str">
        <f>'(新)ﾍﾞﾝﾀﾞｰ小型'!A215</f>
        <v> TS13399289 </v>
      </c>
      <c r="F214" s="8" t="str">
        <f>IFERROR(VLOOKUP(E214,'(新)ﾍﾞﾝﾀﾞｰ小型'!$A$3:$K$300,8,0), "")</f>
        <v>0D9621 </v>
      </c>
      <c r="G214" s="7" t="str">
        <f>IFERROR(VLOOKUP(E214,'(旧)ﾍﾞﾝﾀﾞｰ小型'!$A$3:$K$310,10,0),"")</f>
        <v>2027/01/09 </v>
      </c>
      <c r="H214" s="12" t="s">
        <v>60</v>
      </c>
      <c r="I214" s="7" t="str">
        <f>IFERROR(VLOOKUP(E214,'(新)ﾍﾞﾝﾀﾞｰ小型'!$A$3:$K$300,10,0),"")</f>
        <v>2027/01/09 </v>
      </c>
    </row>
    <row r="215" spans="1:9" s="19" customFormat="1" ht="13.8" thickBot="1" x14ac:dyDescent="0.2">
      <c r="A215" s="11">
        <v>214</v>
      </c>
      <c r="B215" s="7" t="str">
        <f>IFERROR(VLOOKUP(E215,'(新)ﾍﾞﾝﾀﾞｰ小型'!$A$3:$K$300,2,0), "")</f>
        <v>02月 </v>
      </c>
      <c r="C215" s="7" t="str">
        <f>IFERROR(VLOOKUP(E215,'(新)ﾍﾞﾝﾀﾞｰ小型'!$A$3:$K$300,4,0), "")</f>
        <v>EGB1303AE </v>
      </c>
      <c r="D215" s="7" t="str">
        <f>IFERROR(VLOOKUP(E215,'(新)ﾍﾞﾝﾀﾞｰ小型'!$A$3:$K$300,5,0), "")</f>
        <v>  </v>
      </c>
      <c r="E215" s="23" t="str">
        <f>'(新)ﾍﾞﾝﾀﾞｰ小型'!A216</f>
        <v> TS13399290 </v>
      </c>
      <c r="F215" s="8" t="str">
        <f>IFERROR(VLOOKUP(E215,'(新)ﾍﾞﾝﾀﾞｰ小型'!$A$3:$K$300,8,0), "")</f>
        <v>0D9621 </v>
      </c>
      <c r="G215" s="7" t="str">
        <f>IFERROR(VLOOKUP(E215,'(旧)ﾍﾞﾝﾀﾞｰ小型'!$A$3:$K$310,10,0),"")</f>
        <v>2027/01/09 </v>
      </c>
      <c r="H215" s="12" t="s">
        <v>60</v>
      </c>
      <c r="I215" s="7" t="str">
        <f>IFERROR(VLOOKUP(E215,'(新)ﾍﾞﾝﾀﾞｰ小型'!$A$3:$K$300,10,0),"")</f>
        <v>2027/01/09 </v>
      </c>
    </row>
    <row r="216" spans="1:9" s="19" customFormat="1" ht="13.8" thickBot="1" x14ac:dyDescent="0.2">
      <c r="A216" s="11">
        <v>215</v>
      </c>
      <c r="B216" s="7" t="str">
        <f>IFERROR(VLOOKUP(E216,'(新)ﾍﾞﾝﾀﾞｰ小型'!$A$3:$K$300,2,0), "")</f>
        <v>02月 </v>
      </c>
      <c r="C216" s="7" t="str">
        <f>IFERROR(VLOOKUP(E216,'(新)ﾍﾞﾝﾀﾞｰ小型'!$A$3:$K$300,4,0), "")</f>
        <v>EGB1303AE_EXP </v>
      </c>
      <c r="D216" s="7" t="str">
        <f>IFERROR(VLOOKUP(E216,'(新)ﾍﾞﾝﾀﾞｰ小型'!$A$3:$K$300,5,0), "")</f>
        <v> オーバーシーズ </v>
      </c>
      <c r="E216" s="23" t="str">
        <f>'(新)ﾍﾞﾝﾀﾞｰ小型'!A217</f>
        <v> TS13399291 </v>
      </c>
      <c r="F216" s="8" t="str">
        <f>IFERROR(VLOOKUP(E216,'(新)ﾍﾞﾝﾀﾞｰ小型'!$A$3:$K$300,8,0), "")</f>
        <v>0E1243 </v>
      </c>
      <c r="G216" s="7" t="str">
        <f>IFERROR(VLOOKUP(E216,'(旧)ﾍﾞﾝﾀﾞｰ小型'!$A$3:$K$310,10,0),"")</f>
        <v>2027/01/12 </v>
      </c>
      <c r="H216" s="12" t="s">
        <v>60</v>
      </c>
      <c r="I216" s="7" t="str">
        <f>IFERROR(VLOOKUP(E216,'(新)ﾍﾞﾝﾀﾞｰ小型'!$A$3:$K$300,10,0),"")</f>
        <v>2027/01/12 </v>
      </c>
    </row>
    <row r="217" spans="1:9" s="19" customFormat="1" ht="13.8" thickBot="1" x14ac:dyDescent="0.2">
      <c r="A217" s="11">
        <v>216</v>
      </c>
      <c r="B217" s="7" t="str">
        <f>IFERROR(VLOOKUP(E217,'(新)ﾍﾞﾝﾀﾞｰ小型'!$A$3:$K$300,2,0), "")</f>
        <v>02月 </v>
      </c>
      <c r="C217" s="7" t="str">
        <f>IFERROR(VLOOKUP(E217,'(新)ﾍﾞﾝﾀﾞｰ小型'!$A$3:$K$300,4,0), "")</f>
        <v>EGB1303AE_EXP </v>
      </c>
      <c r="D217" s="7" t="str">
        <f>IFERROR(VLOOKUP(E217,'(新)ﾍﾞﾝﾀﾞｰ小型'!$A$3:$K$300,5,0), "")</f>
        <v> 【タイ】TC </v>
      </c>
      <c r="E217" s="23" t="str">
        <f>'(新)ﾍﾞﾝﾀﾞｰ小型'!A218</f>
        <v> TS13399292 </v>
      </c>
      <c r="F217" s="8" t="str">
        <f>IFERROR(VLOOKUP(E217,'(新)ﾍﾞﾝﾀﾞｰ小型'!$A$3:$K$300,8,0), "")</f>
        <v>0E1243 </v>
      </c>
      <c r="G217" s="7" t="str">
        <f>IFERROR(VLOOKUP(E217,'(旧)ﾍﾞﾝﾀﾞｰ小型'!$A$3:$K$310,10,0),"")</f>
        <v>2027/01/13 </v>
      </c>
      <c r="H217" s="12" t="s">
        <v>60</v>
      </c>
      <c r="I217" s="7" t="str">
        <f>IFERROR(VLOOKUP(E217,'(新)ﾍﾞﾝﾀﾞｰ小型'!$A$3:$K$300,10,0),"")</f>
        <v>2027/01/13 </v>
      </c>
    </row>
    <row r="218" spans="1:9" s="19" customFormat="1" ht="13.8" thickBot="1" x14ac:dyDescent="0.2">
      <c r="A218" s="11">
        <v>217</v>
      </c>
      <c r="B218" s="7" t="str">
        <f>IFERROR(VLOOKUP(E218,'(新)ﾍﾞﾝﾀﾞｰ小型'!$A$3:$K$300,2,0), "")</f>
        <v>02月 </v>
      </c>
      <c r="C218" s="7" t="str">
        <f>IFERROR(VLOOKUP(E218,'(新)ﾍﾞﾝﾀﾞｰ小型'!$A$3:$K$300,4,0), "")</f>
        <v>EGB1303AE_EXP </v>
      </c>
      <c r="D218" s="7" t="str">
        <f>IFERROR(VLOOKUP(E218,'(新)ﾍﾞﾝﾀﾞｰ小型'!$A$3:$K$300,5,0), "")</f>
        <v> ＡＭＡＤＡ　ＫＯＲＥＡ　ＣＯ．，ＬＴＤ． </v>
      </c>
      <c r="E218" s="23" t="str">
        <f>'(新)ﾍﾞﾝﾀﾞｰ小型'!A219</f>
        <v> TS13399293 </v>
      </c>
      <c r="F218" s="8" t="str">
        <f>IFERROR(VLOOKUP(E218,'(新)ﾍﾞﾝﾀﾞｰ小型'!$A$3:$K$300,8,0), "")</f>
        <v>0E1243 </v>
      </c>
      <c r="G218" s="7" t="str">
        <f>IFERROR(VLOOKUP(E218,'(旧)ﾍﾞﾝﾀﾞｰ小型'!$A$3:$K$310,10,0),"")</f>
        <v>2027/01/13 </v>
      </c>
      <c r="H218" s="12" t="s">
        <v>60</v>
      </c>
      <c r="I218" s="7" t="str">
        <f>IFERROR(VLOOKUP(E218,'(新)ﾍﾞﾝﾀﾞｰ小型'!$A$3:$K$300,10,0),"")</f>
        <v>2027/01/13 </v>
      </c>
    </row>
    <row r="219" spans="1:9" s="19" customFormat="1" ht="13.8" thickBot="1" x14ac:dyDescent="0.2">
      <c r="A219" s="11">
        <v>218</v>
      </c>
      <c r="B219" s="7" t="str">
        <f>IFERROR(VLOOKUP(E219,'(新)ﾍﾞﾝﾀﾞｰ小型'!$A$3:$K$300,2,0), "")</f>
        <v>02月 </v>
      </c>
      <c r="C219" s="7" t="str">
        <f>IFERROR(VLOOKUP(E219,'(新)ﾍﾞﾝﾀﾞｰ小型'!$A$3:$K$300,4,0), "")</f>
        <v>EGB1303AE_EXP </v>
      </c>
      <c r="D219" s="7" t="str">
        <f>IFERROR(VLOOKUP(E219,'(新)ﾍﾞﾝﾀﾞｰ小型'!$A$3:$K$300,5,0), "")</f>
        <v> 台湾 </v>
      </c>
      <c r="E219" s="23" t="str">
        <f>'(新)ﾍﾞﾝﾀﾞｰ小型'!A220</f>
        <v> TS13399294 </v>
      </c>
      <c r="F219" s="8" t="str">
        <f>IFERROR(VLOOKUP(E219,'(新)ﾍﾞﾝﾀﾞｰ小型'!$A$3:$K$300,8,0), "")</f>
        <v>0E1243 </v>
      </c>
      <c r="G219" s="7" t="str">
        <f>IFERROR(VLOOKUP(E219,'(旧)ﾍﾞﾝﾀﾞｰ小型'!$A$3:$K$310,10,0),"")</f>
        <v>2027/01/14 </v>
      </c>
      <c r="H219" s="12" t="s">
        <v>60</v>
      </c>
      <c r="I219" s="7" t="str">
        <f>IFERROR(VLOOKUP(E219,'(新)ﾍﾞﾝﾀﾞｰ小型'!$A$3:$K$300,10,0),"")</f>
        <v>2027/01/14 </v>
      </c>
    </row>
    <row r="220" spans="1:9" s="19" customFormat="1" ht="13.8" thickBot="1" x14ac:dyDescent="0.2">
      <c r="A220" s="11">
        <v>219</v>
      </c>
      <c r="B220" s="7" t="str">
        <f>IFERROR(VLOOKUP(E220,'(新)ﾍﾞﾝﾀﾞｰ小型'!$A$3:$K$300,2,0), "")</f>
        <v>02月 </v>
      </c>
      <c r="C220" s="7" t="str">
        <f>IFERROR(VLOOKUP(E220,'(新)ﾍﾞﾝﾀﾞｰ小型'!$A$3:$K$300,4,0), "")</f>
        <v>EGB1303AE </v>
      </c>
      <c r="D220" s="7" t="str">
        <f>IFERROR(VLOOKUP(E220,'(新)ﾍﾞﾝﾀﾞｰ小型'!$A$3:$K$300,5,0), "")</f>
        <v>  </v>
      </c>
      <c r="E220" s="23" t="str">
        <f>'(新)ﾍﾞﾝﾀﾞｰ小型'!A221</f>
        <v> TS13399304 </v>
      </c>
      <c r="F220" s="8" t="str">
        <f>IFERROR(VLOOKUP(E220,'(新)ﾍﾞﾝﾀﾞｰ小型'!$A$3:$K$300,8,0), "")</f>
        <v>0D9621 </v>
      </c>
      <c r="G220" s="7" t="str">
        <f>IFERROR(VLOOKUP(E220,'(旧)ﾍﾞﾝﾀﾞｰ小型'!$A$3:$K$310,10,0),"")</f>
        <v>2027/01/15 </v>
      </c>
      <c r="H220" s="12" t="s">
        <v>60</v>
      </c>
      <c r="I220" s="7" t="str">
        <f>IFERROR(VLOOKUP(E220,'(新)ﾍﾞﾝﾀﾞｰ小型'!$A$3:$K$300,10,0),"")</f>
        <v>2027/01/14 </v>
      </c>
    </row>
    <row r="221" spans="1:9" s="19" customFormat="1" ht="13.8" thickBot="1" x14ac:dyDescent="0.2">
      <c r="A221" s="11">
        <v>220</v>
      </c>
      <c r="B221" s="7" t="str">
        <f>IFERROR(VLOOKUP(E221,'(新)ﾍﾞﾝﾀﾞｰ小型'!$A$3:$K$300,2,0), "")</f>
        <v>02月 </v>
      </c>
      <c r="C221" s="7" t="str">
        <f>IFERROR(VLOOKUP(E221,'(新)ﾍﾞﾝﾀﾞｰ小型'!$A$3:$K$300,4,0), "")</f>
        <v>EGB1303AE </v>
      </c>
      <c r="D221" s="7" t="str">
        <f>IFERROR(VLOOKUP(E221,'(新)ﾍﾞﾝﾀﾞｰ小型'!$A$3:$K$300,5,0), "")</f>
        <v>  </v>
      </c>
      <c r="E221" s="23" t="str">
        <f>'(新)ﾍﾞﾝﾀﾞｰ小型'!A222</f>
        <v> TS13399303 </v>
      </c>
      <c r="F221" s="8" t="str">
        <f>IFERROR(VLOOKUP(E221,'(新)ﾍﾞﾝﾀﾞｰ小型'!$A$3:$K$300,8,0), "")</f>
        <v>0D9621 </v>
      </c>
      <c r="G221" s="7" t="str">
        <f>IFERROR(VLOOKUP(E221,'(旧)ﾍﾞﾝﾀﾞｰ小型'!$A$3:$K$310,10,0),"")</f>
        <v>2027/01/15 </v>
      </c>
      <c r="H221" s="12" t="s">
        <v>60</v>
      </c>
      <c r="I221" s="7" t="str">
        <f>IFERROR(VLOOKUP(E221,'(新)ﾍﾞﾝﾀﾞｰ小型'!$A$3:$K$300,10,0),"")</f>
        <v>2027/01/15 </v>
      </c>
    </row>
    <row r="222" spans="1:9" s="19" customFormat="1" ht="13.8" thickBot="1" x14ac:dyDescent="0.2">
      <c r="A222" s="11">
        <v>221</v>
      </c>
      <c r="B222" s="7" t="str">
        <f>IFERROR(VLOOKUP(E222,'(新)ﾍﾞﾝﾀﾞｰ小型'!$A$3:$K$300,2,0), "")</f>
        <v>02月 </v>
      </c>
      <c r="C222" s="7" t="str">
        <f>IFERROR(VLOOKUP(E222,'(新)ﾍﾞﾝﾀﾞｰ小型'!$A$3:$K$300,4,0), "")</f>
        <v>EGB6020AE </v>
      </c>
      <c r="D222" s="7" t="str">
        <f>IFERROR(VLOOKUP(E222,'(新)ﾍﾞﾝﾀﾞｰ小型'!$A$3:$K$300,5,0), "")</f>
        <v>  </v>
      </c>
      <c r="E222" s="23" t="str">
        <f>'(新)ﾍﾞﾝﾀﾞｰ小型'!A223</f>
        <v> TS60299225 </v>
      </c>
      <c r="F222" s="8" t="str">
        <f>IFERROR(VLOOKUP(E222,'(新)ﾍﾞﾝﾀﾞｰ小型'!$A$3:$K$300,8,0), "")</f>
        <v>0D7904 </v>
      </c>
      <c r="G222" s="7" t="str">
        <f>IFERROR(VLOOKUP(E222,'(旧)ﾍﾞﾝﾀﾞｰ小型'!$A$3:$K$310,10,0),"")</f>
        <v>2027/01/16 </v>
      </c>
      <c r="H222" s="12" t="s">
        <v>60</v>
      </c>
      <c r="I222" s="7" t="str">
        <f>IFERROR(VLOOKUP(E222,'(新)ﾍﾞﾝﾀﾞｰ小型'!$A$3:$K$300,10,0),"")</f>
        <v>2027/01/16 </v>
      </c>
    </row>
    <row r="223" spans="1:9" s="19" customFormat="1" ht="13.8" thickBot="1" x14ac:dyDescent="0.2">
      <c r="A223" s="11">
        <v>222</v>
      </c>
      <c r="B223" s="7" t="str">
        <f>IFERROR(VLOOKUP(E223,'(新)ﾍﾞﾝﾀﾞｰ小型'!$A$3:$K$300,2,0), "")</f>
        <v>02月 </v>
      </c>
      <c r="C223" s="7" t="str">
        <f>IFERROR(VLOOKUP(E223,'(新)ﾍﾞﾝﾀﾞｰ小型'!$A$3:$K$300,4,0), "")</f>
        <v>EGB6020AE </v>
      </c>
      <c r="D223" s="7" t="str">
        <f>IFERROR(VLOOKUP(E223,'(新)ﾍﾞﾝﾀﾞｰ小型'!$A$3:$K$300,5,0), "")</f>
        <v>  </v>
      </c>
      <c r="E223" s="23" t="str">
        <f>'(新)ﾍﾞﾝﾀﾞｰ小型'!A224</f>
        <v> TS60299226 </v>
      </c>
      <c r="F223" s="8" t="str">
        <f>IFERROR(VLOOKUP(E223,'(新)ﾍﾞﾝﾀﾞｰ小型'!$A$3:$K$300,8,0), "")</f>
        <v>0D7904 </v>
      </c>
      <c r="G223" s="7" t="str">
        <f>IFERROR(VLOOKUP(E223,'(旧)ﾍﾞﾝﾀﾞｰ小型'!$A$3:$K$310,10,0),"")</f>
        <v>2027/01/19 </v>
      </c>
      <c r="H223" s="12" t="s">
        <v>60</v>
      </c>
      <c r="I223" s="7" t="str">
        <f>IFERROR(VLOOKUP(E223,'(新)ﾍﾞﾝﾀﾞｰ小型'!$A$3:$K$300,10,0),"")</f>
        <v>2027/01/16 </v>
      </c>
    </row>
    <row r="224" spans="1:9" s="19" customFormat="1" ht="13.8" thickBot="1" x14ac:dyDescent="0.2">
      <c r="A224" s="11">
        <v>223</v>
      </c>
      <c r="B224" s="7" t="str">
        <f>IFERROR(VLOOKUP(E224,'(新)ﾍﾞﾝﾀﾞｰ小型'!$A$3:$K$300,2,0), "")</f>
        <v>02月 </v>
      </c>
      <c r="C224" s="7" t="str">
        <f>IFERROR(VLOOKUP(E224,'(新)ﾍﾞﾝﾀﾞｰ小型'!$A$3:$K$300,4,0), "")</f>
        <v>EGB6020AE </v>
      </c>
      <c r="D224" s="7" t="str">
        <f>IFERROR(VLOOKUP(E224,'(新)ﾍﾞﾝﾀﾞｰ小型'!$A$3:$K$300,5,0), "")</f>
        <v>  </v>
      </c>
      <c r="E224" s="23" t="str">
        <f>'(新)ﾍﾞﾝﾀﾞｰ小型'!A225</f>
        <v> TS60299227 </v>
      </c>
      <c r="F224" s="8" t="str">
        <f>IFERROR(VLOOKUP(E224,'(新)ﾍﾞﾝﾀﾞｰ小型'!$A$3:$K$300,8,0), "")</f>
        <v>0D7904 </v>
      </c>
      <c r="G224" s="7" t="str">
        <f>IFERROR(VLOOKUP(E224,'(旧)ﾍﾞﾝﾀﾞｰ小型'!$A$3:$K$310,10,0),"")</f>
        <v>2027/01/19 </v>
      </c>
      <c r="H224" s="12" t="s">
        <v>60</v>
      </c>
      <c r="I224" s="7" t="str">
        <f>IFERROR(VLOOKUP(E224,'(新)ﾍﾞﾝﾀﾞｰ小型'!$A$3:$K$300,10,0),"")</f>
        <v>2027/01/19 </v>
      </c>
    </row>
    <row r="225" spans="1:9" s="19" customFormat="1" ht="13.8" thickBot="1" x14ac:dyDescent="0.2">
      <c r="A225" s="11">
        <v>224</v>
      </c>
      <c r="B225" s="7" t="str">
        <f>IFERROR(VLOOKUP(E225,'(新)ﾍﾞﾝﾀﾞｰ小型'!$A$3:$K$300,2,0), "")</f>
        <v>02月 </v>
      </c>
      <c r="C225" s="7" t="str">
        <f>IFERROR(VLOOKUP(E225,'(新)ﾍﾞﾝﾀﾞｰ小型'!$A$3:$K$300,4,0), "")</f>
        <v>EGB6020AE </v>
      </c>
      <c r="D225" s="7" t="str">
        <f>IFERROR(VLOOKUP(E225,'(新)ﾍﾞﾝﾀﾞｰ小型'!$A$3:$K$300,5,0), "")</f>
        <v>  </v>
      </c>
      <c r="E225" s="23" t="str">
        <f>'(新)ﾍﾞﾝﾀﾞｰ小型'!A226</f>
        <v> TS60299228 </v>
      </c>
      <c r="F225" s="8" t="str">
        <f>IFERROR(VLOOKUP(E225,'(新)ﾍﾞﾝﾀﾞｰ小型'!$A$3:$K$300,8,0), "")</f>
        <v>0D7904 </v>
      </c>
      <c r="G225" s="7" t="str">
        <f>IFERROR(VLOOKUP(E225,'(旧)ﾍﾞﾝﾀﾞｰ小型'!$A$3:$K$310,10,0),"")</f>
        <v>2027/01/20 </v>
      </c>
      <c r="H225" s="12" t="s">
        <v>60</v>
      </c>
      <c r="I225" s="7" t="str">
        <f>IFERROR(VLOOKUP(E225,'(新)ﾍﾞﾝﾀﾞｰ小型'!$A$3:$K$300,10,0),"")</f>
        <v>2027/01/20 </v>
      </c>
    </row>
    <row r="226" spans="1:9" s="19" customFormat="1" ht="13.8" thickBot="1" x14ac:dyDescent="0.2">
      <c r="A226" s="11">
        <v>225</v>
      </c>
      <c r="B226" s="7" t="str">
        <f>IFERROR(VLOOKUP(E226,'(新)ﾍﾞﾝﾀﾞｰ小型'!$A$3:$K$300,2,0), "")</f>
        <v>02月 </v>
      </c>
      <c r="C226" s="7" t="str">
        <f>IFERROR(VLOOKUP(E226,'(新)ﾍﾞﾝﾀﾞｰ小型'!$A$3:$K$300,4,0), "")</f>
        <v>EGB1303ARE_DOM(ARME) </v>
      </c>
      <c r="D226" s="7" t="str">
        <f>IFERROR(VLOOKUP(E226,'(新)ﾍﾞﾝﾀﾞｰ小型'!$A$3:$K$300,5,0), "")</f>
        <v>  </v>
      </c>
      <c r="E226" s="23" t="str">
        <f>'(新)ﾍﾞﾝﾀﾞｰ小型'!A227</f>
        <v> TS13329070 </v>
      </c>
      <c r="F226" s="8" t="str">
        <f>IFERROR(VLOOKUP(E226,'(新)ﾍﾞﾝﾀﾞｰ小型'!$A$3:$K$300,8,0), "")</f>
        <v>0G3819 </v>
      </c>
      <c r="G226" s="7" t="str">
        <f>IFERROR(VLOOKUP(E226,'(旧)ﾍﾞﾝﾀﾞｰ小型'!$A$3:$K$310,10,0),"")</f>
        <v>2027/02/01 </v>
      </c>
      <c r="H226" s="12" t="s">
        <v>60</v>
      </c>
      <c r="I226" s="7" t="str">
        <f>IFERROR(VLOOKUP(E226,'(新)ﾍﾞﾝﾀﾞｰ小型'!$A$3:$K$300,10,0),"")</f>
        <v>2027/01/20 </v>
      </c>
    </row>
    <row r="227" spans="1:9" s="19" customFormat="1" ht="13.8" thickBot="1" x14ac:dyDescent="0.2">
      <c r="A227" s="11">
        <v>226</v>
      </c>
      <c r="B227" s="7" t="str">
        <f>IFERROR(VLOOKUP(E227,'(新)ﾍﾞﾝﾀﾞｰ小型'!$A$3:$K$300,2,0), "")</f>
        <v>02月 </v>
      </c>
      <c r="C227" s="7" t="str">
        <f>IFERROR(VLOOKUP(E227,'(新)ﾍﾞﾝﾀﾞｰ小型'!$A$3:$K$300,4,0), "")</f>
        <v>EGB6020AE </v>
      </c>
      <c r="D227" s="7" t="str">
        <f>IFERROR(VLOOKUP(E227,'(新)ﾍﾞﾝﾀﾞｰ小型'!$A$3:$K$300,5,0), "")</f>
        <v>  </v>
      </c>
      <c r="E227" s="23" t="str">
        <f>'(新)ﾍﾞﾝﾀﾞｰ小型'!A228</f>
        <v> TS60299237 </v>
      </c>
      <c r="F227" s="8" t="str">
        <f>IFERROR(VLOOKUP(E227,'(新)ﾍﾞﾝﾀﾞｰ小型'!$A$3:$K$300,8,0), "")</f>
        <v>0D7904 </v>
      </c>
      <c r="G227" s="7" t="str">
        <f>IFERROR(VLOOKUP(E227,'(旧)ﾍﾞﾝﾀﾞｰ小型'!$A$3:$K$310,10,0),"")</f>
        <v>2027/01/20 </v>
      </c>
      <c r="H227" s="12" t="s">
        <v>60</v>
      </c>
      <c r="I227" s="7" t="str">
        <f>IFERROR(VLOOKUP(E227,'(新)ﾍﾞﾝﾀﾞｰ小型'!$A$3:$K$300,10,0),"")</f>
        <v>2027/01/21 </v>
      </c>
    </row>
    <row r="228" spans="1:9" s="19" customFormat="1" ht="13.8" thickBot="1" x14ac:dyDescent="0.2">
      <c r="A228" s="11">
        <v>227</v>
      </c>
      <c r="B228" s="7" t="str">
        <f>IFERROR(VLOOKUP(E228,'(新)ﾍﾞﾝﾀﾞｰ小型'!$A$3:$K$300,2,0), "")</f>
        <v>02月 </v>
      </c>
      <c r="C228" s="7" t="str">
        <f>IFERROR(VLOOKUP(E228,'(新)ﾍﾞﾝﾀﾞｰ小型'!$A$3:$K$300,4,0), "")</f>
        <v>EGB6020AE </v>
      </c>
      <c r="D228" s="7" t="str">
        <f>IFERROR(VLOOKUP(E228,'(新)ﾍﾞﾝﾀﾞｰ小型'!$A$3:$K$300,5,0), "")</f>
        <v>  </v>
      </c>
      <c r="E228" s="23" t="str">
        <f>'(新)ﾍﾞﾝﾀﾞｰ小型'!A229</f>
        <v> TS60299238 </v>
      </c>
      <c r="F228" s="8" t="str">
        <f>IFERROR(VLOOKUP(E228,'(新)ﾍﾞﾝﾀﾞｰ小型'!$A$3:$K$300,8,0), "")</f>
        <v>0D7904 </v>
      </c>
      <c r="G228" s="7" t="str">
        <f>IFERROR(VLOOKUP(E228,'(旧)ﾍﾞﾝﾀﾞｰ小型'!$A$3:$K$310,10,0),"")</f>
        <v>2027/01/21 </v>
      </c>
      <c r="H228" s="12" t="s">
        <v>60</v>
      </c>
      <c r="I228" s="7" t="str">
        <f>IFERROR(VLOOKUP(E228,'(新)ﾍﾞﾝﾀﾞｰ小型'!$A$3:$K$300,10,0),"")</f>
        <v>2027/01/21 </v>
      </c>
    </row>
    <row r="229" spans="1:9" s="19" customFormat="1" ht="13.8" thickBot="1" x14ac:dyDescent="0.2">
      <c r="A229" s="11">
        <v>228</v>
      </c>
      <c r="B229" s="7" t="str">
        <f>IFERROR(VLOOKUP(E229,'(新)ﾍﾞﾝﾀﾞｰ小型'!$A$3:$K$300,2,0), "")</f>
        <v>02月 </v>
      </c>
      <c r="C229" s="7" t="str">
        <f>IFERROR(VLOOKUP(E229,'(新)ﾍﾞﾝﾀﾞｰ小型'!$A$3:$K$300,4,0), "")</f>
        <v>EGB6020E_EXP </v>
      </c>
      <c r="D229" s="7" t="str">
        <f>IFERROR(VLOOKUP(E229,'(新)ﾍﾞﾝﾀﾞｰ小型'!$A$3:$K$300,5,0), "")</f>
        <v> アマダアメリカ </v>
      </c>
      <c r="E229" s="23" t="str">
        <f>'(新)ﾍﾞﾝﾀﾞｰ小型'!A230</f>
        <v> TS62077191 </v>
      </c>
      <c r="F229" s="8" t="str">
        <f>IFERROR(VLOOKUP(E229,'(新)ﾍﾞﾝﾀﾞｰ小型'!$A$3:$K$300,8,0), "")</f>
        <v>0D7905 </v>
      </c>
      <c r="G229" s="7" t="str">
        <f>IFERROR(VLOOKUP(E229,'(旧)ﾍﾞﾝﾀﾞｰ小型'!$A$3:$K$310,10,0),"")</f>
        <v>2027/01/22 </v>
      </c>
      <c r="H229" s="12" t="s">
        <v>60</v>
      </c>
      <c r="I229" s="7" t="str">
        <f>IFERROR(VLOOKUP(E229,'(新)ﾍﾞﾝﾀﾞｰ小型'!$A$3:$K$300,10,0),"")</f>
        <v>2027/01/22 </v>
      </c>
    </row>
    <row r="230" spans="1:9" s="19" customFormat="1" ht="13.8" thickBot="1" x14ac:dyDescent="0.2">
      <c r="A230" s="11">
        <v>229</v>
      </c>
      <c r="B230" s="7" t="str">
        <f>IFERROR(VLOOKUP(E230,'(新)ﾍﾞﾝﾀﾞｰ小型'!$A$3:$K$300,2,0), "")</f>
        <v>02月 </v>
      </c>
      <c r="C230" s="7" t="str">
        <f>IFERROR(VLOOKUP(E230,'(新)ﾍﾞﾝﾀﾞｰ小型'!$A$3:$K$300,4,0), "")</f>
        <v>EGB6020E_EXP </v>
      </c>
      <c r="D230" s="7" t="str">
        <f>IFERROR(VLOOKUP(E230,'(新)ﾍﾞﾝﾀﾞｰ小型'!$A$3:$K$300,5,0), "")</f>
        <v> アマダアメリカ </v>
      </c>
      <c r="E230" s="23" t="str">
        <f>'(新)ﾍﾞﾝﾀﾞｰ小型'!A231</f>
        <v> TS62077192 </v>
      </c>
      <c r="F230" s="8" t="str">
        <f>IFERROR(VLOOKUP(E230,'(新)ﾍﾞﾝﾀﾞｰ小型'!$A$3:$K$300,8,0), "")</f>
        <v>0D7905 </v>
      </c>
      <c r="G230" s="7" t="str">
        <f>IFERROR(VLOOKUP(E230,'(旧)ﾍﾞﾝﾀﾞｰ小型'!$A$3:$K$310,10,0),"")</f>
        <v>2027/01/22 </v>
      </c>
      <c r="H230" s="12" t="s">
        <v>60</v>
      </c>
      <c r="I230" s="7" t="str">
        <f>IFERROR(VLOOKUP(E230,'(新)ﾍﾞﾝﾀﾞｰ小型'!$A$3:$K$300,10,0),"")</f>
        <v>2027/01/22 </v>
      </c>
    </row>
    <row r="231" spans="1:9" s="19" customFormat="1" ht="13.8" thickBot="1" x14ac:dyDescent="0.2">
      <c r="A231" s="11">
        <v>230</v>
      </c>
      <c r="B231" s="7" t="str">
        <f>IFERROR(VLOOKUP(E231,'(新)ﾍﾞﾝﾀﾞｰ小型'!$A$3:$K$300,2,0), "")</f>
        <v>02月 </v>
      </c>
      <c r="C231" s="7" t="str">
        <f>IFERROR(VLOOKUP(E231,'(新)ﾍﾞﾝﾀﾞｰ小型'!$A$3:$K$300,4,0), "")</f>
        <v>EGB6020E_EXP </v>
      </c>
      <c r="D231" s="7" t="str">
        <f>IFERROR(VLOOKUP(E231,'(新)ﾍﾞﾝﾀﾞｰ小型'!$A$3:$K$300,5,0), "")</f>
        <v> アマダアメリカ </v>
      </c>
      <c r="E231" s="23" t="str">
        <f>'(新)ﾍﾞﾝﾀﾞｰ小型'!A232</f>
        <v> TS62077193 </v>
      </c>
      <c r="F231" s="8" t="str">
        <f>IFERROR(VLOOKUP(E231,'(新)ﾍﾞﾝﾀﾞｰ小型'!$A$3:$K$300,8,0), "")</f>
        <v>0D7905 </v>
      </c>
      <c r="G231" s="7" t="str">
        <f>IFERROR(VLOOKUP(E231,'(旧)ﾍﾞﾝﾀﾞｰ小型'!$A$3:$K$310,10,0),"")</f>
        <v>2027/01/23 </v>
      </c>
      <c r="H231" s="12" t="s">
        <v>60</v>
      </c>
      <c r="I231" s="7" t="str">
        <f>IFERROR(VLOOKUP(E231,'(新)ﾍﾞﾝﾀﾞｰ小型'!$A$3:$K$300,10,0),"")</f>
        <v>2027/01/23 </v>
      </c>
    </row>
    <row r="232" spans="1:9" s="19" customFormat="1" ht="13.8" thickBot="1" x14ac:dyDescent="0.2">
      <c r="A232" s="11">
        <v>231</v>
      </c>
      <c r="B232" s="7" t="str">
        <f>IFERROR(VLOOKUP(E232,'(新)ﾍﾞﾝﾀﾞｰ小型'!$A$3:$K$300,2,0), "")</f>
        <v>02月 </v>
      </c>
      <c r="C232" s="7" t="str">
        <f>IFERROR(VLOOKUP(E232,'(新)ﾍﾞﾝﾀﾞｰ小型'!$A$3:$K$300,4,0), "")</f>
        <v>EGB1303E_EXP </v>
      </c>
      <c r="D232" s="7" t="str">
        <f>IFERROR(VLOOKUP(E232,'(新)ﾍﾞﾝﾀﾞｰ小型'!$A$3:$K$300,5,0), "")</f>
        <v> 【AAI】Schneider </v>
      </c>
      <c r="E232" s="23" t="str">
        <f>'(新)ﾍﾞﾝﾀﾞｰ小型'!A233</f>
        <v> TS13377324 </v>
      </c>
      <c r="F232" s="8" t="str">
        <f>IFERROR(VLOOKUP(E232,'(新)ﾍﾞﾝﾀﾞｰ小型'!$A$3:$K$300,8,0), "")</f>
        <v>0D9825 </v>
      </c>
      <c r="G232" s="7" t="str">
        <f>IFERROR(VLOOKUP(E232,'(旧)ﾍﾞﾝﾀﾞｰ小型'!$A$3:$K$310,10,0),"")</f>
        <v>2027/01/26 </v>
      </c>
      <c r="H232" s="12" t="s">
        <v>60</v>
      </c>
      <c r="I232" s="7" t="str">
        <f>IFERROR(VLOOKUP(E232,'(新)ﾍﾞﾝﾀﾞｰ小型'!$A$3:$K$300,10,0),"")</f>
        <v>2027/01/26 </v>
      </c>
    </row>
    <row r="233" spans="1:9" s="19" customFormat="1" ht="13.8" thickBot="1" x14ac:dyDescent="0.2">
      <c r="A233" s="11">
        <v>232</v>
      </c>
      <c r="B233" s="7" t="str">
        <f>IFERROR(VLOOKUP(E233,'(新)ﾍﾞﾝﾀﾞｰ小型'!$A$3:$K$300,2,0), "")</f>
        <v>02月 </v>
      </c>
      <c r="C233" s="7" t="str">
        <f>IFERROR(VLOOKUP(E233,'(新)ﾍﾞﾝﾀﾞｰ小型'!$A$3:$K$300,4,0), "")</f>
        <v>EGB6020E_EXP </v>
      </c>
      <c r="D233" s="7" t="str">
        <f>IFERROR(VLOOKUP(E233,'(新)ﾍﾞﾝﾀﾞｰ小型'!$A$3:$K$300,5,0), "")</f>
        <v> アマダアメリカ </v>
      </c>
      <c r="E233" s="23" t="str">
        <f>'(新)ﾍﾞﾝﾀﾞｰ小型'!A234</f>
        <v> TS62077194 </v>
      </c>
      <c r="F233" s="8" t="str">
        <f>IFERROR(VLOOKUP(E233,'(新)ﾍﾞﾝﾀﾞｰ小型'!$A$3:$K$300,8,0), "")</f>
        <v>0D7905 </v>
      </c>
      <c r="G233" s="7" t="str">
        <f>IFERROR(VLOOKUP(E233,'(旧)ﾍﾞﾝﾀﾞｰ小型'!$A$3:$K$310,10,0),"")</f>
        <v>2027/01/23 </v>
      </c>
      <c r="H233" s="12" t="s">
        <v>60</v>
      </c>
      <c r="I233" s="7" t="str">
        <f>IFERROR(VLOOKUP(E233,'(新)ﾍﾞﾝﾀﾞｰ小型'!$A$3:$K$300,10,0),"")</f>
        <v>2027/01/26 </v>
      </c>
    </row>
    <row r="234" spans="1:9" s="19" customFormat="1" ht="13.8" thickBot="1" x14ac:dyDescent="0.2">
      <c r="A234" s="11">
        <v>233</v>
      </c>
      <c r="B234" s="7" t="str">
        <f>IFERROR(VLOOKUP(E234,'(新)ﾍﾞﾝﾀﾞｰ小型'!$A$3:$K$300,2,0), "")</f>
        <v>02月 </v>
      </c>
      <c r="C234" s="7" t="str">
        <f>IFERROR(VLOOKUP(E234,'(新)ﾍﾞﾝﾀﾞｰ小型'!$A$3:$K$300,4,0), "")</f>
        <v>EGB1303E_EXP </v>
      </c>
      <c r="D234" s="7" t="str">
        <f>IFERROR(VLOOKUP(E234,'(新)ﾍﾞﾝﾀﾞｰ小型'!$A$3:$K$300,5,0), "")</f>
        <v> 【AAI】Schneider </v>
      </c>
      <c r="E234" s="23" t="str">
        <f>'(新)ﾍﾞﾝﾀﾞｰ小型'!A235</f>
        <v> TS13377325 </v>
      </c>
      <c r="F234" s="8" t="str">
        <f>IFERROR(VLOOKUP(E234,'(新)ﾍﾞﾝﾀﾞｰ小型'!$A$3:$K$300,8,0), "")</f>
        <v>0D9825 </v>
      </c>
      <c r="G234" s="7" t="str">
        <f>IFERROR(VLOOKUP(E234,'(旧)ﾍﾞﾝﾀﾞｰ小型'!$A$3:$K$310,10,0),"")</f>
        <v>2027/01/26 </v>
      </c>
      <c r="H234" s="12" t="s">
        <v>60</v>
      </c>
      <c r="I234" s="7" t="str">
        <f>IFERROR(VLOOKUP(E234,'(新)ﾍﾞﾝﾀﾞｰ小型'!$A$3:$K$300,10,0),"")</f>
        <v>2027/01/27 </v>
      </c>
    </row>
    <row r="235" spans="1:9" s="19" customFormat="1" ht="13.8" thickBot="1" x14ac:dyDescent="0.2">
      <c r="A235" s="11">
        <v>234</v>
      </c>
      <c r="B235" s="7" t="str">
        <f>IFERROR(VLOOKUP(E235,'(新)ﾍﾞﾝﾀﾞｰ小型'!$A$3:$K$300,2,0), "")</f>
        <v>02月 </v>
      </c>
      <c r="C235" s="7" t="str">
        <f>IFERROR(VLOOKUP(E235,'(新)ﾍﾞﾝﾀﾞｰ小型'!$A$3:$K$300,4,0), "")</f>
        <v>EGB1303E_EXP </v>
      </c>
      <c r="D235" s="7" t="str">
        <f>IFERROR(VLOOKUP(E235,'(新)ﾍﾞﾝﾀﾞｰ小型'!$A$3:$K$300,5,0), "")</f>
        <v> アマダアメリカ </v>
      </c>
      <c r="E235" s="23" t="str">
        <f>'(新)ﾍﾞﾝﾀﾞｰ小型'!A236</f>
        <v> TS13377372 </v>
      </c>
      <c r="F235" s="8" t="str">
        <f>IFERROR(VLOOKUP(E235,'(新)ﾍﾞﾝﾀﾞｰ小型'!$A$3:$K$300,8,0), "")</f>
        <v>0D9825 </v>
      </c>
      <c r="G235" s="7" t="str">
        <f>IFERROR(VLOOKUP(E235,'(旧)ﾍﾞﾝﾀﾞｰ小型'!$A$3:$K$310,10,0),"")</f>
        <v>2027/01/27 </v>
      </c>
      <c r="H235" s="12" t="s">
        <v>60</v>
      </c>
      <c r="I235" s="7" t="str">
        <f>IFERROR(VLOOKUP(E235,'(新)ﾍﾞﾝﾀﾞｰ小型'!$A$3:$K$300,10,0),"")</f>
        <v>2027/01/27 </v>
      </c>
    </row>
    <row r="236" spans="1:9" s="19" customFormat="1" ht="13.8" thickBot="1" x14ac:dyDescent="0.2">
      <c r="A236" s="11">
        <v>235</v>
      </c>
      <c r="B236" s="7" t="str">
        <f>IFERROR(VLOOKUP(E236,'(新)ﾍﾞﾝﾀﾞｰ小型'!$A$3:$K$300,2,0), "")</f>
        <v>02月 </v>
      </c>
      <c r="C236" s="7" t="str">
        <f>IFERROR(VLOOKUP(E236,'(新)ﾍﾞﾝﾀﾞｰ小型'!$A$3:$K$300,4,0), "")</f>
        <v>EGB1303E_EXP </v>
      </c>
      <c r="D236" s="7" t="str">
        <f>IFERROR(VLOOKUP(E236,'(新)ﾍﾞﾝﾀﾞｰ小型'!$A$3:$K$300,5,0), "")</f>
        <v> アマダカナダ </v>
      </c>
      <c r="E236" s="23" t="str">
        <f>'(新)ﾍﾞﾝﾀﾞｰ小型'!A237</f>
        <v> TS13377373 </v>
      </c>
      <c r="F236" s="8" t="str">
        <f>IFERROR(VLOOKUP(E236,'(新)ﾍﾞﾝﾀﾞｰ小型'!$A$3:$K$300,8,0), "")</f>
        <v>0D9825 </v>
      </c>
      <c r="G236" s="7" t="str">
        <f>IFERROR(VLOOKUP(E236,'(旧)ﾍﾞﾝﾀﾞｰ小型'!$A$3:$K$310,10,0),"")</f>
        <v>2027/01/27 </v>
      </c>
      <c r="H236" s="12" t="s">
        <v>60</v>
      </c>
      <c r="I236" s="7" t="str">
        <f>IFERROR(VLOOKUP(E236,'(新)ﾍﾞﾝﾀﾞｰ小型'!$A$3:$K$300,10,0),"")</f>
        <v>2027/01/28 </v>
      </c>
    </row>
    <row r="237" spans="1:9" s="19" customFormat="1" ht="13.8" thickBot="1" x14ac:dyDescent="0.2">
      <c r="A237" s="11">
        <v>236</v>
      </c>
      <c r="B237" s="7" t="str">
        <f>IFERROR(VLOOKUP(E237,'(新)ﾍﾞﾝﾀﾞｰ小型'!$A$3:$K$300,2,0), "")</f>
        <v>02月 </v>
      </c>
      <c r="C237" s="7" t="str">
        <f>IFERROR(VLOOKUP(E237,'(新)ﾍﾞﾝﾀﾞｰ小型'!$A$3:$K$300,4,0), "")</f>
        <v>EGB1303E_EXP </v>
      </c>
      <c r="D237" s="7" t="str">
        <f>IFERROR(VLOOKUP(E237,'(新)ﾍﾞﾝﾀﾞｰ小型'!$A$3:$K$300,5,0), "")</f>
        <v> オーバーシーズ </v>
      </c>
      <c r="E237" s="23" t="str">
        <f>'(新)ﾍﾞﾝﾀﾞｰ小型'!A238</f>
        <v> TS13377374 </v>
      </c>
      <c r="F237" s="8" t="str">
        <f>IFERROR(VLOOKUP(E237,'(新)ﾍﾞﾝﾀﾞｰ小型'!$A$3:$K$300,8,0), "")</f>
        <v>0D9825 </v>
      </c>
      <c r="G237" s="7" t="str">
        <f>IFERROR(VLOOKUP(E237,'(旧)ﾍﾞﾝﾀﾞｰ小型'!$A$3:$K$310,10,0),"")</f>
        <v>2027/01/28 </v>
      </c>
      <c r="H237" s="12" t="s">
        <v>60</v>
      </c>
      <c r="I237" s="7" t="str">
        <f>IFERROR(VLOOKUP(E237,'(新)ﾍﾞﾝﾀﾞｰ小型'!$A$3:$K$300,10,0),"")</f>
        <v>2027/01/28 </v>
      </c>
    </row>
    <row r="238" spans="1:9" s="19" customFormat="1" ht="13.8" thickBot="1" x14ac:dyDescent="0.2">
      <c r="A238" s="11">
        <v>237</v>
      </c>
      <c r="B238" s="7" t="str">
        <f>IFERROR(VLOOKUP(E238,'(新)ﾍﾞﾝﾀﾞｰ小型'!$A$3:$K$300,2,0), "")</f>
        <v>02月 </v>
      </c>
      <c r="C238" s="7" t="str">
        <f>IFERROR(VLOOKUP(E238,'(新)ﾍﾞﾝﾀﾞｰ小型'!$A$3:$K$300,4,0), "")</f>
        <v>EGB1303E_EXP </v>
      </c>
      <c r="D238" s="7" t="str">
        <f>IFERROR(VLOOKUP(E238,'(新)ﾍﾞﾝﾀﾞｰ小型'!$A$3:$K$300,5,0), "")</f>
        <v> アマダタイランド </v>
      </c>
      <c r="E238" s="23" t="str">
        <f>'(新)ﾍﾞﾝﾀﾞｰ小型'!A239</f>
        <v> TS13377375 </v>
      </c>
      <c r="F238" s="8" t="str">
        <f>IFERROR(VLOOKUP(E238,'(新)ﾍﾞﾝﾀﾞｰ小型'!$A$3:$K$300,8,0), "")</f>
        <v>0D9825 </v>
      </c>
      <c r="G238" s="7" t="str">
        <f>IFERROR(VLOOKUP(E238,'(旧)ﾍﾞﾝﾀﾞｰ小型'!$A$3:$K$310,10,0),"")</f>
        <v>2027/01/28 </v>
      </c>
      <c r="H238" s="12" t="s">
        <v>60</v>
      </c>
      <c r="I238" s="7" t="str">
        <f>IFERROR(VLOOKUP(E238,'(新)ﾍﾞﾝﾀﾞｰ小型'!$A$3:$K$300,10,0),"")</f>
        <v>2027/01/29 </v>
      </c>
    </row>
    <row r="239" spans="1:9" s="19" customFormat="1" ht="13.8" thickBot="1" x14ac:dyDescent="0.2">
      <c r="A239" s="11">
        <v>238</v>
      </c>
      <c r="B239" s="7" t="str">
        <f>IFERROR(VLOOKUP(E239,'(新)ﾍﾞﾝﾀﾞｰ小型'!$A$3:$K$300,2,0), "")</f>
        <v>02月 </v>
      </c>
      <c r="C239" s="7" t="str">
        <f>IFERROR(VLOOKUP(E239,'(新)ﾍﾞﾝﾀﾞｰ小型'!$A$3:$K$300,4,0), "")</f>
        <v>EGB8025E_EXP </v>
      </c>
      <c r="D239" s="7" t="str">
        <f>IFERROR(VLOOKUP(E239,'(新)ﾍﾞﾝﾀﾞｰ小型'!$A$3:$K$300,5,0), "")</f>
        <v> 【AAI】Schneider MX </v>
      </c>
      <c r="E239" s="23" t="str">
        <f>'(新)ﾍﾞﾝﾀﾞｰ小型'!A240</f>
        <v> TS82577280 </v>
      </c>
      <c r="F239" s="8" t="str">
        <f>IFERROR(VLOOKUP(E239,'(新)ﾍﾞﾝﾀﾞｰ小型'!$A$3:$K$300,8,0), "")</f>
        <v>0E1858 </v>
      </c>
      <c r="G239" s="7" t="str">
        <f>IFERROR(VLOOKUP(E239,'(旧)ﾍﾞﾝﾀﾞｰ小型'!$A$3:$K$310,10,0),"")</f>
        <v>2027/01/29 </v>
      </c>
      <c r="H239" s="12" t="s">
        <v>60</v>
      </c>
      <c r="I239" s="7" t="str">
        <f>IFERROR(VLOOKUP(E239,'(新)ﾍﾞﾝﾀﾞｰ小型'!$A$3:$K$300,10,0),"")</f>
        <v>2027/01/29 </v>
      </c>
    </row>
    <row r="240" spans="1:9" s="19" customFormat="1" ht="13.8" thickBot="1" x14ac:dyDescent="0.2">
      <c r="A240" s="11">
        <v>239</v>
      </c>
      <c r="B240" s="7" t="str">
        <f>IFERROR(VLOOKUP(E240,'(新)ﾍﾞﾝﾀﾞｰ小型'!$A$3:$K$300,2,0), "")</f>
        <v>02月 </v>
      </c>
      <c r="C240" s="7" t="str">
        <f>IFERROR(VLOOKUP(E240,'(新)ﾍﾞﾝﾀﾞｰ小型'!$A$3:$K$300,4,0), "")</f>
        <v>EGB8025E_EXP </v>
      </c>
      <c r="D240" s="7" t="str">
        <f>IFERROR(VLOOKUP(E240,'(新)ﾍﾞﾝﾀﾞｰ小型'!$A$3:$K$300,5,0), "")</f>
        <v> 【AAI】Schneider MX </v>
      </c>
      <c r="E240" s="23" t="str">
        <f>'(新)ﾍﾞﾝﾀﾞｰ小型'!A241</f>
        <v> TS82577281 </v>
      </c>
      <c r="F240" s="8" t="str">
        <f>IFERROR(VLOOKUP(E240,'(新)ﾍﾞﾝﾀﾞｰ小型'!$A$3:$K$300,8,0), "")</f>
        <v>0E1858 </v>
      </c>
      <c r="G240" s="7" t="str">
        <f>IFERROR(VLOOKUP(E240,'(旧)ﾍﾞﾝﾀﾞｰ小型'!$A$3:$K$310,10,0),"")</f>
        <v>2027/01/29 </v>
      </c>
      <c r="H240" s="12" t="s">
        <v>60</v>
      </c>
      <c r="I240" s="7" t="str">
        <f>IFERROR(VLOOKUP(E240,'(新)ﾍﾞﾝﾀﾞｰ小型'!$A$3:$K$300,10,0),"")</f>
        <v>2027/01/30 </v>
      </c>
    </row>
    <row r="241" spans="1:9" s="19" customFormat="1" ht="13.8" thickBot="1" x14ac:dyDescent="0.2">
      <c r="A241" s="11">
        <v>240</v>
      </c>
      <c r="B241" s="7" t="str">
        <f>IFERROR(VLOOKUP(E241,'(新)ﾍﾞﾝﾀﾞｰ小型'!$A$3:$K$300,2,0), "")</f>
        <v>02月 </v>
      </c>
      <c r="C241" s="7" t="str">
        <f>IFERROR(VLOOKUP(E241,'(新)ﾍﾞﾝﾀﾞｰ小型'!$A$3:$K$300,4,0), "")</f>
        <v>EGB8025E_EXP </v>
      </c>
      <c r="D241" s="7" t="str">
        <f>IFERROR(VLOOKUP(E241,'(新)ﾍﾞﾝﾀﾞｰ小型'!$A$3:$K$300,5,0), "")</f>
        <v> アマダアメリカ </v>
      </c>
      <c r="E241" s="23" t="str">
        <f>'(新)ﾍﾞﾝﾀﾞｰ小型'!A242</f>
        <v> TS82577327 </v>
      </c>
      <c r="F241" s="8" t="str">
        <f>IFERROR(VLOOKUP(E241,'(新)ﾍﾞﾝﾀﾞｰ小型'!$A$3:$K$300,8,0), "")</f>
        <v>0E1858 </v>
      </c>
      <c r="G241" s="7" t="str">
        <f>IFERROR(VLOOKUP(E241,'(旧)ﾍﾞﾝﾀﾞｰ小型'!$A$3:$K$310,10,0),"")</f>
        <v>2027/01/30 </v>
      </c>
      <c r="H241" s="12" t="s">
        <v>60</v>
      </c>
      <c r="I241" s="7" t="str">
        <f>IFERROR(VLOOKUP(E241,'(新)ﾍﾞﾝﾀﾞｰ小型'!$A$3:$K$300,10,0),"")</f>
        <v>2027/01/30 </v>
      </c>
    </row>
    <row r="242" spans="1:9" s="19" customFormat="1" ht="13.8" thickBot="1" x14ac:dyDescent="0.2">
      <c r="A242" s="11">
        <v>241</v>
      </c>
      <c r="B242" s="7" t="str">
        <f>IFERROR(VLOOKUP(E242,'(新)ﾍﾞﾝﾀﾞｰ小型'!$A$3:$K$300,2,0), "")</f>
        <v>02月 </v>
      </c>
      <c r="C242" s="7" t="str">
        <f>IFERROR(VLOOKUP(E242,'(新)ﾍﾞﾝﾀﾞｰ小型'!$A$3:$K$300,4,0), "")</f>
        <v>EGB1303E_EXP </v>
      </c>
      <c r="D242" s="7" t="str">
        <f>IFERROR(VLOOKUP(E242,'(新)ﾍﾞﾝﾀﾞｰ小型'!$A$3:$K$300,5,0), "")</f>
        <v> 台湾 </v>
      </c>
      <c r="E242" s="23" t="str">
        <f>'(新)ﾍﾞﾝﾀﾞｰ小型'!A243</f>
        <v> TS13377376 </v>
      </c>
      <c r="F242" s="8" t="str">
        <f>IFERROR(VLOOKUP(E242,'(新)ﾍﾞﾝﾀﾞｰ小型'!$A$3:$K$300,8,0), "")</f>
        <v>0D9825 </v>
      </c>
      <c r="G242" s="7" t="str">
        <f>IFERROR(VLOOKUP(E242,'(旧)ﾍﾞﾝﾀﾞｰ小型'!$A$3:$K$310,10,0),"")</f>
        <v>2027/01/30 </v>
      </c>
      <c r="H242" s="12" t="s">
        <v>60</v>
      </c>
      <c r="I242" s="7" t="str">
        <f>IFERROR(VLOOKUP(E242,'(新)ﾍﾞﾝﾀﾞｰ小型'!$A$3:$K$300,10,0),"")</f>
        <v>2027/02/02 </v>
      </c>
    </row>
    <row r="243" spans="1:9" s="19" customFormat="1" ht="13.8" thickBot="1" x14ac:dyDescent="0.2">
      <c r="A243" s="11">
        <v>242</v>
      </c>
      <c r="B243" s="7" t="str">
        <f>IFERROR(VLOOKUP(E243,'(新)ﾍﾞﾝﾀﾞｰ小型'!$A$3:$K$300,2,0), "")</f>
        <v>02月 </v>
      </c>
      <c r="C243" s="7" t="str">
        <f>IFERROR(VLOOKUP(E243,'(新)ﾍﾞﾝﾀﾞｰ小型'!$A$3:$K$300,4,0), "")</f>
        <v>EGB8025E </v>
      </c>
      <c r="D243" s="7" t="str">
        <f>IFERROR(VLOOKUP(E243,'(新)ﾍﾞﾝﾀﾞｰ小型'!$A$3:$K$300,5,0), "")</f>
        <v> （株）マエショウ </v>
      </c>
      <c r="E243" s="23" t="str">
        <f>'(新)ﾍﾞﾝﾀﾞｰ小型'!A244</f>
        <v> TS82577322 </v>
      </c>
      <c r="F243" s="8" t="str">
        <f>IFERROR(VLOOKUP(E243,'(新)ﾍﾞﾝﾀﾞｰ小型'!$A$3:$K$300,8,0), "")</f>
        <v>0E1240 </v>
      </c>
      <c r="G243" s="7" t="str">
        <f>IFERROR(VLOOKUP(E243,'(旧)ﾍﾞﾝﾀﾞｰ小型'!$A$3:$K$310,10,0),"")</f>
        <v>2027/02/02 </v>
      </c>
      <c r="H243" s="12" t="s">
        <v>60</v>
      </c>
      <c r="I243" s="7" t="str">
        <f>IFERROR(VLOOKUP(E243,'(新)ﾍﾞﾝﾀﾞｰ小型'!$A$3:$K$300,10,0),"")</f>
        <v>2027/02/02 </v>
      </c>
    </row>
    <row r="244" spans="1:9" s="19" customFormat="1" ht="13.8" thickBot="1" x14ac:dyDescent="0.2">
      <c r="A244" s="11">
        <v>243</v>
      </c>
      <c r="B244" s="7" t="str">
        <f>IFERROR(VLOOKUP(E244,'(新)ﾍﾞﾝﾀﾞｰ小型'!$A$3:$K$300,2,0), "")</f>
        <v>02月 </v>
      </c>
      <c r="C244" s="7" t="str">
        <f>IFERROR(VLOOKUP(E244,'(新)ﾍﾞﾝﾀﾞｰ小型'!$A$3:$K$300,4,0), "")</f>
        <v>EGB8025E_EXP </v>
      </c>
      <c r="D244" s="7" t="str">
        <f>IFERROR(VLOOKUP(E244,'(新)ﾍﾞﾝﾀﾞｰ小型'!$A$3:$K$300,5,0), "")</f>
        <v> 韓国 </v>
      </c>
      <c r="E244" s="23" t="str">
        <f>'(新)ﾍﾞﾝﾀﾞｰ小型'!A245</f>
        <v> TS82577338 </v>
      </c>
      <c r="F244" s="8" t="str">
        <f>IFERROR(VLOOKUP(E244,'(新)ﾍﾞﾝﾀﾞｰ小型'!$A$3:$K$300,8,0), "")</f>
        <v>0E1858 </v>
      </c>
      <c r="G244" s="7" t="str">
        <f>IFERROR(VLOOKUP(E244,'(旧)ﾍﾞﾝﾀﾞｰ小型'!$A$3:$K$310,10,0),"")</f>
        <v>2027/02/03 </v>
      </c>
      <c r="H244" s="12" t="s">
        <v>60</v>
      </c>
      <c r="I244" s="7" t="str">
        <f>IFERROR(VLOOKUP(E244,'(新)ﾍﾞﾝﾀﾞｰ小型'!$A$3:$K$300,10,0),"")</f>
        <v>2027/02/03 </v>
      </c>
    </row>
    <row r="245" spans="1:9" s="19" customFormat="1" ht="13.8" thickBot="1" x14ac:dyDescent="0.2">
      <c r="A245" s="11">
        <v>244</v>
      </c>
      <c r="B245" s="7" t="str">
        <f>IFERROR(VLOOKUP(E245,'(新)ﾍﾞﾝﾀﾞｰ小型'!$A$3:$K$300,2,0), "")</f>
        <v>02月 </v>
      </c>
      <c r="C245" s="7" t="str">
        <f>IFERROR(VLOOKUP(E245,'(新)ﾍﾞﾝﾀﾞｰ小型'!$A$3:$K$300,4,0), "")</f>
        <v>EGB8025E_EXP </v>
      </c>
      <c r="D245" s="7" t="str">
        <f>IFERROR(VLOOKUP(E245,'(新)ﾍﾞﾝﾀﾞｰ小型'!$A$3:$K$300,5,0), "")</f>
        <v> オーバーシーズ </v>
      </c>
      <c r="E245" s="23" t="str">
        <f>'(新)ﾍﾞﾝﾀﾞｰ小型'!A246</f>
        <v> TS82577339 </v>
      </c>
      <c r="F245" s="8" t="str">
        <f>IFERROR(VLOOKUP(E245,'(新)ﾍﾞﾝﾀﾞｰ小型'!$A$3:$K$300,8,0), "")</f>
        <v>0E1858 </v>
      </c>
      <c r="G245" s="7" t="str">
        <f>IFERROR(VLOOKUP(E245,'(旧)ﾍﾞﾝﾀﾞｰ小型'!$A$3:$K$310,10,0),"")</f>
        <v>2027/02/03 </v>
      </c>
      <c r="H245" s="12" t="s">
        <v>60</v>
      </c>
      <c r="I245" s="7" t="str">
        <f>IFERROR(VLOOKUP(E245,'(新)ﾍﾞﾝﾀﾞｰ小型'!$A$3:$K$300,10,0),"")</f>
        <v>2027/02/03 </v>
      </c>
    </row>
    <row r="246" spans="1:9" s="19" customFormat="1" ht="13.8" thickBot="1" x14ac:dyDescent="0.2">
      <c r="A246" s="11">
        <v>245</v>
      </c>
      <c r="B246" s="7" t="str">
        <f>IFERROR(VLOOKUP(E246,'(新)ﾍﾞﾝﾀﾞｰ小型'!$A$3:$K$300,2,0), "")</f>
        <v>02月 </v>
      </c>
      <c r="C246" s="7" t="str">
        <f>IFERROR(VLOOKUP(E246,'(新)ﾍﾞﾝﾀﾞｰ小型'!$A$3:$K$300,4,0), "")</f>
        <v>EGB8025E_EXP </v>
      </c>
      <c r="D246" s="7" t="str">
        <f>IFERROR(VLOOKUP(E246,'(新)ﾍﾞﾝﾀﾞｰ小型'!$A$3:$K$300,5,0), "")</f>
        <v> ベトナム </v>
      </c>
      <c r="E246" s="23" t="str">
        <f>'(新)ﾍﾞﾝﾀﾞｰ小型'!A247</f>
        <v> TS82577341 </v>
      </c>
      <c r="F246" s="8" t="str">
        <f>IFERROR(VLOOKUP(E246,'(新)ﾍﾞﾝﾀﾞｰ小型'!$A$3:$K$300,8,0), "")</f>
        <v>0E1858 </v>
      </c>
      <c r="G246" s="7" t="str">
        <f>IFERROR(VLOOKUP(E246,'(旧)ﾍﾞﾝﾀﾞｰ小型'!$A$3:$K$310,10,0),"")</f>
        <v>2027/02/04 </v>
      </c>
      <c r="H246" s="12" t="s">
        <v>60</v>
      </c>
      <c r="I246" s="7" t="str">
        <f>IFERROR(VLOOKUP(E246,'(新)ﾍﾞﾝﾀﾞｰ小型'!$A$3:$K$300,10,0),"")</f>
        <v>2027/02/04 </v>
      </c>
    </row>
    <row r="247" spans="1:9" s="19" customFormat="1" ht="13.8" thickBot="1" x14ac:dyDescent="0.2">
      <c r="A247" s="11">
        <v>246</v>
      </c>
      <c r="B247" s="7" t="str">
        <f>IFERROR(VLOOKUP(E247,'(新)ﾍﾞﾝﾀﾞｰ小型'!$A$3:$K$300,2,0), "")</f>
        <v>02月 </v>
      </c>
      <c r="C247" s="7" t="str">
        <f>IFERROR(VLOOKUP(E247,'(新)ﾍﾞﾝﾀﾞｰ小型'!$A$3:$K$300,4,0), "")</f>
        <v>EGB8025E_EXP </v>
      </c>
      <c r="D247" s="7" t="str">
        <f>IFERROR(VLOOKUP(E247,'(新)ﾍﾞﾝﾀﾞｰ小型'!$A$3:$K$300,5,0), "")</f>
        <v> ベトナム </v>
      </c>
      <c r="E247" s="23" t="str">
        <f>'(新)ﾍﾞﾝﾀﾞｰ小型'!A248</f>
        <v> TS82577340 </v>
      </c>
      <c r="F247" s="8" t="str">
        <f>IFERROR(VLOOKUP(E247,'(新)ﾍﾞﾝﾀﾞｰ小型'!$A$3:$K$300,8,0), "")</f>
        <v>0E1858 </v>
      </c>
      <c r="G247" s="7" t="str">
        <f>IFERROR(VLOOKUP(E247,'(旧)ﾍﾞﾝﾀﾞｰ小型'!$A$3:$K$310,10,0),"")</f>
        <v>2027/02/04 </v>
      </c>
      <c r="H247" s="12" t="s">
        <v>60</v>
      </c>
      <c r="I247" s="7" t="str">
        <f>IFERROR(VLOOKUP(E247,'(新)ﾍﾞﾝﾀﾞｰ小型'!$A$3:$K$300,10,0),"")</f>
        <v>2027/02/04 </v>
      </c>
    </row>
    <row r="248" spans="1:9" s="19" customFormat="1" ht="13.8" thickBot="1" x14ac:dyDescent="0.2">
      <c r="A248" s="11">
        <v>247</v>
      </c>
      <c r="B248" s="7" t="str">
        <f>IFERROR(VLOOKUP(E248,'(新)ﾍﾞﾝﾀﾞｰ小型'!$A$3:$K$300,2,0), "")</f>
        <v>02月 </v>
      </c>
      <c r="C248" s="7" t="str">
        <f>IFERROR(VLOOKUP(E248,'(新)ﾍﾞﾝﾀﾞｰ小型'!$A$3:$K$300,4,0), "")</f>
        <v>EGB6020E </v>
      </c>
      <c r="D248" s="7" t="str">
        <f>IFERROR(VLOOKUP(E248,'(新)ﾍﾞﾝﾀﾞｰ小型'!$A$3:$K$300,5,0), "")</f>
        <v>  </v>
      </c>
      <c r="E248" s="23" t="str">
        <f>'(新)ﾍﾞﾝﾀﾞｰ小型'!A249</f>
        <v> TS62077184 </v>
      </c>
      <c r="F248" s="8" t="str">
        <f>IFERROR(VLOOKUP(E248,'(新)ﾍﾞﾝﾀﾞｰ小型'!$A$3:$K$300,8,0), "")</f>
        <v>0D7255 </v>
      </c>
      <c r="G248" s="7" t="str">
        <f>IFERROR(VLOOKUP(E248,'(旧)ﾍﾞﾝﾀﾞｰ小型'!$A$3:$K$310,10,0),"")</f>
        <v>2027/02/05 </v>
      </c>
      <c r="H248" s="12" t="s">
        <v>60</v>
      </c>
      <c r="I248" s="7" t="str">
        <f>IFERROR(VLOOKUP(E248,'(新)ﾍﾞﾝﾀﾞｰ小型'!$A$3:$K$300,10,0),"")</f>
        <v>2027/02/05 </v>
      </c>
    </row>
    <row r="249" spans="1:9" s="19" customFormat="1" ht="13.8" thickBot="1" x14ac:dyDescent="0.2">
      <c r="A249" s="11">
        <v>248</v>
      </c>
      <c r="B249" s="7" t="str">
        <f>IFERROR(VLOOKUP(E249,'(新)ﾍﾞﾝﾀﾞｰ小型'!$A$3:$K$300,2,0), "")</f>
        <v>02月 </v>
      </c>
      <c r="C249" s="7" t="str">
        <f>IFERROR(VLOOKUP(E249,'(新)ﾍﾞﾝﾀﾞｰ小型'!$A$3:$K$300,4,0), "")</f>
        <v>EGB6020E </v>
      </c>
      <c r="D249" s="7" t="str">
        <f>IFERROR(VLOOKUP(E249,'(新)ﾍﾞﾝﾀﾞｰ小型'!$A$3:$K$300,5,0), "")</f>
        <v>  </v>
      </c>
      <c r="E249" s="23" t="str">
        <f>'(新)ﾍﾞﾝﾀﾞｰ小型'!A250</f>
        <v> TS62077190 </v>
      </c>
      <c r="F249" s="8" t="str">
        <f>IFERROR(VLOOKUP(E249,'(新)ﾍﾞﾝﾀﾞｰ小型'!$A$3:$K$300,8,0), "")</f>
        <v>0D7255 </v>
      </c>
      <c r="G249" s="7" t="str">
        <f>IFERROR(VLOOKUP(E249,'(旧)ﾍﾞﾝﾀﾞｰ小型'!$A$3:$K$310,10,0),"")</f>
        <v>2027/02/05 </v>
      </c>
      <c r="H249" s="12" t="s">
        <v>60</v>
      </c>
      <c r="I249" s="7" t="str">
        <f>IFERROR(VLOOKUP(E249,'(新)ﾍﾞﾝﾀﾞｰ小型'!$A$3:$K$300,10,0),"")</f>
        <v>2027/02/05 </v>
      </c>
    </row>
    <row r="250" spans="1:9" s="19" customFormat="1" ht="13.8" thickBot="1" x14ac:dyDescent="0.2">
      <c r="A250" s="11">
        <v>249</v>
      </c>
      <c r="B250" s="7" t="str">
        <f>IFERROR(VLOOKUP(E250,'(新)ﾍﾞﾝﾀﾞｰ小型'!$A$3:$K$300,2,0), "")</f>
        <v>02月 </v>
      </c>
      <c r="C250" s="7" t="str">
        <f>IFERROR(VLOOKUP(E250,'(新)ﾍﾞﾝﾀﾞｰ小型'!$A$3:$K$300,4,0), "")</f>
        <v>EGB1303E </v>
      </c>
      <c r="D250" s="7" t="str">
        <f>IFERROR(VLOOKUP(E250,'(新)ﾍﾞﾝﾀﾞｰ小型'!$A$3:$K$300,5,0), "")</f>
        <v>  </v>
      </c>
      <c r="E250" s="23" t="str">
        <f>'(新)ﾍﾞﾝﾀﾞｰ小型'!A251</f>
        <v> TS13377359 </v>
      </c>
      <c r="F250" s="8" t="str">
        <f>IFERROR(VLOOKUP(E250,'(新)ﾍﾞﾝﾀﾞｰ小型'!$A$3:$K$300,8,0), "")</f>
        <v>0D9824 </v>
      </c>
      <c r="G250" s="7" t="str">
        <f>IFERROR(VLOOKUP(E250,'(旧)ﾍﾞﾝﾀﾞｰ小型'!$A$3:$K$310,10,0),"")</f>
        <v>2027/02/06 </v>
      </c>
      <c r="H250" s="12" t="s">
        <v>60</v>
      </c>
      <c r="I250" s="7" t="str">
        <f>IFERROR(VLOOKUP(E250,'(新)ﾍﾞﾝﾀﾞｰ小型'!$A$3:$K$300,10,0),"")</f>
        <v>2027/02/06 </v>
      </c>
    </row>
    <row r="251" spans="1:9" s="19" customFormat="1" ht="13.8" thickBot="1" x14ac:dyDescent="0.2">
      <c r="A251" s="11">
        <v>250</v>
      </c>
      <c r="B251" s="7" t="str">
        <f>IFERROR(VLOOKUP(E251,'(新)ﾍﾞﾝﾀﾞｰ小型'!$A$3:$K$300,2,0), "")</f>
        <v>02月 </v>
      </c>
      <c r="C251" s="7" t="str">
        <f>IFERROR(VLOOKUP(E251,'(新)ﾍﾞﾝﾀﾞｰ小型'!$A$3:$K$300,4,0), "")</f>
        <v>EGB1303E </v>
      </c>
      <c r="D251" s="7" t="str">
        <f>IFERROR(VLOOKUP(E251,'(新)ﾍﾞﾝﾀﾞｰ小型'!$A$3:$K$300,5,0), "")</f>
        <v>  </v>
      </c>
      <c r="E251" s="23" t="str">
        <f>'(新)ﾍﾞﾝﾀﾞｰ小型'!A252</f>
        <v> TS13377360 </v>
      </c>
      <c r="F251" s="8" t="str">
        <f>IFERROR(VLOOKUP(E251,'(新)ﾍﾞﾝﾀﾞｰ小型'!$A$3:$K$300,8,0), "")</f>
        <v>0D9824 </v>
      </c>
      <c r="G251" s="7" t="str">
        <f>IFERROR(VLOOKUP(E251,'(旧)ﾍﾞﾝﾀﾞｰ小型'!$A$3:$K$310,10,0),"")</f>
        <v>2027/02/06 </v>
      </c>
      <c r="H251" s="12" t="s">
        <v>60</v>
      </c>
      <c r="I251" s="7" t="str">
        <f>IFERROR(VLOOKUP(E251,'(新)ﾍﾞﾝﾀﾞｰ小型'!$A$3:$K$300,10,0),"")</f>
        <v>2027/02/06 </v>
      </c>
    </row>
    <row r="252" spans="1:9" s="19" customFormat="1" ht="13.8" thickBot="1" x14ac:dyDescent="0.2">
      <c r="A252" s="11">
        <v>251</v>
      </c>
      <c r="B252" s="7" t="str">
        <f>IFERROR(VLOOKUP(E252,'(新)ﾍﾞﾝﾀﾞｰ小型'!$A$3:$K$300,2,0), "")</f>
        <v>02月 </v>
      </c>
      <c r="C252" s="7" t="str">
        <f>IFERROR(VLOOKUP(E252,'(新)ﾍﾞﾝﾀﾞｰ小型'!$A$3:$K$300,4,0), "")</f>
        <v>EGB1303E </v>
      </c>
      <c r="D252" s="7" t="str">
        <f>IFERROR(VLOOKUP(E252,'(新)ﾍﾞﾝﾀﾞｰ小型'!$A$3:$K$300,5,0), "")</f>
        <v> 東芝エレベータ（株） </v>
      </c>
      <c r="E252" s="23" t="str">
        <f>'(新)ﾍﾞﾝﾀﾞｰ小型'!A253</f>
        <v> TS13377370 </v>
      </c>
      <c r="F252" s="8" t="str">
        <f>IFERROR(VLOOKUP(E252,'(新)ﾍﾞﾝﾀﾞｰ小型'!$A$3:$K$300,8,0), "")</f>
        <v>0D9824 </v>
      </c>
      <c r="G252" s="7" t="str">
        <f>IFERROR(VLOOKUP(E252,'(旧)ﾍﾞﾝﾀﾞｰ小型'!$A$3:$K$310,10,0),"")</f>
        <v>2027/02/09 </v>
      </c>
      <c r="H252" s="12" t="s">
        <v>60</v>
      </c>
      <c r="I252" s="7" t="str">
        <f>IFERROR(VLOOKUP(E252,'(新)ﾍﾞﾝﾀﾞｰ小型'!$A$3:$K$300,10,0),"")</f>
        <v>2027/02/09 </v>
      </c>
    </row>
    <row r="253" spans="1:9" s="19" customFormat="1" ht="13.8" thickBot="1" x14ac:dyDescent="0.2">
      <c r="A253" s="11">
        <v>252</v>
      </c>
      <c r="B253" s="7" t="str">
        <f>IFERROR(VLOOKUP(E253,'(新)ﾍﾞﾝﾀﾞｰ小型'!$A$3:$K$300,2,0), "")</f>
        <v>02月 </v>
      </c>
      <c r="C253" s="7" t="str">
        <f>IFERROR(VLOOKUP(E253,'(新)ﾍﾞﾝﾀﾞｰ小型'!$A$3:$K$300,4,0), "")</f>
        <v>EGB1303E </v>
      </c>
      <c r="D253" s="7" t="str">
        <f>IFERROR(VLOOKUP(E253,'(新)ﾍﾞﾝﾀﾞｰ小型'!$A$3:$K$300,5,0), "")</f>
        <v>  </v>
      </c>
      <c r="E253" s="23" t="str">
        <f>'(新)ﾍﾞﾝﾀﾞｰ小型'!A254</f>
        <v> TS13377371 </v>
      </c>
      <c r="F253" s="8" t="str">
        <f>IFERROR(VLOOKUP(E253,'(新)ﾍﾞﾝﾀﾞｰ小型'!$A$3:$K$300,8,0), "")</f>
        <v>0D9824 </v>
      </c>
      <c r="G253" s="7" t="str">
        <f>IFERROR(VLOOKUP(E253,'(旧)ﾍﾞﾝﾀﾞｰ小型'!$A$3:$K$310,10,0),"")</f>
        <v>2027/02/09 </v>
      </c>
      <c r="H253" s="12" t="s">
        <v>60</v>
      </c>
      <c r="I253" s="7" t="str">
        <f>IFERROR(VLOOKUP(E253,'(新)ﾍﾞﾝﾀﾞｰ小型'!$A$3:$K$300,10,0),"")</f>
        <v>2027/02/09 </v>
      </c>
    </row>
    <row r="254" spans="1:9" s="19" customFormat="1" ht="13.8" thickBot="1" x14ac:dyDescent="0.2">
      <c r="A254" s="11">
        <v>253</v>
      </c>
      <c r="B254" s="7" t="str">
        <f>IFERROR(VLOOKUP(E254,'(新)ﾍﾞﾝﾀﾞｰ小型'!$A$3:$K$300,2,0), "")</f>
        <v>02月 </v>
      </c>
      <c r="C254" s="7" t="str">
        <f>IFERROR(VLOOKUP(E254,'(新)ﾍﾞﾝﾀﾞｰ小型'!$A$3:$K$300,4,0), "")</f>
        <v>EGB8025E </v>
      </c>
      <c r="D254" s="7" t="str">
        <f>IFERROR(VLOOKUP(E254,'(新)ﾍﾞﾝﾀﾞｰ小型'!$A$3:$K$300,5,0), "")</f>
        <v>  </v>
      </c>
      <c r="E254" s="23" t="str">
        <f>'(新)ﾍﾞﾝﾀﾞｰ小型'!A255</f>
        <v> TS82577318 </v>
      </c>
      <c r="F254" s="8" t="str">
        <f>IFERROR(VLOOKUP(E254,'(新)ﾍﾞﾝﾀﾞｰ小型'!$A$3:$K$300,8,0), "")</f>
        <v>0E1240 </v>
      </c>
      <c r="G254" s="7" t="str">
        <f>IFERROR(VLOOKUP(E254,'(旧)ﾍﾞﾝﾀﾞｰ小型'!$A$3:$K$310,10,0),"")</f>
        <v>2027/02/10 </v>
      </c>
      <c r="H254" s="12" t="s">
        <v>60</v>
      </c>
      <c r="I254" s="7" t="str">
        <f>IFERROR(VLOOKUP(E254,'(新)ﾍﾞﾝﾀﾞｰ小型'!$A$3:$K$300,10,0),"")</f>
        <v>2027/02/10 </v>
      </c>
    </row>
    <row r="255" spans="1:9" s="19" customFormat="1" ht="13.8" thickBot="1" x14ac:dyDescent="0.2">
      <c r="A255" s="11">
        <v>254</v>
      </c>
      <c r="B255" s="7" t="str">
        <f>IFERROR(VLOOKUP(E255,'(新)ﾍﾞﾝﾀﾞｰ小型'!$A$3:$K$300,2,0), "")</f>
        <v>02月 </v>
      </c>
      <c r="C255" s="7" t="str">
        <f>IFERROR(VLOOKUP(E255,'(新)ﾍﾞﾝﾀﾞｰ小型'!$A$3:$K$300,4,0), "")</f>
        <v>EGB8025E </v>
      </c>
      <c r="D255" s="7" t="str">
        <f>IFERROR(VLOOKUP(E255,'(新)ﾍﾞﾝﾀﾞｰ小型'!$A$3:$K$300,5,0), "")</f>
        <v>  </v>
      </c>
      <c r="E255" s="23" t="str">
        <f>'(新)ﾍﾞﾝﾀﾞｰ小型'!A256</f>
        <v> TS82577323 </v>
      </c>
      <c r="F255" s="8" t="str">
        <f>IFERROR(VLOOKUP(E255,'(新)ﾍﾞﾝﾀﾞｰ小型'!$A$3:$K$300,8,0), "")</f>
        <v>0E1240 </v>
      </c>
      <c r="G255" s="7" t="str">
        <f>IFERROR(VLOOKUP(E255,'(旧)ﾍﾞﾝﾀﾞｰ小型'!$A$3:$K$310,10,0),"")</f>
        <v>2027/02/10 </v>
      </c>
      <c r="H255" s="12" t="s">
        <v>60</v>
      </c>
      <c r="I255" s="7" t="str">
        <f>IFERROR(VLOOKUP(E255,'(新)ﾍﾞﾝﾀﾞｰ小型'!$A$3:$K$300,10,0),"")</f>
        <v>2027/02/10 </v>
      </c>
    </row>
    <row r="256" spans="1:9" s="19" customFormat="1" ht="13.8" thickBot="1" x14ac:dyDescent="0.2">
      <c r="A256" s="11">
        <v>255</v>
      </c>
      <c r="B256" s="7" t="str">
        <f>IFERROR(VLOOKUP(E256,'(新)ﾍﾞﾝﾀﾞｰ小型'!$A$3:$K$300,2,0), "")</f>
        <v>02月 </v>
      </c>
      <c r="C256" s="7" t="str">
        <f>IFERROR(VLOOKUP(E256,'(新)ﾍﾞﾝﾀﾞｰ小型'!$A$3:$K$300,4,0), "")</f>
        <v>EGB8025E </v>
      </c>
      <c r="D256" s="7" t="str">
        <f>IFERROR(VLOOKUP(E256,'(新)ﾍﾞﾝﾀﾞｰ小型'!$A$3:$K$300,5,0), "")</f>
        <v>  </v>
      </c>
      <c r="E256" s="23" t="str">
        <f>'(新)ﾍﾞﾝﾀﾞｰ小型'!A257</f>
        <v> TS82577324 </v>
      </c>
      <c r="F256" s="8" t="str">
        <f>IFERROR(VLOOKUP(E256,'(新)ﾍﾞﾝﾀﾞｰ小型'!$A$3:$K$300,8,0), "")</f>
        <v>0E1240 </v>
      </c>
      <c r="G256" s="7" t="str">
        <f>IFERROR(VLOOKUP(E256,'(旧)ﾍﾞﾝﾀﾞｰ小型'!$A$3:$K$310,10,0),"")</f>
        <v>2027/02/12 </v>
      </c>
      <c r="H256" s="12" t="s">
        <v>60</v>
      </c>
      <c r="I256" s="7" t="str">
        <f>IFERROR(VLOOKUP(E256,'(新)ﾍﾞﾝﾀﾞｰ小型'!$A$3:$K$300,10,0),"")</f>
        <v>2027/02/12 </v>
      </c>
    </row>
    <row r="257" spans="1:9" s="19" customFormat="1" ht="13.8" thickBot="1" x14ac:dyDescent="0.2">
      <c r="A257" s="11">
        <v>256</v>
      </c>
      <c r="B257" s="7" t="str">
        <f>IFERROR(VLOOKUP(E257,'(新)ﾍﾞﾝﾀﾞｰ小型'!$A$3:$K$300,2,0), "")</f>
        <v>02月 </v>
      </c>
      <c r="C257" s="7" t="str">
        <f>IFERROR(VLOOKUP(E257,'(新)ﾍﾞﾝﾀﾞｰ小型'!$A$3:$K$300,4,0), "")</f>
        <v>EGB8025E </v>
      </c>
      <c r="D257" s="7" t="str">
        <f>IFERROR(VLOOKUP(E257,'(新)ﾍﾞﾝﾀﾞｰ小型'!$A$3:$K$300,5,0), "")</f>
        <v>  </v>
      </c>
      <c r="E257" s="23" t="str">
        <f>'(新)ﾍﾞﾝﾀﾞｰ小型'!A258</f>
        <v> TS82577325 </v>
      </c>
      <c r="F257" s="8" t="str">
        <f>IFERROR(VLOOKUP(E257,'(新)ﾍﾞﾝﾀﾞｰ小型'!$A$3:$K$300,8,0), "")</f>
        <v>0E1240 </v>
      </c>
      <c r="G257" s="7" t="str">
        <f>IFERROR(VLOOKUP(E257,'(旧)ﾍﾞﾝﾀﾞｰ小型'!$A$3:$K$310,10,0),"")</f>
        <v>2027/02/12 </v>
      </c>
      <c r="H257" s="12" t="s">
        <v>60</v>
      </c>
      <c r="I257" s="7" t="str">
        <f>IFERROR(VLOOKUP(E257,'(新)ﾍﾞﾝﾀﾞｰ小型'!$A$3:$K$300,10,0),"")</f>
        <v>2027/02/12 </v>
      </c>
    </row>
    <row r="258" spans="1:9" s="19" customFormat="1" ht="13.8" thickBot="1" x14ac:dyDescent="0.2">
      <c r="A258" s="11">
        <v>257</v>
      </c>
      <c r="B258" s="7" t="str">
        <f>IFERROR(VLOOKUP(E258,'(新)ﾍﾞﾝﾀﾞｰ小型'!$A$3:$K$300,2,0), "")</f>
        <v>02月 </v>
      </c>
      <c r="C258" s="7" t="str">
        <f>IFERROR(VLOOKUP(E258,'(新)ﾍﾞﾝﾀﾞｰ小型'!$A$3:$K$300,4,0), "")</f>
        <v>EGB8025E </v>
      </c>
      <c r="D258" s="7" t="str">
        <f>IFERROR(VLOOKUP(E258,'(新)ﾍﾞﾝﾀﾞｰ小型'!$A$3:$K$300,5,0), "")</f>
        <v>  </v>
      </c>
      <c r="E258" s="23" t="str">
        <f>'(新)ﾍﾞﾝﾀﾞｰ小型'!A259</f>
        <v> TS82577326 </v>
      </c>
      <c r="F258" s="8" t="str">
        <f>IFERROR(VLOOKUP(E258,'(新)ﾍﾞﾝﾀﾞｰ小型'!$A$3:$K$300,8,0), "")</f>
        <v>0E1240 </v>
      </c>
      <c r="G258" s="7" t="str">
        <f>IFERROR(VLOOKUP(E258,'(旧)ﾍﾞﾝﾀﾞｰ小型'!$A$3:$K$310,10,0),"")</f>
        <v>2027/02/12 </v>
      </c>
      <c r="H258" s="12" t="s">
        <v>60</v>
      </c>
      <c r="I258" s="7" t="str">
        <f>IFERROR(VLOOKUP(E258,'(新)ﾍﾞﾝﾀﾞｰ小型'!$A$3:$K$300,10,0),"")</f>
        <v>2027/02/12 </v>
      </c>
    </row>
    <row r="259" spans="1:9" s="19" customFormat="1" ht="13.8" thickBot="1" x14ac:dyDescent="0.2">
      <c r="A259" s="11">
        <v>258</v>
      </c>
      <c r="B259" s="7" t="str">
        <f>IFERROR(VLOOKUP(E259,'(新)ﾍﾞﾝﾀﾞｰ小型'!$A$3:$K$300,2,0), "")</f>
        <v>03月 </v>
      </c>
      <c r="C259" s="7" t="str">
        <f>IFERROR(VLOOKUP(E259,'(新)ﾍﾞﾝﾀﾞｰ小型'!$A$3:$K$300,4,0), "")</f>
        <v>EGB1303ARE </v>
      </c>
      <c r="D259" s="7" t="str">
        <f>IFERROR(VLOOKUP(E259,'(新)ﾍﾞﾝﾀﾞｰ小型'!$A$3:$K$300,5,0), "")</f>
        <v>  </v>
      </c>
      <c r="E259" s="23" t="str">
        <f>'(新)ﾍﾞﾝﾀﾞｰ小型'!A260</f>
        <v> TS13329067 </v>
      </c>
      <c r="F259" s="8" t="str">
        <f>IFERROR(VLOOKUP(E259,'(新)ﾍﾞﾝﾀﾞｰ小型'!$A$3:$K$300,8,0), "")</f>
        <v>0E1242 </v>
      </c>
      <c r="G259" s="7" t="str">
        <f>IFERROR(VLOOKUP(E259,'(旧)ﾍﾞﾝﾀﾞｰ小型'!$A$3:$K$310,10,0),"")</f>
        <v/>
      </c>
      <c r="H259" s="12" t="s">
        <v>60</v>
      </c>
      <c r="I259" s="7" t="str">
        <f>IFERROR(VLOOKUP(E259,'(新)ﾍﾞﾝﾀﾞｰ小型'!$A$3:$K$300,10,0),"")</f>
        <v>2027/02/02 </v>
      </c>
    </row>
    <row r="260" spans="1:9" s="19" customFormat="1" ht="13.8" thickBot="1" x14ac:dyDescent="0.2">
      <c r="A260" s="11">
        <v>259</v>
      </c>
      <c r="B260" s="7" t="str">
        <f>IFERROR(VLOOKUP(E260,'(新)ﾍﾞﾝﾀﾞｰ小型'!$A$3:$K$300,2,0), "")</f>
        <v>03月 </v>
      </c>
      <c r="C260" s="7" t="str">
        <f>IFERROR(VLOOKUP(E260,'(新)ﾍﾞﾝﾀﾞｰ小型'!$A$3:$K$300,4,0), "")</f>
        <v>EGB1303ARE_EXP </v>
      </c>
      <c r="D260" s="7" t="str">
        <f>IFERROR(VLOOKUP(E260,'(新)ﾍﾞﾝﾀﾞｰ小型'!$A$3:$K$300,5,0), "")</f>
        <v> 中国 </v>
      </c>
      <c r="E260" s="23" t="str">
        <f>'(新)ﾍﾞﾝﾀﾞｰ小型'!A261</f>
        <v> TS13329069 </v>
      </c>
      <c r="F260" s="8" t="str">
        <f>IFERROR(VLOOKUP(E260,'(新)ﾍﾞﾝﾀﾞｰ小型'!$A$3:$K$300,8,0), "")</f>
        <v>0E1859 </v>
      </c>
      <c r="G260" s="7" t="str">
        <f>IFERROR(VLOOKUP(E260,'(旧)ﾍﾞﾝﾀﾞｰ小型'!$A$3:$K$310,10,0),"")</f>
        <v/>
      </c>
      <c r="H260" s="12" t="s">
        <v>60</v>
      </c>
      <c r="I260" s="7" t="str">
        <f>IFERROR(VLOOKUP(E260,'(新)ﾍﾞﾝﾀﾞｰ小型'!$A$3:$K$300,10,0),"")</f>
        <v>2027/02/03 </v>
      </c>
    </row>
    <row r="261" spans="1:9" s="19" customFormat="1" ht="13.8" thickBot="1" x14ac:dyDescent="0.2">
      <c r="A261" s="11">
        <v>260</v>
      </c>
      <c r="B261" s="7" t="str">
        <f>IFERROR(VLOOKUP(E261,'(新)ﾍﾞﾝﾀﾞｰ小型'!$A$3:$K$300,2,0), "")</f>
        <v>03月 </v>
      </c>
      <c r="C261" s="7" t="str">
        <f>IFERROR(VLOOKUP(E261,'(新)ﾍﾞﾝﾀﾞｰ小型'!$A$3:$K$300,4,0), "")</f>
        <v>EGB6020AE_EXP </v>
      </c>
      <c r="D261" s="7" t="str">
        <f>IFERROR(VLOOKUP(E261,'(新)ﾍﾞﾝﾀﾞｰ小型'!$A$3:$K$300,5,0), "")</f>
        <v> 引当解除 2026- </v>
      </c>
      <c r="E261" s="23" t="str">
        <f>'(新)ﾍﾞﾝﾀﾞｰ小型'!A262</f>
        <v> TS60299235 </v>
      </c>
      <c r="F261" s="8" t="str">
        <f>IFERROR(VLOOKUP(E261,'(新)ﾍﾞﾝﾀﾞｰ小型'!$A$3:$K$300,8,0), "")</f>
        <v>0D8050 </v>
      </c>
      <c r="G261" s="7" t="str">
        <f>IFERROR(VLOOKUP(E261,'(旧)ﾍﾞﾝﾀﾞｰ小型'!$A$3:$K$310,10,0),"")</f>
        <v/>
      </c>
      <c r="H261" s="12" t="s">
        <v>60</v>
      </c>
      <c r="I261" s="7" t="str">
        <f>IFERROR(VLOOKUP(E261,'(新)ﾍﾞﾝﾀﾞｰ小型'!$A$3:$K$300,10,0),"")</f>
        <v>2027/02/04 </v>
      </c>
    </row>
    <row r="262" spans="1:9" s="19" customFormat="1" ht="13.8" thickBot="1" x14ac:dyDescent="0.2">
      <c r="A262" s="11">
        <v>261</v>
      </c>
      <c r="B262" s="7" t="str">
        <f>IFERROR(VLOOKUP(E262,'(新)ﾍﾞﾝﾀﾞｰ小型'!$A$3:$K$300,2,0), "")</f>
        <v>03月 </v>
      </c>
      <c r="C262" s="7" t="str">
        <f>IFERROR(VLOOKUP(E262,'(新)ﾍﾞﾝﾀﾞｰ小型'!$A$3:$K$300,4,0), "")</f>
        <v>EGB1303ARE </v>
      </c>
      <c r="D262" s="7" t="str">
        <f>IFERROR(VLOOKUP(E262,'(新)ﾍﾞﾝﾀﾞｰ小型'!$A$3:$K$300,5,0), "")</f>
        <v>  </v>
      </c>
      <c r="E262" s="23" t="str">
        <f>'(新)ﾍﾞﾝﾀﾞｰ小型'!A263</f>
        <v> TS13329068 </v>
      </c>
      <c r="F262" s="8" t="str">
        <f>IFERROR(VLOOKUP(E262,'(新)ﾍﾞﾝﾀﾞｰ小型'!$A$3:$K$300,8,0), "")</f>
        <v>0E1242 </v>
      </c>
      <c r="G262" s="7" t="str">
        <f>IFERROR(VLOOKUP(E262,'(旧)ﾍﾞﾝﾀﾞｰ小型'!$A$3:$K$310,10,0),"")</f>
        <v/>
      </c>
      <c r="H262" s="12" t="s">
        <v>60</v>
      </c>
      <c r="I262" s="7" t="str">
        <f>IFERROR(VLOOKUP(E262,'(新)ﾍﾞﾝﾀﾞｰ小型'!$A$3:$K$300,10,0),"")</f>
        <v>2027/02/04 </v>
      </c>
    </row>
    <row r="263" spans="1:9" s="19" customFormat="1" ht="13.8" thickBot="1" x14ac:dyDescent="0.2">
      <c r="A263" s="11">
        <v>262</v>
      </c>
      <c r="B263" s="7" t="str">
        <f>IFERROR(VLOOKUP(E263,'(新)ﾍﾞﾝﾀﾞｰ小型'!$A$3:$K$300,2,0), "")</f>
        <v>03月 </v>
      </c>
      <c r="C263" s="7" t="str">
        <f>IFERROR(VLOOKUP(E263,'(新)ﾍﾞﾝﾀﾞｰ小型'!$A$3:$K$300,4,0), "")</f>
        <v>EGB1303AE </v>
      </c>
      <c r="D263" s="7" t="str">
        <f>IFERROR(VLOOKUP(E263,'(新)ﾍﾞﾝﾀﾞｰ小型'!$A$3:$K$300,5,0), "")</f>
        <v> 赤石工業（株） </v>
      </c>
      <c r="E263" s="23" t="str">
        <f>'(新)ﾍﾞﾝﾀﾞｰ小型'!A264</f>
        <v> TS13399284 </v>
      </c>
      <c r="F263" s="8" t="str">
        <f>IFERROR(VLOOKUP(E263,'(新)ﾍﾞﾝﾀﾞｰ小型'!$A$3:$K$300,8,0), "")</f>
        <v>0D9621 </v>
      </c>
      <c r="G263" s="7" t="str">
        <f>IFERROR(VLOOKUP(E263,'(旧)ﾍﾞﾝﾀﾞｰ小型'!$A$3:$K$310,10,0),"")</f>
        <v/>
      </c>
      <c r="H263" s="12" t="s">
        <v>60</v>
      </c>
      <c r="I263" s="7" t="str">
        <f>IFERROR(VLOOKUP(E263,'(新)ﾍﾞﾝﾀﾞｰ小型'!$A$3:$K$300,10,0),"")</f>
        <v>2027/02/05 </v>
      </c>
    </row>
    <row r="264" spans="1:9" s="19" customFormat="1" ht="13.8" thickBot="1" x14ac:dyDescent="0.2">
      <c r="A264" s="11">
        <v>263</v>
      </c>
      <c r="B264" s="7" t="str">
        <f>IFERROR(VLOOKUP(E264,'(新)ﾍﾞﾝﾀﾞｰ小型'!$A$3:$K$300,2,0), "")</f>
        <v>03月 </v>
      </c>
      <c r="C264" s="7" t="str">
        <f>IFERROR(VLOOKUP(E264,'(新)ﾍﾞﾝﾀﾞｰ小型'!$A$3:$K$300,4,0), "")</f>
        <v>EGB1303AE </v>
      </c>
      <c r="D264" s="7" t="str">
        <f>IFERROR(VLOOKUP(E264,'(新)ﾍﾞﾝﾀﾞｰ小型'!$A$3:$K$300,5,0), "")</f>
        <v>  </v>
      </c>
      <c r="E264" s="23" t="str">
        <f>'(新)ﾍﾞﾝﾀﾞｰ小型'!A265</f>
        <v> TS13399295 </v>
      </c>
      <c r="F264" s="8" t="str">
        <f>IFERROR(VLOOKUP(E264,'(新)ﾍﾞﾝﾀﾞｰ小型'!$A$3:$K$300,8,0), "")</f>
        <v>0D9621 </v>
      </c>
      <c r="G264" s="7" t="str">
        <f>IFERROR(VLOOKUP(E264,'(旧)ﾍﾞﾝﾀﾞｰ小型'!$A$3:$K$310,10,0),"")</f>
        <v/>
      </c>
      <c r="H264" s="12" t="s">
        <v>60</v>
      </c>
      <c r="I264" s="7" t="str">
        <f>IFERROR(VLOOKUP(E264,'(新)ﾍﾞﾝﾀﾞｰ小型'!$A$3:$K$300,10,0),"")</f>
        <v>2027/02/06 </v>
      </c>
    </row>
    <row r="265" spans="1:9" s="19" customFormat="1" ht="13.8" thickBot="1" x14ac:dyDescent="0.2">
      <c r="A265" s="11">
        <v>264</v>
      </c>
      <c r="B265" s="7" t="str">
        <f>IFERROR(VLOOKUP(E265,'(新)ﾍﾞﾝﾀﾞｰ小型'!$A$3:$K$300,2,0), "")</f>
        <v>03月 </v>
      </c>
      <c r="C265" s="7" t="str">
        <f>IFERROR(VLOOKUP(E265,'(新)ﾍﾞﾝﾀﾞｰ小型'!$A$3:$K$300,4,0), "")</f>
        <v>EGB1303AE_EXP </v>
      </c>
      <c r="D265" s="7" t="str">
        <f>IFERROR(VLOOKUP(E265,'(新)ﾍﾞﾝﾀﾞｰ小型'!$A$3:$K$300,5,0), "")</f>
        <v> 引当解除 2026- </v>
      </c>
      <c r="E265" s="23" t="str">
        <f>'(新)ﾍﾞﾝﾀﾞｰ小型'!A266</f>
        <v> TS13399296 </v>
      </c>
      <c r="F265" s="8" t="str">
        <f>IFERROR(VLOOKUP(E265,'(新)ﾍﾞﾝﾀﾞｰ小型'!$A$3:$K$300,8,0), "")</f>
        <v>0E1243 </v>
      </c>
      <c r="G265" s="7" t="str">
        <f>IFERROR(VLOOKUP(E265,'(旧)ﾍﾞﾝﾀﾞｰ小型'!$A$3:$K$310,10,0),"")</f>
        <v/>
      </c>
      <c r="H265" s="12" t="s">
        <v>60</v>
      </c>
      <c r="I265" s="7" t="str">
        <f>IFERROR(VLOOKUP(E265,'(新)ﾍﾞﾝﾀﾞｰ小型'!$A$3:$K$300,10,0),"")</f>
        <v>2027/02/09 </v>
      </c>
    </row>
    <row r="266" spans="1:9" s="19" customFormat="1" ht="13.8" thickBot="1" x14ac:dyDescent="0.2">
      <c r="A266" s="11">
        <v>265</v>
      </c>
      <c r="B266" s="7" t="str">
        <f>IFERROR(VLOOKUP(E266,'(新)ﾍﾞﾝﾀﾞｰ小型'!$A$3:$K$300,2,0), "")</f>
        <v>03月 </v>
      </c>
      <c r="C266" s="7" t="str">
        <f>IFERROR(VLOOKUP(E266,'(新)ﾍﾞﾝﾀﾞｰ小型'!$A$3:$K$300,4,0), "")</f>
        <v>EGB1303AE_EXP </v>
      </c>
      <c r="D266" s="7" t="str">
        <f>IFERROR(VLOOKUP(E266,'(新)ﾍﾞﾝﾀﾞｰ小型'!$A$3:$K$300,5,0), "")</f>
        <v> オーバーシーズ </v>
      </c>
      <c r="E266" s="23" t="str">
        <f>'(新)ﾍﾞﾝﾀﾞｰ小型'!A267</f>
        <v> TS13399298 </v>
      </c>
      <c r="F266" s="8" t="str">
        <f>IFERROR(VLOOKUP(E266,'(新)ﾍﾞﾝﾀﾞｰ小型'!$A$3:$K$300,8,0), "")</f>
        <v>0E1243 </v>
      </c>
      <c r="G266" s="7" t="str">
        <f>IFERROR(VLOOKUP(E266,'(旧)ﾍﾞﾝﾀﾞｰ小型'!$A$3:$K$310,10,0),"")</f>
        <v/>
      </c>
      <c r="H266" s="12" t="s">
        <v>60</v>
      </c>
      <c r="I266" s="7" t="str">
        <f>IFERROR(VLOOKUP(E266,'(新)ﾍﾞﾝﾀﾞｰ小型'!$A$3:$K$300,10,0),"")</f>
        <v>2027/02/09 </v>
      </c>
    </row>
    <row r="267" spans="1:9" s="19" customFormat="1" ht="13.8" thickBot="1" x14ac:dyDescent="0.2">
      <c r="A267" s="11">
        <v>266</v>
      </c>
      <c r="B267" s="7" t="str">
        <f>IFERROR(VLOOKUP(E267,'(新)ﾍﾞﾝﾀﾞｰ小型'!$A$3:$K$300,2,0), "")</f>
        <v>03月 </v>
      </c>
      <c r="C267" s="7" t="str">
        <f>IFERROR(VLOOKUP(E267,'(新)ﾍﾞﾝﾀﾞｰ小型'!$A$3:$K$300,4,0), "")</f>
        <v>EGB1303AE_EXP </v>
      </c>
      <c r="D267" s="7" t="str">
        <f>IFERROR(VLOOKUP(E267,'(新)ﾍﾞﾝﾀﾞｰ小型'!$A$3:$K$300,5,0), "")</f>
        <v> 引当解除 2026- </v>
      </c>
      <c r="E267" s="23" t="str">
        <f>'(新)ﾍﾞﾝﾀﾞｰ小型'!A268</f>
        <v> TS13399297 </v>
      </c>
      <c r="F267" s="8" t="str">
        <f>IFERROR(VLOOKUP(E267,'(新)ﾍﾞﾝﾀﾞｰ小型'!$A$3:$K$300,8,0), "")</f>
        <v>0E1243 </v>
      </c>
      <c r="G267" s="7" t="str">
        <f>IFERROR(VLOOKUP(E267,'(旧)ﾍﾞﾝﾀﾞｰ小型'!$A$3:$K$310,10,0),"")</f>
        <v/>
      </c>
      <c r="H267" s="12" t="s">
        <v>60</v>
      </c>
      <c r="I267" s="7" t="str">
        <f>IFERROR(VLOOKUP(E267,'(新)ﾍﾞﾝﾀﾞｰ小型'!$A$3:$K$300,10,0),"")</f>
        <v>2027/02/10 </v>
      </c>
    </row>
    <row r="268" spans="1:9" s="19" customFormat="1" ht="13.8" thickBot="1" x14ac:dyDescent="0.2">
      <c r="A268" s="11">
        <v>267</v>
      </c>
      <c r="B268" s="7" t="str">
        <f>IFERROR(VLOOKUP(E268,'(新)ﾍﾞﾝﾀﾞｰ小型'!$A$3:$K$300,2,0), "")</f>
        <v>03月 </v>
      </c>
      <c r="C268" s="7" t="str">
        <f>IFERROR(VLOOKUP(E268,'(新)ﾍﾞﾝﾀﾞｰ小型'!$A$3:$K$300,4,0), "")</f>
        <v>EGB1303AE_EXP </v>
      </c>
      <c r="D268" s="7" t="str">
        <f>IFERROR(VLOOKUP(E268,'(新)ﾍﾞﾝﾀﾞｰ小型'!$A$3:$K$300,5,0), "")</f>
        <v> 韓国 </v>
      </c>
      <c r="E268" s="23" t="str">
        <f>'(新)ﾍﾞﾝﾀﾞｰ小型'!A269</f>
        <v> TS13399299 </v>
      </c>
      <c r="F268" s="8" t="str">
        <f>IFERROR(VLOOKUP(E268,'(新)ﾍﾞﾝﾀﾞｰ小型'!$A$3:$K$300,8,0), "")</f>
        <v>0E1243 </v>
      </c>
      <c r="G268" s="7" t="str">
        <f>IFERROR(VLOOKUP(E268,'(旧)ﾍﾞﾝﾀﾞｰ小型'!$A$3:$K$310,10,0),"")</f>
        <v/>
      </c>
      <c r="H268" s="12" t="s">
        <v>60</v>
      </c>
      <c r="I268" s="7" t="str">
        <f>IFERROR(VLOOKUP(E268,'(新)ﾍﾞﾝﾀﾞｰ小型'!$A$3:$K$300,10,0),"")</f>
        <v>2027/02/12 </v>
      </c>
    </row>
    <row r="269" spans="1:9" s="19" customFormat="1" ht="13.8" thickBot="1" x14ac:dyDescent="0.2">
      <c r="A269" s="11">
        <v>268</v>
      </c>
      <c r="B269" s="7" t="str">
        <f>IFERROR(VLOOKUP(E269,'(新)ﾍﾞﾝﾀﾞｰ小型'!$A$3:$K$300,2,0), "")</f>
        <v>03月 </v>
      </c>
      <c r="C269" s="7" t="str">
        <f>IFERROR(VLOOKUP(E269,'(新)ﾍﾞﾝﾀﾞｰ小型'!$A$3:$K$300,4,0), "")</f>
        <v>EGB1303AE_EXP </v>
      </c>
      <c r="D269" s="7" t="str">
        <f>IFERROR(VLOOKUP(E269,'(新)ﾍﾞﾝﾀﾞｰ小型'!$A$3:$K$300,5,0), "")</f>
        <v> 中国 </v>
      </c>
      <c r="E269" s="23" t="str">
        <f>'(新)ﾍﾞﾝﾀﾞｰ小型'!A270</f>
        <v> TS13399300 </v>
      </c>
      <c r="F269" s="8" t="str">
        <f>IFERROR(VLOOKUP(E269,'(新)ﾍﾞﾝﾀﾞｰ小型'!$A$3:$K$300,8,0), "")</f>
        <v>0E1243 </v>
      </c>
      <c r="G269" s="7" t="str">
        <f>IFERROR(VLOOKUP(E269,'(旧)ﾍﾞﾝﾀﾞｰ小型'!$A$3:$K$310,10,0),"")</f>
        <v/>
      </c>
      <c r="H269" s="12" t="s">
        <v>60</v>
      </c>
      <c r="I269" s="7" t="str">
        <f>IFERROR(VLOOKUP(E269,'(新)ﾍﾞﾝﾀﾞｰ小型'!$A$3:$K$300,10,0),"")</f>
        <v>2027/02/12 </v>
      </c>
    </row>
    <row r="270" spans="1:9" s="19" customFormat="1" ht="13.8" thickBot="1" x14ac:dyDescent="0.2">
      <c r="A270" s="11">
        <v>269</v>
      </c>
      <c r="B270" s="7" t="str">
        <f>IFERROR(VLOOKUP(E270,'(新)ﾍﾞﾝﾀﾞｰ小型'!$A$3:$K$300,2,0), "")</f>
        <v>03月 </v>
      </c>
      <c r="C270" s="7" t="str">
        <f>IFERROR(VLOOKUP(E270,'(新)ﾍﾞﾝﾀﾞｰ小型'!$A$3:$K$300,4,0), "")</f>
        <v>EGB1303AE_EXP </v>
      </c>
      <c r="D270" s="7" t="str">
        <f>IFERROR(VLOOKUP(E270,'(新)ﾍﾞﾝﾀﾞｰ小型'!$A$3:$K$300,5,0), "")</f>
        <v> 中国 </v>
      </c>
      <c r="E270" s="23" t="str">
        <f>'(新)ﾍﾞﾝﾀﾞｰ小型'!A271</f>
        <v> TS13399301 </v>
      </c>
      <c r="F270" s="8" t="str">
        <f>IFERROR(VLOOKUP(E270,'(新)ﾍﾞﾝﾀﾞｰ小型'!$A$3:$K$300,8,0), "")</f>
        <v>0E1243 </v>
      </c>
      <c r="G270" s="7" t="str">
        <f>IFERROR(VLOOKUP(E270,'(旧)ﾍﾞﾝﾀﾞｰ小型'!$A$3:$K$310,10,0),"")</f>
        <v/>
      </c>
      <c r="H270" s="12" t="s">
        <v>60</v>
      </c>
      <c r="I270" s="7" t="str">
        <f>IFERROR(VLOOKUP(E270,'(新)ﾍﾞﾝﾀﾞｰ小型'!$A$3:$K$300,10,0),"")</f>
        <v>2027/02/13 </v>
      </c>
    </row>
    <row r="271" spans="1:9" s="19" customFormat="1" ht="13.8" thickBot="1" x14ac:dyDescent="0.2">
      <c r="A271" s="11">
        <v>270</v>
      </c>
      <c r="B271" s="7" t="str">
        <f>IFERROR(VLOOKUP(E271,'(新)ﾍﾞﾝﾀﾞｰ小型'!$A$3:$K$300,2,0), "")</f>
        <v>03月 </v>
      </c>
      <c r="C271" s="7" t="str">
        <f>IFERROR(VLOOKUP(E271,'(新)ﾍﾞﾝﾀﾞｰ小型'!$A$3:$K$300,4,0), "")</f>
        <v>EGB1303AE </v>
      </c>
      <c r="D271" s="7" t="str">
        <f>IFERROR(VLOOKUP(E271,'(新)ﾍﾞﾝﾀﾞｰ小型'!$A$3:$K$300,5,0), "")</f>
        <v>  </v>
      </c>
      <c r="E271" s="23" t="str">
        <f>'(新)ﾍﾞﾝﾀﾞｰ小型'!A272</f>
        <v> TS13399305 </v>
      </c>
      <c r="F271" s="8" t="str">
        <f>IFERROR(VLOOKUP(E271,'(新)ﾍﾞﾝﾀﾞｰ小型'!$A$3:$K$300,8,0), "")</f>
        <v>0D9621 </v>
      </c>
      <c r="G271" s="7" t="str">
        <f>IFERROR(VLOOKUP(E271,'(旧)ﾍﾞﾝﾀﾞｰ小型'!$A$3:$K$310,10,0),"")</f>
        <v/>
      </c>
      <c r="H271" s="12" t="s">
        <v>60</v>
      </c>
      <c r="I271" s="7" t="str">
        <f>IFERROR(VLOOKUP(E271,'(新)ﾍﾞﾝﾀﾞｰ小型'!$A$3:$K$300,10,0),"")</f>
        <v>2027/02/16 </v>
      </c>
    </row>
    <row r="272" spans="1:9" s="19" customFormat="1" ht="13.8" thickBot="1" x14ac:dyDescent="0.2">
      <c r="A272" s="11">
        <v>271</v>
      </c>
      <c r="B272" s="7" t="str">
        <f>IFERROR(VLOOKUP(E272,'(新)ﾍﾞﾝﾀﾞｰ小型'!$A$3:$K$300,2,0), "")</f>
        <v>03月 </v>
      </c>
      <c r="C272" s="7" t="str">
        <f>IFERROR(VLOOKUP(E272,'(新)ﾍﾞﾝﾀﾞｰ小型'!$A$3:$K$300,4,0), "")</f>
        <v>EGB6020AE </v>
      </c>
      <c r="D272" s="7" t="str">
        <f>IFERROR(VLOOKUP(E272,'(新)ﾍﾞﾝﾀﾞｰ小型'!$A$3:$K$300,5,0), "")</f>
        <v>  </v>
      </c>
      <c r="E272" s="23" t="str">
        <f>'(新)ﾍﾞﾝﾀﾞｰ小型'!A273</f>
        <v> TS60299231 </v>
      </c>
      <c r="F272" s="8" t="str">
        <f>IFERROR(VLOOKUP(E272,'(新)ﾍﾞﾝﾀﾞｰ小型'!$A$3:$K$300,8,0), "")</f>
        <v>0D7904 </v>
      </c>
      <c r="G272" s="7" t="str">
        <f>IFERROR(VLOOKUP(E272,'(旧)ﾍﾞﾝﾀﾞｰ小型'!$A$3:$K$310,10,0),"")</f>
        <v/>
      </c>
      <c r="H272" s="12" t="s">
        <v>60</v>
      </c>
      <c r="I272" s="7" t="str">
        <f>IFERROR(VLOOKUP(E272,'(新)ﾍﾞﾝﾀﾞｰ小型'!$A$3:$K$300,10,0),"")</f>
        <v>2027/02/17 </v>
      </c>
    </row>
    <row r="273" spans="1:9" s="19" customFormat="1" ht="13.8" thickBot="1" x14ac:dyDescent="0.2">
      <c r="A273" s="11">
        <v>272</v>
      </c>
      <c r="B273" s="7" t="str">
        <f>IFERROR(VLOOKUP(E273,'(新)ﾍﾞﾝﾀﾞｰ小型'!$A$3:$K$300,2,0), "")</f>
        <v>03月 </v>
      </c>
      <c r="C273" s="7" t="str">
        <f>IFERROR(VLOOKUP(E273,'(新)ﾍﾞﾝﾀﾞｰ小型'!$A$3:$K$300,4,0), "")</f>
        <v>EGB1303AE </v>
      </c>
      <c r="D273" s="7" t="str">
        <f>IFERROR(VLOOKUP(E273,'(新)ﾍﾞﾝﾀﾞｰ小型'!$A$3:$K$300,5,0), "")</f>
        <v>  </v>
      </c>
      <c r="E273" s="23" t="str">
        <f>'(新)ﾍﾞﾝﾀﾞｰ小型'!A274</f>
        <v> TS13399306 </v>
      </c>
      <c r="F273" s="8" t="str">
        <f>IFERROR(VLOOKUP(E273,'(新)ﾍﾞﾝﾀﾞｰ小型'!$A$3:$K$300,8,0), "")</f>
        <v>0D9621 </v>
      </c>
      <c r="G273" s="7" t="str">
        <f>IFERROR(VLOOKUP(E273,'(旧)ﾍﾞﾝﾀﾞｰ小型'!$A$3:$K$310,10,0),"")</f>
        <v/>
      </c>
      <c r="H273" s="12" t="s">
        <v>60</v>
      </c>
      <c r="I273" s="7" t="str">
        <f>IFERROR(VLOOKUP(E273,'(新)ﾍﾞﾝﾀﾞｰ小型'!$A$3:$K$300,10,0),"")</f>
        <v>2027/02/17 </v>
      </c>
    </row>
    <row r="274" spans="1:9" s="19" customFormat="1" ht="13.8" thickBot="1" x14ac:dyDescent="0.2">
      <c r="A274" s="11">
        <v>273</v>
      </c>
      <c r="B274" s="7" t="str">
        <f>IFERROR(VLOOKUP(E274,'(新)ﾍﾞﾝﾀﾞｰ小型'!$A$3:$K$300,2,0), "")</f>
        <v>03月 </v>
      </c>
      <c r="C274" s="7" t="str">
        <f>IFERROR(VLOOKUP(E274,'(新)ﾍﾞﾝﾀﾞｰ小型'!$A$3:$K$300,4,0), "")</f>
        <v>EGB6020AE </v>
      </c>
      <c r="D274" s="7" t="str">
        <f>IFERROR(VLOOKUP(E274,'(新)ﾍﾞﾝﾀﾞｰ小型'!$A$3:$K$300,5,0), "")</f>
        <v>  </v>
      </c>
      <c r="E274" s="23" t="str">
        <f>'(新)ﾍﾞﾝﾀﾞｰ小型'!A275</f>
        <v> TS60299232 </v>
      </c>
      <c r="F274" s="8" t="str">
        <f>IFERROR(VLOOKUP(E274,'(新)ﾍﾞﾝﾀﾞｰ小型'!$A$3:$K$300,8,0), "")</f>
        <v>0D7904 </v>
      </c>
      <c r="G274" s="7" t="str">
        <f>IFERROR(VLOOKUP(E274,'(旧)ﾍﾞﾝﾀﾞｰ小型'!$A$3:$K$310,10,0),"")</f>
        <v/>
      </c>
      <c r="H274" s="12" t="s">
        <v>60</v>
      </c>
      <c r="I274" s="7" t="str">
        <f>IFERROR(VLOOKUP(E274,'(新)ﾍﾞﾝﾀﾞｰ小型'!$A$3:$K$300,10,0),"")</f>
        <v>2027/02/18 </v>
      </c>
    </row>
    <row r="275" spans="1:9" s="19" customFormat="1" ht="13.8" thickBot="1" x14ac:dyDescent="0.2">
      <c r="A275" s="11">
        <v>274</v>
      </c>
      <c r="B275" s="7" t="str">
        <f>IFERROR(VLOOKUP(E275,'(新)ﾍﾞﾝﾀﾞｰ小型'!$A$3:$K$300,2,0), "")</f>
        <v>03月 </v>
      </c>
      <c r="C275" s="7" t="str">
        <f>IFERROR(VLOOKUP(E275,'(新)ﾍﾞﾝﾀﾞｰ小型'!$A$3:$K$300,4,0), "")</f>
        <v>EGB6020AE </v>
      </c>
      <c r="D275" s="7" t="str">
        <f>IFERROR(VLOOKUP(E275,'(新)ﾍﾞﾝﾀﾞｰ小型'!$A$3:$K$300,5,0), "")</f>
        <v>  </v>
      </c>
      <c r="E275" s="23" t="str">
        <f>'(新)ﾍﾞﾝﾀﾞｰ小型'!A276</f>
        <v> TS60299233 </v>
      </c>
      <c r="F275" s="8" t="str">
        <f>IFERROR(VLOOKUP(E275,'(新)ﾍﾞﾝﾀﾞｰ小型'!$A$3:$K$300,8,0), "")</f>
        <v>0D7904 </v>
      </c>
      <c r="G275" s="7" t="str">
        <f>IFERROR(VLOOKUP(E275,'(旧)ﾍﾞﾝﾀﾞｰ小型'!$A$3:$K$310,10,0),"")</f>
        <v/>
      </c>
      <c r="H275" s="12" t="s">
        <v>60</v>
      </c>
      <c r="I275" s="7" t="str">
        <f>IFERROR(VLOOKUP(E275,'(新)ﾍﾞﾝﾀﾞｰ小型'!$A$3:$K$300,10,0),"")</f>
        <v>2027/02/19 </v>
      </c>
    </row>
    <row r="276" spans="1:9" s="19" customFormat="1" ht="13.8" thickBot="1" x14ac:dyDescent="0.2">
      <c r="A276" s="11">
        <v>275</v>
      </c>
      <c r="B276" s="7" t="str">
        <f>IFERROR(VLOOKUP(E276,'(新)ﾍﾞﾝﾀﾞｰ小型'!$A$3:$K$300,2,0), "")</f>
        <v>03月 </v>
      </c>
      <c r="C276" s="7" t="str">
        <f>IFERROR(VLOOKUP(E276,'(新)ﾍﾞﾝﾀﾞｰ小型'!$A$3:$K$300,4,0), "")</f>
        <v>EGB6020AE </v>
      </c>
      <c r="D276" s="7" t="str">
        <f>IFERROR(VLOOKUP(E276,'(新)ﾍﾞﾝﾀﾞｰ小型'!$A$3:$K$300,5,0), "")</f>
        <v>  </v>
      </c>
      <c r="E276" s="25" t="str">
        <f>'(新)ﾍﾞﾝﾀﾞｰ小型'!A277</f>
        <v> TS60299234 </v>
      </c>
      <c r="F276" s="8" t="str">
        <f>IFERROR(VLOOKUP(E276,'(新)ﾍﾞﾝﾀﾞｰ小型'!$A$3:$K$300,8,0), "")</f>
        <v>0D7904 </v>
      </c>
      <c r="G276" s="7" t="str">
        <f>IFERROR(VLOOKUP(E276,'(旧)ﾍﾞﾝﾀﾞｰ小型'!$A$3:$K$310,10,0),"")</f>
        <v/>
      </c>
      <c r="H276" s="12" t="s">
        <v>60</v>
      </c>
      <c r="I276" s="7" t="str">
        <f>IFERROR(VLOOKUP(E276,'(新)ﾍﾞﾝﾀﾞｰ小型'!$A$3:$K$300,10,0),"")</f>
        <v>2027/02/19 </v>
      </c>
    </row>
    <row r="277" spans="1:9" s="19" customFormat="1" ht="13.8" thickBot="1" x14ac:dyDescent="0.2">
      <c r="A277" s="11">
        <v>276</v>
      </c>
      <c r="B277" s="7" t="str">
        <f>IFERROR(VLOOKUP(E277,'(新)ﾍﾞﾝﾀﾞｰ小型'!$A$3:$K$300,2,0), "")</f>
        <v>03月 </v>
      </c>
      <c r="C277" s="7" t="str">
        <f>IFERROR(VLOOKUP(E277,'(新)ﾍﾞﾝﾀﾞｰ小型'!$A$3:$K$300,4,0), "")</f>
        <v>EGB6020AE </v>
      </c>
      <c r="D277" s="7" t="str">
        <f>IFERROR(VLOOKUP(E277,'(新)ﾍﾞﾝﾀﾞｰ小型'!$A$3:$K$300,5,0), "")</f>
        <v>  </v>
      </c>
      <c r="E277" s="25" t="str">
        <f>'(新)ﾍﾞﾝﾀﾞｰ小型'!A278</f>
        <v> TS60299239 </v>
      </c>
      <c r="F277" s="8" t="str">
        <f>IFERROR(VLOOKUP(E277,'(新)ﾍﾞﾝﾀﾞｰ小型'!$A$3:$K$300,8,0), "")</f>
        <v>0D7904 </v>
      </c>
      <c r="G277" s="7" t="str">
        <f>IFERROR(VLOOKUP(E277,'(旧)ﾍﾞﾝﾀﾞｰ小型'!$A$3:$K$310,10,0),"")</f>
        <v/>
      </c>
      <c r="H277" s="12" t="s">
        <v>60</v>
      </c>
      <c r="I277" s="7" t="str">
        <f>IFERROR(VLOOKUP(E277,'(新)ﾍﾞﾝﾀﾞｰ小型'!$A$3:$K$300,10,0),"")</f>
        <v>2027/02/20 </v>
      </c>
    </row>
    <row r="278" spans="1:9" s="19" customFormat="1" ht="13.8" thickBot="1" x14ac:dyDescent="0.2">
      <c r="A278" s="11">
        <v>277</v>
      </c>
      <c r="B278" s="7" t="str">
        <f>IFERROR(VLOOKUP(E278,'(新)ﾍﾞﾝﾀﾞｰ小型'!$A$3:$K$300,2,0), "")</f>
        <v>03月 </v>
      </c>
      <c r="C278" s="7" t="str">
        <f>IFERROR(VLOOKUP(E278,'(新)ﾍﾞﾝﾀﾞｰ小型'!$A$3:$K$300,4,0), "")</f>
        <v>EGB6020E_EXP </v>
      </c>
      <c r="D278" s="7" t="str">
        <f>IFERROR(VLOOKUP(E278,'(新)ﾍﾞﾝﾀﾞｰ小型'!$A$3:$K$300,5,0), "")</f>
        <v> アマダアメリカ </v>
      </c>
      <c r="E278" s="25" t="str">
        <f>'(新)ﾍﾞﾝﾀﾞｰ小型'!A279</f>
        <v> TS62077198 </v>
      </c>
      <c r="F278" s="8" t="str">
        <f>IFERROR(VLOOKUP(E278,'(新)ﾍﾞﾝﾀﾞｰ小型'!$A$3:$K$300,8,0), "")</f>
        <v>0D7905 </v>
      </c>
      <c r="G278" s="7" t="str">
        <f>IFERROR(VLOOKUP(E278,'(旧)ﾍﾞﾝﾀﾞｰ小型'!$A$3:$K$310,10,0),"")</f>
        <v/>
      </c>
      <c r="H278" s="12" t="s">
        <v>60</v>
      </c>
      <c r="I278" s="7" t="str">
        <f>IFERROR(VLOOKUP(E278,'(新)ﾍﾞﾝﾀﾞｰ小型'!$A$3:$K$300,10,0),"")</f>
        <v>2027/02/24 </v>
      </c>
    </row>
    <row r="279" spans="1:9" s="19" customFormat="1" ht="13.8" thickBot="1" x14ac:dyDescent="0.2">
      <c r="A279" s="11">
        <v>278</v>
      </c>
      <c r="B279" s="7" t="str">
        <f>IFERROR(VLOOKUP(E279,'(新)ﾍﾞﾝﾀﾞｰ小型'!$A$3:$K$300,2,0), "")</f>
        <v>03月 </v>
      </c>
      <c r="C279" s="7" t="str">
        <f>IFERROR(VLOOKUP(E279,'(新)ﾍﾞﾝﾀﾞｰ小型'!$A$3:$K$300,4,0), "")</f>
        <v>EGB6020AE </v>
      </c>
      <c r="D279" s="7" t="str">
        <f>IFERROR(VLOOKUP(E279,'(新)ﾍﾞﾝﾀﾞｰ小型'!$A$3:$K$300,5,0), "")</f>
        <v>  </v>
      </c>
      <c r="E279" s="25" t="str">
        <f>'(新)ﾍﾞﾝﾀﾞｰ小型'!A280</f>
        <v> TS60299240 </v>
      </c>
      <c r="F279" s="8" t="str">
        <f>IFERROR(VLOOKUP(E279,'(新)ﾍﾞﾝﾀﾞｰ小型'!$A$3:$K$300,8,0), "")</f>
        <v>0D7904 </v>
      </c>
      <c r="G279" s="7" t="str">
        <f>IFERROR(VLOOKUP(E279,'(旧)ﾍﾞﾝﾀﾞｰ小型'!$A$3:$K$310,10,0),"")</f>
        <v/>
      </c>
      <c r="H279" s="12" t="s">
        <v>60</v>
      </c>
      <c r="I279" s="7" t="str">
        <f>IFERROR(VLOOKUP(E279,'(新)ﾍﾞﾝﾀﾞｰ小型'!$A$3:$K$300,10,0),"")</f>
        <v>2027/02/24 </v>
      </c>
    </row>
    <row r="280" spans="1:9" s="19" customFormat="1" ht="13.8" thickBot="1" x14ac:dyDescent="0.2">
      <c r="A280" s="11">
        <v>279</v>
      </c>
      <c r="B280" s="7" t="str">
        <f>IFERROR(VLOOKUP(E280,'(新)ﾍﾞﾝﾀﾞｰ小型'!$A$3:$K$300,2,0), "")</f>
        <v>03月 </v>
      </c>
      <c r="C280" s="7" t="str">
        <f>IFERROR(VLOOKUP(E280,'(新)ﾍﾞﾝﾀﾞｰ小型'!$A$3:$K$300,4,0), "")</f>
        <v>EGB6020E_EXP </v>
      </c>
      <c r="D280" s="7" t="str">
        <f>IFERROR(VLOOKUP(E280,'(新)ﾍﾞﾝﾀﾞｰ小型'!$A$3:$K$300,5,0), "")</f>
        <v> アマダアメリカ </v>
      </c>
      <c r="E280" s="25" t="str">
        <f>'(新)ﾍﾞﾝﾀﾞｰ小型'!A281</f>
        <v> TS62077199 </v>
      </c>
      <c r="F280" s="8" t="str">
        <f>IFERROR(VLOOKUP(E280,'(新)ﾍﾞﾝﾀﾞｰ小型'!$A$3:$K$300,8,0), "")</f>
        <v>0D7905 </v>
      </c>
      <c r="G280" s="7" t="str">
        <f>IFERROR(VLOOKUP(E280,'(旧)ﾍﾞﾝﾀﾞｰ小型'!$A$3:$K$310,10,0),"")</f>
        <v/>
      </c>
      <c r="H280" s="12" t="s">
        <v>60</v>
      </c>
      <c r="I280" s="7" t="str">
        <f>IFERROR(VLOOKUP(E280,'(新)ﾍﾞﾝﾀﾞｰ小型'!$A$3:$K$300,10,0),"")</f>
        <v>2027/02/25 </v>
      </c>
    </row>
    <row r="281" spans="1:9" s="19" customFormat="1" ht="13.8" thickBot="1" x14ac:dyDescent="0.2">
      <c r="A281" s="11">
        <v>280</v>
      </c>
      <c r="B281" s="7" t="str">
        <f>IFERROR(VLOOKUP(E281,'(新)ﾍﾞﾝﾀﾞｰ小型'!$A$3:$K$300,2,0), "")</f>
        <v>03月 </v>
      </c>
      <c r="C281" s="7" t="str">
        <f>IFERROR(VLOOKUP(E281,'(新)ﾍﾞﾝﾀﾞｰ小型'!$A$3:$K$300,4,0), "")</f>
        <v>EGB6020E_EXP </v>
      </c>
      <c r="D281" s="7" t="str">
        <f>IFERROR(VLOOKUP(E281,'(新)ﾍﾞﾝﾀﾞｰ小型'!$A$3:$K$300,5,0), "")</f>
        <v> アマダアメリカ </v>
      </c>
      <c r="E281" s="25" t="str">
        <f>'(新)ﾍﾞﾝﾀﾞｰ小型'!A282</f>
        <v> TS62077200 </v>
      </c>
      <c r="F281" s="8" t="str">
        <f>IFERROR(VLOOKUP(E281,'(新)ﾍﾞﾝﾀﾞｰ小型'!$A$3:$K$300,8,0), "")</f>
        <v>0D7905 </v>
      </c>
      <c r="G281" s="7" t="str">
        <f>IFERROR(VLOOKUP(E281,'(旧)ﾍﾞﾝﾀﾞｰ小型'!$A$3:$K$310,10,0),"")</f>
        <v/>
      </c>
      <c r="H281" s="12" t="s">
        <v>60</v>
      </c>
      <c r="I281" s="7" t="str">
        <f>IFERROR(VLOOKUP(E281,'(新)ﾍﾞﾝﾀﾞｰ小型'!$A$3:$K$300,10,0),"")</f>
        <v>2027/02/26 </v>
      </c>
    </row>
    <row r="282" spans="1:9" s="19" customFormat="1" ht="13.8" thickBot="1" x14ac:dyDescent="0.2">
      <c r="A282" s="11">
        <v>281</v>
      </c>
      <c r="B282" s="7" t="str">
        <f>IFERROR(VLOOKUP(E282,'(新)ﾍﾞﾝﾀﾞｰ小型'!$A$3:$K$300,2,0), "")</f>
        <v>03月 </v>
      </c>
      <c r="C282" s="7" t="str">
        <f>IFERROR(VLOOKUP(E282,'(新)ﾍﾞﾝﾀﾞｰ小型'!$A$3:$K$300,4,0), "")</f>
        <v>EGB6020E </v>
      </c>
      <c r="D282" s="7" t="str">
        <f>IFERROR(VLOOKUP(E282,'(新)ﾍﾞﾝﾀﾞｰ小型'!$A$3:$K$300,5,0), "")</f>
        <v>  </v>
      </c>
      <c r="E282" s="25" t="str">
        <f>'(新)ﾍﾞﾝﾀﾞｰ小型'!A283</f>
        <v> TS62077195 </v>
      </c>
      <c r="F282" s="8" t="str">
        <f>IFERROR(VLOOKUP(E282,'(新)ﾍﾞﾝﾀﾞｰ小型'!$A$3:$K$300,8,0), "")</f>
        <v>0D7255 </v>
      </c>
      <c r="G282" s="7" t="str">
        <f>IFERROR(VLOOKUP(E282,'(旧)ﾍﾞﾝﾀﾞｰ小型'!$A$3:$K$310,10,0),"")</f>
        <v/>
      </c>
      <c r="H282" s="12" t="s">
        <v>60</v>
      </c>
      <c r="I282" s="7" t="str">
        <f>IFERROR(VLOOKUP(E282,'(新)ﾍﾞﾝﾀﾞｰ小型'!$A$3:$K$300,10,0),"")</f>
        <v>2027/02/26 </v>
      </c>
    </row>
    <row r="283" spans="1:9" s="19" customFormat="1" ht="13.8" thickBot="1" x14ac:dyDescent="0.2">
      <c r="A283" s="11">
        <v>282</v>
      </c>
      <c r="B283" s="7" t="str">
        <f>IFERROR(VLOOKUP(E283,'(新)ﾍﾞﾝﾀﾞｰ小型'!$A$3:$K$300,2,0), "")</f>
        <v>03月 </v>
      </c>
      <c r="C283" s="7" t="str">
        <f>IFERROR(VLOOKUP(E283,'(新)ﾍﾞﾝﾀﾞｰ小型'!$A$3:$K$300,4,0), "")</f>
        <v>EGB1303E_EXP </v>
      </c>
      <c r="D283" s="7" t="str">
        <f>IFERROR(VLOOKUP(E283,'(新)ﾍﾞﾝﾀﾞｰ小型'!$A$3:$K$300,5,0), "")</f>
        <v> アマダアメリカ </v>
      </c>
      <c r="E283" s="25" t="str">
        <f>'(新)ﾍﾞﾝﾀﾞｰ小型'!A284</f>
        <v> TS13377379 </v>
      </c>
      <c r="F283" s="8" t="str">
        <f>IFERROR(VLOOKUP(E283,'(新)ﾍﾞﾝﾀﾞｰ小型'!$A$3:$K$300,8,0), "")</f>
        <v>0D9825 </v>
      </c>
      <c r="G283" s="7" t="str">
        <f>IFERROR(VLOOKUP(E283,'(旧)ﾍﾞﾝﾀﾞｰ小型'!$A$3:$K$310,10,0),"")</f>
        <v/>
      </c>
      <c r="H283" s="12" t="s">
        <v>60</v>
      </c>
      <c r="I283" s="7" t="str">
        <f>IFERROR(VLOOKUP(E283,'(新)ﾍﾞﾝﾀﾞｰ小型'!$A$3:$K$300,10,0),"")</f>
        <v>2027/02/27 </v>
      </c>
    </row>
    <row r="284" spans="1:9" s="19" customFormat="1" ht="13.8" thickBot="1" x14ac:dyDescent="0.2">
      <c r="A284" s="11">
        <v>283</v>
      </c>
      <c r="B284" s="7" t="str">
        <f>IFERROR(VLOOKUP(E284,'(新)ﾍﾞﾝﾀﾞｰ小型'!$A$3:$K$300,2,0), "")</f>
        <v>03月 </v>
      </c>
      <c r="C284" s="7" t="str">
        <f>IFERROR(VLOOKUP(E284,'(新)ﾍﾞﾝﾀﾞｰ小型'!$A$3:$K$300,4,0), "")</f>
        <v>EGB1303E_EXP </v>
      </c>
      <c r="D284" s="7" t="str">
        <f>IFERROR(VLOOKUP(E284,'(新)ﾍﾞﾝﾀﾞｰ小型'!$A$3:$K$300,5,0), "")</f>
        <v> アマダアメリカ </v>
      </c>
      <c r="E284" s="25" t="str">
        <f>'(新)ﾍﾞﾝﾀﾞｰ小型'!A285</f>
        <v> TS13377380 </v>
      </c>
      <c r="F284" s="8" t="str">
        <f>IFERROR(VLOOKUP(E284,'(新)ﾍﾞﾝﾀﾞｰ小型'!$A$3:$K$300,8,0), "")</f>
        <v>0D9825 </v>
      </c>
      <c r="G284" s="7" t="str">
        <f>IFERROR(VLOOKUP(E284,'(旧)ﾍﾞﾝﾀﾞｰ小型'!$A$3:$K$310,10,0),"")</f>
        <v/>
      </c>
      <c r="H284" s="12" t="s">
        <v>60</v>
      </c>
      <c r="I284" s="7" t="str">
        <f>IFERROR(VLOOKUP(E284,'(新)ﾍﾞﾝﾀﾞｰ小型'!$A$3:$K$300,10,0),"")</f>
        <v>2027/02/27 </v>
      </c>
    </row>
    <row r="285" spans="1:9" s="19" customFormat="1" ht="13.8" thickBot="1" x14ac:dyDescent="0.2">
      <c r="A285" s="11">
        <v>284</v>
      </c>
      <c r="B285" s="7" t="str">
        <f>IFERROR(VLOOKUP(E285,'(新)ﾍﾞﾝﾀﾞｰ小型'!$A$3:$K$300,2,0), "")</f>
        <v>03月 </v>
      </c>
      <c r="C285" s="7" t="str">
        <f>IFERROR(VLOOKUP(E285,'(新)ﾍﾞﾝﾀﾞｰ小型'!$A$3:$K$300,4,0), "")</f>
        <v>EGB1303E_EXP </v>
      </c>
      <c r="D285" s="7" t="str">
        <f>IFERROR(VLOOKUP(E285,'(新)ﾍﾞﾝﾀﾞｰ小型'!$A$3:$K$300,5,0), "")</f>
        <v> アマダアメリカ </v>
      </c>
      <c r="E285" s="25" t="str">
        <f>'(新)ﾍﾞﾝﾀﾞｰ小型'!A286</f>
        <v> TS13377381 </v>
      </c>
      <c r="F285" s="8" t="str">
        <f>IFERROR(VLOOKUP(E285,'(新)ﾍﾞﾝﾀﾞｰ小型'!$A$3:$K$300,8,0), "")</f>
        <v>0D9825 </v>
      </c>
      <c r="G285" s="7" t="str">
        <f>IFERROR(VLOOKUP(E285,'(旧)ﾍﾞﾝﾀﾞｰ小型'!$A$3:$K$310,10,0),"")</f>
        <v/>
      </c>
      <c r="H285" s="12" t="s">
        <v>60</v>
      </c>
      <c r="I285" s="7" t="str">
        <f>IFERROR(VLOOKUP(E285,'(新)ﾍﾞﾝﾀﾞｰ小型'!$A$3:$K$300,10,0),"")</f>
        <v>2027/03/02 </v>
      </c>
    </row>
    <row r="286" spans="1:9" s="19" customFormat="1" ht="13.8" thickBot="1" x14ac:dyDescent="0.2">
      <c r="A286" s="11">
        <v>285</v>
      </c>
      <c r="B286" s="7" t="str">
        <f>IFERROR(VLOOKUP(E286,'(新)ﾍﾞﾝﾀﾞｰ小型'!$A$3:$K$300,2,0), "")</f>
        <v>03月 </v>
      </c>
      <c r="C286" s="7" t="str">
        <f>IFERROR(VLOOKUP(E286,'(新)ﾍﾞﾝﾀﾞｰ小型'!$A$3:$K$300,4,0), "")</f>
        <v>EGB1303E_EXP </v>
      </c>
      <c r="D286" s="7" t="str">
        <f>IFERROR(VLOOKUP(E286,'(新)ﾍﾞﾝﾀﾞｰ小型'!$A$3:$K$241,5,0), "")</f>
        <v/>
      </c>
      <c r="E286" s="25" t="str">
        <f>'(新)ﾍﾞﾝﾀﾞｰ小型'!A287</f>
        <v> TS13377382 </v>
      </c>
      <c r="F286" s="8" t="str">
        <f>IFERROR(VLOOKUP(E286,'(新)ﾍﾞﾝﾀﾞｰ小型'!$A$3:$K$300,8,0), "")</f>
        <v>0D9825 </v>
      </c>
      <c r="G286" s="7" t="str">
        <f>IFERROR(VLOOKUP(E286,'(旧)ﾍﾞﾝﾀﾞｰ小型'!$A$3:$K$310,10,0),"")</f>
        <v/>
      </c>
      <c r="H286" s="12" t="s">
        <v>60</v>
      </c>
      <c r="I286" s="7" t="str">
        <f>IFERROR(VLOOKUP(E286,'(新)ﾍﾞﾝﾀﾞｰ小型'!$A$3:$K$300,10,0),"")</f>
        <v>2027/03/03 </v>
      </c>
    </row>
    <row r="287" spans="1:9" s="19" customFormat="1" ht="13.8" thickBot="1" x14ac:dyDescent="0.2">
      <c r="A287" s="11">
        <v>286</v>
      </c>
      <c r="B287" s="7" t="str">
        <f>IFERROR(VLOOKUP(E287,'(新)ﾍﾞﾝﾀﾞｰ小型'!$A$3:$K$300,2,0), "")</f>
        <v>03月 </v>
      </c>
      <c r="C287" s="7" t="str">
        <f>IFERROR(VLOOKUP(E287,'(新)ﾍﾞﾝﾀﾞｰ小型'!$A$3:$K$300,4,0), "")</f>
        <v>EGB8025E_EXP </v>
      </c>
      <c r="D287" s="7" t="str">
        <f>IFERROR(VLOOKUP(E287,'(新)ﾍﾞﾝﾀﾞｰ小型'!$A$3:$K$241,5,0), "")</f>
        <v/>
      </c>
      <c r="E287" s="25" t="str">
        <f>'(新)ﾍﾞﾝﾀﾞｰ小型'!A288</f>
        <v> TS82577334 </v>
      </c>
      <c r="F287" s="8" t="str">
        <f>IFERROR(VLOOKUP(E287,'(新)ﾍﾞﾝﾀﾞｰ小型'!$A$3:$K$300,8,0), "")</f>
        <v>0E1858 </v>
      </c>
      <c r="G287" s="7" t="str">
        <f>IFERROR(VLOOKUP(E287,'(旧)ﾍﾞﾝﾀﾞｰ小型'!$A$3:$K$310,10,0),"")</f>
        <v/>
      </c>
      <c r="H287" s="12" t="s">
        <v>60</v>
      </c>
      <c r="I287" s="7" t="str">
        <f>IFERROR(VLOOKUP(E287,'(新)ﾍﾞﾝﾀﾞｰ小型'!$A$3:$K$300,10,0),"")</f>
        <v>2027/03/03 </v>
      </c>
    </row>
    <row r="288" spans="1:9" s="19" customFormat="1" ht="13.8" thickBot="1" x14ac:dyDescent="0.2">
      <c r="A288" s="11">
        <v>287</v>
      </c>
      <c r="B288" s="7" t="str">
        <f>IFERROR(VLOOKUP(E288,'(新)ﾍﾞﾝﾀﾞｰ小型'!$A$3:$K$300,2,0), "")</f>
        <v>03月 </v>
      </c>
      <c r="C288" s="7" t="str">
        <f>IFERROR(VLOOKUP(E288,'(新)ﾍﾞﾝﾀﾞｰ小型'!$A$3:$K$300,4,0), "")</f>
        <v>EGB8025E_EXP </v>
      </c>
      <c r="D288" s="7" t="str">
        <f>IFERROR(VLOOKUP(E288,'(新)ﾍﾞﾝﾀﾞｰ小型'!$A$3:$K$241,5,0), "")</f>
        <v/>
      </c>
      <c r="E288" s="25" t="str">
        <f>'(新)ﾍﾞﾝﾀﾞｰ小型'!A289</f>
        <v> TS82577335 </v>
      </c>
      <c r="F288" s="8" t="str">
        <f>IFERROR(VLOOKUP(E288,'(新)ﾍﾞﾝﾀﾞｰ小型'!$A$3:$K$300,8,0), "")</f>
        <v>0E1858 </v>
      </c>
      <c r="G288" s="7" t="str">
        <f>IFERROR(VLOOKUP(E288,'(旧)ﾍﾞﾝﾀﾞｰ小型'!$A$3:$K$310,10,0),"")</f>
        <v/>
      </c>
      <c r="H288" s="12" t="s">
        <v>60</v>
      </c>
      <c r="I288" s="7" t="str">
        <f>IFERROR(VLOOKUP(E288,'(新)ﾍﾞﾝﾀﾞｰ小型'!$A$3:$K$300,10,0),"")</f>
        <v>2027/03/04 </v>
      </c>
    </row>
    <row r="289" spans="1:9" s="19" customFormat="1" ht="13.8" thickBot="1" x14ac:dyDescent="0.2">
      <c r="A289" s="11">
        <v>288</v>
      </c>
      <c r="B289" s="7" t="str">
        <f>IFERROR(VLOOKUP(E289,'(新)ﾍﾞﾝﾀﾞｰ小型'!$A$3:$K$300,2,0), "")</f>
        <v>03月 </v>
      </c>
      <c r="C289" s="7" t="str">
        <f>IFERROR(VLOOKUP(E289,'(新)ﾍﾞﾝﾀﾞｰ小型'!$A$3:$K$300,4,0), "")</f>
        <v>EGB8025E_EXP </v>
      </c>
      <c r="D289" s="7" t="str">
        <f>IFERROR(VLOOKUP(E289,'(新)ﾍﾞﾝﾀﾞｰ小型'!$A$3:$K$241,5,0), "")</f>
        <v/>
      </c>
      <c r="E289" s="25" t="str">
        <f>'(新)ﾍﾞﾝﾀﾞｰ小型'!A290</f>
        <v> TS82577336 </v>
      </c>
      <c r="F289" s="8" t="str">
        <f>IFERROR(VLOOKUP(E289,'(新)ﾍﾞﾝﾀﾞｰ小型'!$A$3:$K$300,8,0), "")</f>
        <v>0E1858 </v>
      </c>
      <c r="G289" s="7" t="str">
        <f>IFERROR(VLOOKUP(E289,'(旧)ﾍﾞﾝﾀﾞｰ小型'!$A$3:$K$310,10,0),"")</f>
        <v/>
      </c>
      <c r="H289" s="12" t="s">
        <v>60</v>
      </c>
      <c r="I289" s="7" t="str">
        <f>IFERROR(VLOOKUP(E289,'(新)ﾍﾞﾝﾀﾞｰ小型'!$A$3:$K$300,10,0),"")</f>
        <v>2027/03/04 </v>
      </c>
    </row>
    <row r="290" spans="1:9" s="19" customFormat="1" ht="13.8" thickBot="1" x14ac:dyDescent="0.2">
      <c r="A290" s="11">
        <v>289</v>
      </c>
      <c r="B290" s="7" t="str">
        <f>IFERROR(VLOOKUP(E290,'(新)ﾍﾞﾝﾀﾞｰ小型'!$A$3:$K$300,2,0), "")</f>
        <v>03月 </v>
      </c>
      <c r="C290" s="7" t="str">
        <f>IFERROR(VLOOKUP(E290,'(新)ﾍﾞﾝﾀﾞｰ小型'!$A$3:$K$300,4,0), "")</f>
        <v>EGB1303E_EXP </v>
      </c>
      <c r="D290" s="7" t="str">
        <f>IFERROR(VLOOKUP(E290,'(新)ﾍﾞﾝﾀﾞｰ小型'!$A$3:$K$241,5,0), "")</f>
        <v/>
      </c>
      <c r="E290" s="25" t="str">
        <f>'(新)ﾍﾞﾝﾀﾞｰ小型'!A291</f>
        <v> TS13377384 </v>
      </c>
      <c r="F290" s="8" t="str">
        <f>IFERROR(VLOOKUP(E290,'(新)ﾍﾞﾝﾀﾞｰ小型'!$A$3:$K$300,8,0), "")</f>
        <v>0D9825 </v>
      </c>
      <c r="G290" s="7" t="str">
        <f>IFERROR(VLOOKUP(E290,'(旧)ﾍﾞﾝﾀﾞｰ小型'!$A$3:$K$310,10,0),"")</f>
        <v/>
      </c>
      <c r="H290" s="12" t="s">
        <v>60</v>
      </c>
      <c r="I290" s="7" t="str">
        <f>IFERROR(VLOOKUP(E290,'(新)ﾍﾞﾝﾀﾞｰ小型'!$A$3:$K$300,10,0),"")</f>
        <v>2027/03/05 </v>
      </c>
    </row>
    <row r="291" spans="1:9" s="19" customFormat="1" ht="13.8" thickBot="1" x14ac:dyDescent="0.2">
      <c r="A291" s="11">
        <v>290</v>
      </c>
      <c r="B291" s="7" t="str">
        <f>IFERROR(VLOOKUP(E291,'(新)ﾍﾞﾝﾀﾞｰ小型'!$A$3:$K$300,2,0), "")</f>
        <v>03月 </v>
      </c>
      <c r="C291" s="7" t="str">
        <f>IFERROR(VLOOKUP(E291,'(新)ﾍﾞﾝﾀﾞｰ小型'!$A$3:$K$300,4,0), "")</f>
        <v>EGB1303E_EXP </v>
      </c>
      <c r="D291" s="7" t="str">
        <f>IFERROR(VLOOKUP(E291,'(新)ﾍﾞﾝﾀﾞｰ小型'!$A$3:$K$241,5,0), "")</f>
        <v/>
      </c>
      <c r="E291" s="25" t="str">
        <f>'(新)ﾍﾞﾝﾀﾞｰ小型'!A292</f>
        <v> TS13377383 </v>
      </c>
      <c r="F291" s="8" t="str">
        <f>IFERROR(VLOOKUP(E291,'(新)ﾍﾞﾝﾀﾞｰ小型'!$A$3:$K$300,8,0), "")</f>
        <v>0D9825 </v>
      </c>
      <c r="G291" s="7" t="str">
        <f>IFERROR(VLOOKUP(E291,'(旧)ﾍﾞﾝﾀﾞｰ小型'!$A$3:$K$310,10,0),"")</f>
        <v/>
      </c>
      <c r="H291" s="12" t="s">
        <v>60</v>
      </c>
      <c r="I291" s="7" t="str">
        <f>IFERROR(VLOOKUP(E291,'(新)ﾍﾞﾝﾀﾞｰ小型'!$A$3:$K$300,10,0),"")</f>
        <v>2027/03/06 </v>
      </c>
    </row>
    <row r="292" spans="1:9" s="19" customFormat="1" ht="13.8" thickBot="1" x14ac:dyDescent="0.2">
      <c r="A292" s="11">
        <v>291</v>
      </c>
      <c r="B292" s="7" t="str">
        <f>IFERROR(VLOOKUP(E292,'(新)ﾍﾞﾝﾀﾞｰ小型'!$A$3:$K$300,2,0), "")</f>
        <v>03月 </v>
      </c>
      <c r="C292" s="7" t="str">
        <f>IFERROR(VLOOKUP(E292,'(新)ﾍﾞﾝﾀﾞｰ小型'!$A$3:$K$300,4,0), "")</f>
        <v>EGB1303E_EXP </v>
      </c>
      <c r="D292" s="7" t="str">
        <f>IFERROR(VLOOKUP(E292,'(新)ﾍﾞﾝﾀﾞｰ小型'!$A$3:$K$241,5,0), "")</f>
        <v/>
      </c>
      <c r="E292" s="25" t="str">
        <f>'(新)ﾍﾞﾝﾀﾞｰ小型'!A293</f>
        <v> TS13377385 </v>
      </c>
      <c r="F292" s="8" t="str">
        <f>IFERROR(VLOOKUP(E292,'(新)ﾍﾞﾝﾀﾞｰ小型'!$A$3:$K$300,8,0), "")</f>
        <v>0D9825 </v>
      </c>
      <c r="G292" s="7" t="str">
        <f>IFERROR(VLOOKUP(E292,'(旧)ﾍﾞﾝﾀﾞｰ小型'!$A$3:$K$310,10,0),"")</f>
        <v/>
      </c>
      <c r="H292" s="12" t="s">
        <v>60</v>
      </c>
      <c r="I292" s="7" t="str">
        <f>IFERROR(VLOOKUP(E292,'(新)ﾍﾞﾝﾀﾞｰ小型'!$A$3:$K$300,10,0),"")</f>
        <v>2027/03/06 </v>
      </c>
    </row>
    <row r="293" spans="1:9" s="19" customFormat="1" ht="13.8" thickBot="1" x14ac:dyDescent="0.2">
      <c r="A293" s="11">
        <v>292</v>
      </c>
      <c r="B293" s="7" t="str">
        <f>IFERROR(VLOOKUP(E293,'(新)ﾍﾞﾝﾀﾞｰ小型'!$A$3:$K$300,2,0), "")</f>
        <v>03月 </v>
      </c>
      <c r="C293" s="7" t="str">
        <f>IFERROR(VLOOKUP(E293,'(新)ﾍﾞﾝﾀﾞｰ小型'!$A$3:$K$300,4,0), "")</f>
        <v>EGB8025E_EXP </v>
      </c>
      <c r="D293" s="7" t="str">
        <f>IFERROR(VLOOKUP(E293,'(新)ﾍﾞﾝﾀﾞｰ小型'!$A$3:$K$241,5,0), "")</f>
        <v/>
      </c>
      <c r="E293" s="25" t="str">
        <f>'(新)ﾍﾞﾝﾀﾞｰ小型'!A294</f>
        <v> TS82577337 </v>
      </c>
      <c r="F293" s="8" t="str">
        <f>IFERROR(VLOOKUP(E293,'(新)ﾍﾞﾝﾀﾞｰ小型'!$A$3:$K$300,8,0), "")</f>
        <v>0E1858 </v>
      </c>
      <c r="G293" s="7" t="str">
        <f>IFERROR(VLOOKUP(E293,'(旧)ﾍﾞﾝﾀﾞｰ小型'!$A$3:$K$310,10,0),"")</f>
        <v/>
      </c>
      <c r="H293" s="12" t="s">
        <v>60</v>
      </c>
      <c r="I293" s="7" t="str">
        <f>IFERROR(VLOOKUP(E293,'(新)ﾍﾞﾝﾀﾞｰ小型'!$A$3:$K$300,10,0),"")</f>
        <v>2027/03/09 </v>
      </c>
    </row>
    <row r="294" spans="1:9" s="19" customFormat="1" ht="13.8" thickBot="1" x14ac:dyDescent="0.2">
      <c r="A294" s="11">
        <v>293</v>
      </c>
      <c r="B294" s="7" t="str">
        <f>IFERROR(VLOOKUP(E294,'(新)ﾍﾞﾝﾀﾞｰ小型'!$A$3:$K$300,2,0), "")</f>
        <v>03月 </v>
      </c>
      <c r="C294" s="7" t="str">
        <f>IFERROR(VLOOKUP(E294,'(新)ﾍﾞﾝﾀﾞｰ小型'!$A$3:$K$300,4,0), "")</f>
        <v>EGB8025E </v>
      </c>
      <c r="D294" s="7" t="str">
        <f>IFERROR(VLOOKUP(E294,'(新)ﾍﾞﾝﾀﾞｰ小型'!$A$3:$K$241,5,0), "")</f>
        <v/>
      </c>
      <c r="E294" s="25" t="str">
        <f>'(新)ﾍﾞﾝﾀﾞｰ小型'!A295</f>
        <v> TS82577328 </v>
      </c>
      <c r="F294" s="8" t="str">
        <f>IFERROR(VLOOKUP(E294,'(新)ﾍﾞﾝﾀﾞｰ小型'!$A$3:$K$300,8,0), "")</f>
        <v>0E1240 </v>
      </c>
      <c r="G294" s="7" t="str">
        <f>IFERROR(VLOOKUP(E294,'(旧)ﾍﾞﾝﾀﾞｰ小型'!$A$3:$K$310,10,0),"")</f>
        <v/>
      </c>
      <c r="H294" s="12" t="s">
        <v>60</v>
      </c>
      <c r="I294" s="7" t="str">
        <f>IFERROR(VLOOKUP(E294,'(新)ﾍﾞﾝﾀﾞｰ小型'!$A$3:$K$300,10,0),"")</f>
        <v>2027/03/09 </v>
      </c>
    </row>
    <row r="295" spans="1:9" s="19" customFormat="1" ht="13.8" thickBot="1" x14ac:dyDescent="0.2">
      <c r="A295" s="11">
        <v>294</v>
      </c>
      <c r="B295" s="7" t="str">
        <f>IFERROR(VLOOKUP(E295,'(新)ﾍﾞﾝﾀﾞｰ小型'!$A$3:$K$300,2,0), "")</f>
        <v>03月 </v>
      </c>
      <c r="C295" s="7" t="str">
        <f>IFERROR(VLOOKUP(E295,'(新)ﾍﾞﾝﾀﾞｰ小型'!$A$3:$K$300,4,0), "")</f>
        <v>EGB6020E </v>
      </c>
      <c r="D295" s="7" t="str">
        <f>IFERROR(VLOOKUP(E295,'(新)ﾍﾞﾝﾀﾞｰ小型'!$A$3:$K$241,5,0), "")</f>
        <v/>
      </c>
      <c r="E295" s="25" t="str">
        <f>'(新)ﾍﾞﾝﾀﾞｰ小型'!A296</f>
        <v> TS62077196 </v>
      </c>
      <c r="F295" s="8" t="str">
        <f>IFERROR(VLOOKUP(E295,'(新)ﾍﾞﾝﾀﾞｰ小型'!$A$3:$K$300,8,0), "")</f>
        <v>0D7255 </v>
      </c>
      <c r="G295" s="7" t="str">
        <f>IFERROR(VLOOKUP(E295,'(旧)ﾍﾞﾝﾀﾞｰ小型'!$A$3:$K$310,10,0),"")</f>
        <v/>
      </c>
      <c r="H295" s="12" t="s">
        <v>60</v>
      </c>
      <c r="I295" s="7" t="str">
        <f>IFERROR(VLOOKUP(E295,'(新)ﾍﾞﾝﾀﾞｰ小型'!$A$3:$K$300,10,0),"")</f>
        <v>2027/03/10 </v>
      </c>
    </row>
    <row r="296" spans="1:9" s="19" customFormat="1" ht="13.8" thickBot="1" x14ac:dyDescent="0.2">
      <c r="A296" s="11">
        <v>295</v>
      </c>
      <c r="B296" s="7" t="str">
        <f>IFERROR(VLOOKUP(E296,'(新)ﾍﾞﾝﾀﾞｰ小型'!$A$3:$K$300,2,0), "")</f>
        <v>03月 </v>
      </c>
      <c r="C296" s="7" t="str">
        <f>IFERROR(VLOOKUP(E296,'(新)ﾍﾞﾝﾀﾞｰ小型'!$A$3:$K$300,4,0), "")</f>
        <v>EGB6020E </v>
      </c>
      <c r="D296" s="7" t="str">
        <f>IFERROR(VLOOKUP(E296,'(新)ﾍﾞﾝﾀﾞｰ小型'!$A$3:$K$241,5,0), "")</f>
        <v/>
      </c>
      <c r="E296" s="25" t="str">
        <f>'(新)ﾍﾞﾝﾀﾞｰ小型'!A297</f>
        <v> TS62077197 </v>
      </c>
      <c r="F296" s="8" t="str">
        <f>IFERROR(VLOOKUP(E296,'(新)ﾍﾞﾝﾀﾞｰ小型'!$A$3:$K$300,8,0), "")</f>
        <v>0D7255 </v>
      </c>
      <c r="G296" s="7" t="str">
        <f>IFERROR(VLOOKUP(E296,'(旧)ﾍﾞﾝﾀﾞｰ小型'!$A$3:$K$310,10,0),"")</f>
        <v/>
      </c>
      <c r="H296" s="12" t="s">
        <v>60</v>
      </c>
      <c r="I296" s="7" t="str">
        <f>IFERROR(VLOOKUP(E296,'(新)ﾍﾞﾝﾀﾞｰ小型'!$A$3:$K$300,10,0),"")</f>
        <v>2027/03/11 </v>
      </c>
    </row>
    <row r="297" spans="1:9" s="19" customFormat="1" ht="13.8" thickBot="1" x14ac:dyDescent="0.2">
      <c r="A297" s="11">
        <v>296</v>
      </c>
      <c r="B297" s="7" t="str">
        <f>IFERROR(VLOOKUP(E297,'(新)ﾍﾞﾝﾀﾞｰ小型'!$A$3:$K$300,2,0), "")</f>
        <v>03月 </v>
      </c>
      <c r="C297" s="7" t="str">
        <f>IFERROR(VLOOKUP(E297,'(新)ﾍﾞﾝﾀﾞｰ小型'!$A$3:$K$300,4,0), "")</f>
        <v>EGB6020E </v>
      </c>
      <c r="D297" s="7" t="str">
        <f>IFERROR(VLOOKUP(E297,'(新)ﾍﾞﾝﾀﾞｰ小型'!$A$3:$K$241,5,0), "")</f>
        <v/>
      </c>
      <c r="E297" s="25" t="str">
        <f>'(新)ﾍﾞﾝﾀﾞｰ小型'!A298</f>
        <v> TS62077203 </v>
      </c>
      <c r="F297" s="8" t="str">
        <f>IFERROR(VLOOKUP(E297,'(新)ﾍﾞﾝﾀﾞｰ小型'!$A$3:$K$300,8,0), "")</f>
        <v>0D7255 </v>
      </c>
      <c r="G297" s="7" t="str">
        <f>IFERROR(VLOOKUP(E297,'(旧)ﾍﾞﾝﾀﾞｰ小型'!$A$3:$K$310,10,0),"")</f>
        <v/>
      </c>
      <c r="H297" s="12" t="s">
        <v>60</v>
      </c>
      <c r="I297" s="7" t="str">
        <f>IFERROR(VLOOKUP(E297,'(新)ﾍﾞﾝﾀﾞｰ小型'!$A$3:$K$300,10,0),"")</f>
        <v>2027/03/11 </v>
      </c>
    </row>
    <row r="298" spans="1:9" s="19" customFormat="1" ht="13.8" thickBot="1" x14ac:dyDescent="0.2">
      <c r="A298" s="11">
        <v>297</v>
      </c>
      <c r="B298" s="7" t="str">
        <f>IFERROR(VLOOKUP(E298,'(新)ﾍﾞﾝﾀﾞｰ小型'!$A$3:$K$300,2,0), "")</f>
        <v>03月 </v>
      </c>
      <c r="C298" s="7" t="str">
        <f>IFERROR(VLOOKUP(E298,'(新)ﾍﾞﾝﾀﾞｰ小型'!$A$3:$K$300,4,0), "")</f>
        <v>EGB1303E </v>
      </c>
      <c r="D298" s="7" t="str">
        <f>IFERROR(VLOOKUP(E298,'(新)ﾍﾞﾝﾀﾞｰ小型'!$A$3:$K$241,5,0), "")</f>
        <v/>
      </c>
      <c r="E298" s="25" t="str">
        <f>'(新)ﾍﾞﾝﾀﾞｰ小型'!A299</f>
        <v> TS13377377 </v>
      </c>
      <c r="F298" s="8" t="str">
        <f>IFERROR(VLOOKUP(E298,'(新)ﾍﾞﾝﾀﾞｰ小型'!$A$3:$K$300,8,0), "")</f>
        <v>0D9824 </v>
      </c>
      <c r="G298" s="7" t="str">
        <f>IFERROR(VLOOKUP(E298,'(旧)ﾍﾞﾝﾀﾞｰ小型'!$A$3:$K$310,10,0),"")</f>
        <v/>
      </c>
      <c r="H298" s="12" t="s">
        <v>60</v>
      </c>
      <c r="I298" s="7" t="str">
        <f>IFERROR(VLOOKUP(E298,'(新)ﾍﾞﾝﾀﾞｰ小型'!$A$3:$K$300,10,0),"")</f>
        <v>2027/03/12 </v>
      </c>
    </row>
    <row r="299" spans="1:9" s="19" customFormat="1" ht="13.8" thickBot="1" x14ac:dyDescent="0.2">
      <c r="A299" s="11">
        <v>298</v>
      </c>
      <c r="B299" s="7" t="str">
        <f>IFERROR(VLOOKUP(E299,'(新)ﾍﾞﾝﾀﾞｰ小型'!$A$3:$K$300,2,0), "")</f>
        <v>03月 </v>
      </c>
      <c r="C299" s="7" t="str">
        <f>IFERROR(VLOOKUP(E299,'(新)ﾍﾞﾝﾀﾞｰ小型'!$A$3:$K$300,4,0), "")</f>
        <v>EGB1303E </v>
      </c>
      <c r="D299" s="7" t="str">
        <f>IFERROR(VLOOKUP(E299,'(新)ﾍﾞﾝﾀﾞｰ小型'!$A$3:$K$241,5,0), "")</f>
        <v/>
      </c>
      <c r="E299" s="25" t="str">
        <f>'(新)ﾍﾞﾝﾀﾞｰ小型'!A300</f>
        <v> TS13377378 </v>
      </c>
      <c r="F299" s="8" t="str">
        <f>IFERROR(VLOOKUP(E299,'(新)ﾍﾞﾝﾀﾞｰ小型'!$A$3:$K$300,8,0), "")</f>
        <v>0D9824 </v>
      </c>
      <c r="G299" s="7" t="str">
        <f>IFERROR(VLOOKUP(E299,'(旧)ﾍﾞﾝﾀﾞｰ小型'!$A$3:$K$310,10,0),"")</f>
        <v/>
      </c>
      <c r="H299" s="12" t="s">
        <v>60</v>
      </c>
      <c r="I299" s="7" t="str">
        <f>IFERROR(VLOOKUP(E299,'(新)ﾍﾞﾝﾀﾞｰ小型'!$A$3:$K$300,10,0),"")</f>
        <v>2027/03/12 </v>
      </c>
    </row>
    <row r="300" spans="1:9" s="19" customFormat="1" ht="13.8" thickBot="1" x14ac:dyDescent="0.2">
      <c r="A300" s="11">
        <v>299</v>
      </c>
      <c r="B300" s="7" t="str">
        <f>IFERROR(VLOOKUP(E300,'(新)ﾍﾞﾝﾀﾞｰ小型'!$A$3:$K$300,2,0), "")</f>
        <v/>
      </c>
      <c r="C300" s="7" t="str">
        <f>IFERROR(VLOOKUP(E300,'(新)ﾍﾞﾝﾀﾞｰ小型'!$A$3:$K$300,4,0), "")</f>
        <v/>
      </c>
      <c r="D300" s="7" t="str">
        <f>IFERROR(VLOOKUP(E300,'(新)ﾍﾞﾝﾀﾞｰ小型'!$A$3:$K$241,5,0), "")</f>
        <v/>
      </c>
      <c r="E300" s="25" t="str">
        <f>'(新)ﾍﾞﾝﾀﾞｰ小型'!A301</f>
        <v> TS82577329 </v>
      </c>
      <c r="F300" s="8" t="str">
        <f>IFERROR(VLOOKUP(E300,'(新)ﾍﾞﾝﾀﾞｰ小型'!$A$3:$K$300,8,0), "")</f>
        <v/>
      </c>
      <c r="G300" s="7" t="str">
        <f>IFERROR(VLOOKUP(E300,'(旧)ﾍﾞﾝﾀﾞｰ小型'!$A$3:$K$310,10,0),"")</f>
        <v/>
      </c>
      <c r="H300" s="12" t="s">
        <v>60</v>
      </c>
      <c r="I300" s="7" t="str">
        <f>IFERROR(VLOOKUP(E300,'(新)ﾍﾞﾝﾀﾞｰ小型'!$A$3:$K$300,10,0),"")</f>
        <v/>
      </c>
    </row>
    <row r="301" spans="1:9" s="19" customFormat="1" ht="13.8" thickBot="1" x14ac:dyDescent="0.2">
      <c r="A301" s="11">
        <v>300</v>
      </c>
      <c r="B301" s="7" t="str">
        <f>IFERROR(VLOOKUP(E301,'(新)ﾍﾞﾝﾀﾞｰ小型'!$A$3:$K$300,2,0), "")</f>
        <v/>
      </c>
      <c r="C301" s="7" t="str">
        <f>IFERROR(VLOOKUP(E301,'(新)ﾍﾞﾝﾀﾞｰ小型'!$A$3:$K$300,4,0), "")</f>
        <v/>
      </c>
      <c r="D301" s="7" t="str">
        <f>IFERROR(VLOOKUP(E301,'(新)ﾍﾞﾝﾀﾞｰ小型'!$A$3:$K$241,5,0), "")</f>
        <v/>
      </c>
      <c r="E301" s="25" t="str">
        <f>'(新)ﾍﾞﾝﾀﾞｰ小型'!A302</f>
        <v> TS82577330 </v>
      </c>
      <c r="F301" s="8" t="str">
        <f>IFERROR(VLOOKUP(E301,'(新)ﾍﾞﾝﾀﾞｰ小型'!$A$3:$K$300,8,0), "")</f>
        <v/>
      </c>
      <c r="G301" s="7" t="str">
        <f>IFERROR(VLOOKUP(E301,'(旧)ﾍﾞﾝﾀﾞｰ小型'!$A$3:$K$310,10,0),"")</f>
        <v/>
      </c>
      <c r="H301" s="12" t="s">
        <v>60</v>
      </c>
      <c r="I301" s="7" t="str">
        <f>IFERROR(VLOOKUP(E301,'(新)ﾍﾞﾝﾀﾞｰ小型'!$A$3:$K$300,10,0),"")</f>
        <v/>
      </c>
    </row>
    <row r="302" spans="1:9" s="19" customFormat="1" ht="13.8" thickBot="1" x14ac:dyDescent="0.2">
      <c r="A302" s="11">
        <v>301</v>
      </c>
      <c r="B302" s="7" t="str">
        <f>IFERROR(VLOOKUP(E302,'(新)ﾍﾞﾝﾀﾞｰ小型'!$A$3:$K$241,2,0), "")</f>
        <v/>
      </c>
      <c r="C302" s="7" t="str">
        <f>IFERROR(VLOOKUP(E302,'(新)ﾍﾞﾝﾀﾞｰ小型'!$A$3:$K$300,4,0), "")</f>
        <v/>
      </c>
      <c r="D302" s="7" t="str">
        <f>IFERROR(VLOOKUP(E302,'(新)ﾍﾞﾝﾀﾞｰ小型'!$A$3:$K$241,5,0), "")</f>
        <v/>
      </c>
      <c r="E302" s="25" t="str">
        <f>'(新)ﾍﾞﾝﾀﾞｰ小型'!A303</f>
        <v> TS82577331 </v>
      </c>
      <c r="F302" s="8" t="str">
        <f>IFERROR(VLOOKUP(E302,'(新)ﾍﾞﾝﾀﾞｰ小型'!$A$3:$K$300,8,0), "")</f>
        <v/>
      </c>
      <c r="G302" s="7" t="str">
        <f>IFERROR(VLOOKUP(E302,'(旧)ﾍﾞﾝﾀﾞｰ小型'!$A$3:$K$310,10,0),"")</f>
        <v/>
      </c>
      <c r="H302" s="12" t="s">
        <v>60</v>
      </c>
      <c r="I302" s="7" t="str">
        <f>IFERROR(VLOOKUP(E302,'(新)ﾍﾞﾝﾀﾞｰ小型'!$A$3:$K$300,10,0),"")</f>
        <v/>
      </c>
    </row>
    <row r="303" spans="1:9" s="19" customFormat="1" ht="13.8" thickBot="1" x14ac:dyDescent="0.2">
      <c r="A303" s="11">
        <v>302</v>
      </c>
      <c r="B303" s="7" t="str">
        <f>IFERROR(VLOOKUP(E303,'(新)ﾍﾞﾝﾀﾞｰ小型'!$A$3:$K$241,2,0), "")</f>
        <v/>
      </c>
      <c r="C303" s="7" t="str">
        <f>IFERROR(VLOOKUP(E303,'(新)ﾍﾞﾝﾀﾞｰ小型'!$A$3:$K$300,4,0), "")</f>
        <v/>
      </c>
      <c r="D303" s="7" t="str">
        <f>IFERROR(VLOOKUP(E303,'(新)ﾍﾞﾝﾀﾞｰ小型'!$A$3:$K$241,5,0), "")</f>
        <v/>
      </c>
      <c r="E303" s="25" t="str">
        <f>'(新)ﾍﾞﾝﾀﾞｰ小型'!A304</f>
        <v> TS82577333 </v>
      </c>
      <c r="F303" s="8" t="str">
        <f>IFERROR(VLOOKUP(E303,'(新)ﾍﾞﾝﾀﾞｰ小型'!$A$3:$K$300,8,0), "")</f>
        <v/>
      </c>
      <c r="G303" s="7" t="str">
        <f>IFERROR(VLOOKUP(E303,'(旧)ﾍﾞﾝﾀﾞｰ小型'!$A$3:$K$310,10,0),"")</f>
        <v/>
      </c>
      <c r="H303" s="12" t="s">
        <v>60</v>
      </c>
      <c r="I303" s="7" t="str">
        <f>IFERROR(VLOOKUP(E303,'(新)ﾍﾞﾝﾀﾞｰ小型'!$A$3:$K$300,10,0),"")</f>
        <v/>
      </c>
    </row>
    <row r="304" spans="1:9" s="19" customFormat="1" ht="13.8" thickBot="1" x14ac:dyDescent="0.2">
      <c r="A304" s="11">
        <v>303</v>
      </c>
      <c r="B304" s="7" t="str">
        <f>IFERROR(VLOOKUP(E304,'(新)ﾍﾞﾝﾀﾞｰ小型'!$A$3:$K$241,2,0), "")</f>
        <v/>
      </c>
      <c r="C304" s="7" t="str">
        <f>IFERROR(VLOOKUP(E304,'(新)ﾍﾞﾝﾀﾞｰ小型'!$A$3:$K$300,4,0), "")</f>
        <v/>
      </c>
      <c r="D304" s="7" t="str">
        <f>IFERROR(VLOOKUP(E304,'(新)ﾍﾞﾝﾀﾞｰ小型'!$A$3:$K$241,5,0), "")</f>
        <v/>
      </c>
      <c r="E304" s="25" t="str">
        <f>'(新)ﾍﾞﾝﾀﾞｰ小型'!A305</f>
        <v> TS82577332 </v>
      </c>
      <c r="F304" s="8" t="str">
        <f>IFERROR(VLOOKUP(E304,'(新)ﾍﾞﾝﾀﾞｰ小型'!$A$3:$K$300,8,0), "")</f>
        <v/>
      </c>
      <c r="G304" s="7" t="str">
        <f>IFERROR(VLOOKUP(E304,'(旧)ﾍﾞﾝﾀﾞｰ小型'!$A$3:$K$310,10,0),"")</f>
        <v/>
      </c>
      <c r="H304" s="12" t="s">
        <v>60</v>
      </c>
      <c r="I304" s="7" t="str">
        <f>IFERROR(VLOOKUP(E304,'(新)ﾍﾞﾝﾀﾞｰ小型'!$A$3:$K$300,10,0),"")</f>
        <v/>
      </c>
    </row>
    <row r="305" spans="1:9" s="19" customFormat="1" ht="13.8" thickBot="1" x14ac:dyDescent="0.2">
      <c r="A305" s="11">
        <v>304</v>
      </c>
      <c r="B305" s="7" t="str">
        <f>IFERROR(VLOOKUP(E305,'(新)ﾍﾞﾝﾀﾞｰ小型'!$A$3:$K$241,2,0), "")</f>
        <v/>
      </c>
      <c r="C305" s="7" t="str">
        <f>IFERROR(VLOOKUP(E305,'(新)ﾍﾞﾝﾀﾞｰ小型'!$A$3:$K$300,4,0), "")</f>
        <v/>
      </c>
      <c r="D305" s="7" t="str">
        <f>IFERROR(VLOOKUP(E305,'(新)ﾍﾞﾝﾀﾞｰ小型'!$A$3:$K$241,5,0), "")</f>
        <v/>
      </c>
      <c r="E305" s="25" t="str">
        <f>'(新)ﾍﾞﾝﾀﾞｰ小型'!A306</f>
        <v> TS82577342 </v>
      </c>
      <c r="F305" s="8" t="str">
        <f>IFERROR(VLOOKUP(E305,'(新)ﾍﾞﾝﾀﾞｰ小型'!$A$3:$K$300,8,0), "")</f>
        <v/>
      </c>
      <c r="G305" s="7" t="str">
        <f>IFERROR(VLOOKUP(E305,'(旧)ﾍﾞﾝﾀﾞｰ小型'!$A$3:$K$310,10,0),"")</f>
        <v/>
      </c>
      <c r="H305" s="12" t="s">
        <v>60</v>
      </c>
      <c r="I305" s="7" t="str">
        <f>IFERROR(VLOOKUP(E305,'(新)ﾍﾞﾝﾀﾞｰ小型'!$A$3:$K$300,10,0),"")</f>
        <v/>
      </c>
    </row>
    <row r="306" spans="1:9" s="19" customFormat="1" ht="13.8" thickBot="1" x14ac:dyDescent="0.2">
      <c r="A306" s="11">
        <v>305</v>
      </c>
      <c r="B306" s="7" t="str">
        <f>IFERROR(VLOOKUP(E306,'(新)ﾍﾞﾝﾀﾞｰ小型'!$A$3:$K$241,2,0), "")</f>
        <v/>
      </c>
      <c r="C306" s="7" t="str">
        <f>IFERROR(VLOOKUP(E306,'(新)ﾍﾞﾝﾀﾞｰ小型'!$A$3:$K$300,4,0), "")</f>
        <v/>
      </c>
      <c r="D306" s="7" t="str">
        <f>IFERROR(VLOOKUP(E306,'(新)ﾍﾞﾝﾀﾞｰ小型'!$A$3:$K$241,5,0), "")</f>
        <v/>
      </c>
      <c r="E306" s="25" t="str">
        <f>'(新)ﾍﾞﾝﾀﾞｰ小型'!A307</f>
        <v> TS13377388 </v>
      </c>
      <c r="F306" s="8" t="str">
        <f>IFERROR(VLOOKUP(E306,'(新)ﾍﾞﾝﾀﾞｰ小型'!$A$3:$K$300,8,0), "")</f>
        <v/>
      </c>
      <c r="G306" s="7" t="str">
        <f>IFERROR(VLOOKUP(E306,'(旧)ﾍﾞﾝﾀﾞｰ小型'!$A$3:$K$310,10,0),"")</f>
        <v/>
      </c>
      <c r="H306" s="12" t="s">
        <v>60</v>
      </c>
      <c r="I306" s="7" t="str">
        <f>IFERROR(VLOOKUP(E306,'(新)ﾍﾞﾝﾀﾞｰ小型'!$A$3:$K$300,10,0),"")</f>
        <v/>
      </c>
    </row>
    <row r="307" spans="1:9" s="19" customFormat="1" ht="13.8" thickBot="1" x14ac:dyDescent="0.2">
      <c r="A307" s="11">
        <v>306</v>
      </c>
      <c r="B307" s="7" t="str">
        <f>IFERROR(VLOOKUP(E307,'(新)ﾍﾞﾝﾀﾞｰ小型'!$A$3:$K$241,2,0), "")</f>
        <v/>
      </c>
      <c r="C307" s="7" t="str">
        <f>IFERROR(VLOOKUP(E307,'(新)ﾍﾞﾝﾀﾞｰ小型'!$A$3:$K$300,4,0), "")</f>
        <v/>
      </c>
      <c r="D307" s="7" t="str">
        <f>IFERROR(VLOOKUP(E307,'(新)ﾍﾞﾝﾀﾞｰ小型'!$A$3:$K$241,5,0), "")</f>
        <v/>
      </c>
      <c r="E307" s="25" t="str">
        <f>'(新)ﾍﾞﾝﾀﾞｰ小型'!A308</f>
        <v> TS13377387 </v>
      </c>
      <c r="F307" s="8" t="str">
        <f>IFERROR(VLOOKUP(E307,'(新)ﾍﾞﾝﾀﾞｰ小型'!$A$3:$K$300,8,0), "")</f>
        <v/>
      </c>
      <c r="G307" s="7" t="str">
        <f>IFERROR(VLOOKUP(E307,'(旧)ﾍﾞﾝﾀﾞｰ小型'!$A$3:$K$310,10,0),"")</f>
        <v/>
      </c>
      <c r="H307" s="12" t="s">
        <v>60</v>
      </c>
      <c r="I307" s="7" t="str">
        <f>IFERROR(VLOOKUP(E307,'(新)ﾍﾞﾝﾀﾞｰ小型'!$A$3:$K$300,10,0),"")</f>
        <v/>
      </c>
    </row>
    <row r="308" spans="1:9" s="19" customFormat="1" ht="13.8" thickBot="1" x14ac:dyDescent="0.2">
      <c r="A308" s="11">
        <v>307</v>
      </c>
      <c r="B308" s="7" t="str">
        <f>IFERROR(VLOOKUP(E308,'(新)ﾍﾞﾝﾀﾞｰ小型'!$A$3:$K$241,2,0), "")</f>
        <v/>
      </c>
      <c r="C308" s="7" t="str">
        <f>IFERROR(VLOOKUP(E308,'(新)ﾍﾞﾝﾀﾞｰ小型'!$A$3:$K$300,4,0), "")</f>
        <v/>
      </c>
      <c r="D308" s="7" t="str">
        <f>IFERROR(VLOOKUP(E308,'(新)ﾍﾞﾝﾀﾞｰ小型'!$A$3:$K$241,5,0), "")</f>
        <v/>
      </c>
      <c r="E308" s="25">
        <f>'(新)ﾍﾞﾝﾀﾞｰ小型'!A309</f>
        <v>0</v>
      </c>
      <c r="F308" s="8" t="str">
        <f>IFERROR(VLOOKUP(E308,'(新)ﾍﾞﾝﾀﾞｰ小型'!$A$3:$K$300,8,0), "")</f>
        <v/>
      </c>
      <c r="G308" s="7" t="str">
        <f>IFERROR(VLOOKUP(E308,'(旧)ﾍﾞﾝﾀﾞｰ小型'!$A$3:$K$310,10,0),"")</f>
        <v/>
      </c>
      <c r="H308" s="12" t="s">
        <v>60</v>
      </c>
      <c r="I308" s="7" t="str">
        <f>IFERROR(VLOOKUP(E308,'(新)ﾍﾞﾝﾀﾞｰ小型'!$A$3:$K$300,10,0),"")</f>
        <v/>
      </c>
    </row>
    <row r="309" spans="1:9" s="19" customFormat="1" ht="13.8" thickBot="1" x14ac:dyDescent="0.2">
      <c r="A309" s="11">
        <v>308</v>
      </c>
      <c r="B309" s="7" t="str">
        <f>IFERROR(VLOOKUP(E309,'(新)ﾍﾞﾝﾀﾞｰ小型'!$A$3:$K$241,2,0), "")</f>
        <v/>
      </c>
      <c r="C309" s="7" t="str">
        <f>IFERROR(VLOOKUP(E309,'(新)ﾍﾞﾝﾀﾞｰ小型'!$A$3:$K$300,4,0), "")</f>
        <v/>
      </c>
      <c r="D309" s="7" t="str">
        <f>IFERROR(VLOOKUP(E309,'(新)ﾍﾞﾝﾀﾞｰ小型'!$A$3:$K$241,5,0), "")</f>
        <v/>
      </c>
      <c r="E309" s="25">
        <f>'(新)ﾍﾞﾝﾀﾞｰ小型'!A310</f>
        <v>0</v>
      </c>
      <c r="F309" s="8" t="str">
        <f>IFERROR(VLOOKUP(E309,'(新)ﾍﾞﾝﾀﾞｰ小型'!$A$3:$K$300,8,0), "")</f>
        <v/>
      </c>
      <c r="G309" s="7" t="str">
        <f>IFERROR(VLOOKUP(E309,'(旧)ﾍﾞﾝﾀﾞｰ小型'!$A$3:$K$310,10,0),"")</f>
        <v/>
      </c>
      <c r="H309" s="12" t="s">
        <v>60</v>
      </c>
      <c r="I309" s="7" t="str">
        <f>IFERROR(VLOOKUP(E309,'(新)ﾍﾞﾝﾀﾞｰ小型'!$A$3:$K$300,10,0),"")</f>
        <v/>
      </c>
    </row>
    <row r="310" spans="1:9" s="19" customFormat="1" ht="13.8" thickBot="1" x14ac:dyDescent="0.2">
      <c r="A310" s="11">
        <v>309</v>
      </c>
      <c r="B310" s="7" t="str">
        <f>IFERROR(VLOOKUP(E310,'(新)ﾍﾞﾝﾀﾞｰ小型'!$A$3:$K$241,2,0), "")</f>
        <v/>
      </c>
      <c r="C310" s="7" t="str">
        <f>IFERROR(VLOOKUP(E310,'(新)ﾍﾞﾝﾀﾞｰ小型'!$A$3:$K$300,4,0), "")</f>
        <v/>
      </c>
      <c r="D310" s="7" t="str">
        <f>IFERROR(VLOOKUP(E310,'(新)ﾍﾞﾝﾀﾞｰ小型'!$A$3:$K$241,5,0), "")</f>
        <v/>
      </c>
      <c r="E310" s="25">
        <f>'(新)ﾍﾞﾝﾀﾞｰ小型'!A311</f>
        <v>0</v>
      </c>
      <c r="F310" s="8" t="str">
        <f>IFERROR(VLOOKUP(E310,'(新)ﾍﾞﾝﾀﾞｰ小型'!$A$3:$K$300,8,0), "")</f>
        <v/>
      </c>
      <c r="G310" s="7" t="str">
        <f>IFERROR(VLOOKUP(E310,'(旧)ﾍﾞﾝﾀﾞｰ小型'!$A$3:$K$310,10,0),"")</f>
        <v/>
      </c>
      <c r="H310" s="12" t="s">
        <v>60</v>
      </c>
      <c r="I310" s="7" t="str">
        <f>IFERROR(VLOOKUP(E310,'(新)ﾍﾞﾝﾀﾞｰ小型'!$A$3:$K$300,10,0),"")</f>
        <v/>
      </c>
    </row>
    <row r="311" spans="1:9" s="19" customFormat="1" ht="13.8" thickBot="1" x14ac:dyDescent="0.2">
      <c r="A311" s="11">
        <v>310</v>
      </c>
      <c r="B311" s="7" t="str">
        <f>IFERROR(VLOOKUP(E311,'(新)ﾍﾞﾝﾀﾞｰ小型'!$A$3:$K$241,2,0), "")</f>
        <v/>
      </c>
      <c r="C311" s="7" t="str">
        <f>IFERROR(VLOOKUP(E311,'(新)ﾍﾞﾝﾀﾞｰ小型'!$A$3:$K$300,4,0), "")</f>
        <v/>
      </c>
      <c r="D311" s="7" t="str">
        <f>IFERROR(VLOOKUP(E311,'(新)ﾍﾞﾝﾀﾞｰ小型'!$A$3:$K$241,5,0), "")</f>
        <v/>
      </c>
      <c r="E311" s="25">
        <f>'(新)ﾍﾞﾝﾀﾞｰ小型'!A312</f>
        <v>0</v>
      </c>
      <c r="F311" s="8" t="str">
        <f>IFERROR(VLOOKUP(E311,'(新)ﾍﾞﾝﾀﾞｰ小型'!$A$3:$K$300,8,0), "")</f>
        <v/>
      </c>
      <c r="G311" s="7" t="str">
        <f>IFERROR(VLOOKUP(E311,'(旧)ﾍﾞﾝﾀﾞｰ小型'!$A$3:$K$310,10,0),"")</f>
        <v/>
      </c>
      <c r="H311" s="12" t="s">
        <v>60</v>
      </c>
      <c r="I311" s="7" t="str">
        <f>IFERROR(VLOOKUP(E311,'(新)ﾍﾞﾝﾀﾞｰ小型'!$A$3:$K$300,10,0),"")</f>
        <v/>
      </c>
    </row>
    <row r="312" spans="1:9" s="19" customFormat="1" ht="13.8" thickBot="1" x14ac:dyDescent="0.2">
      <c r="A312" s="11">
        <v>311</v>
      </c>
      <c r="B312" s="7" t="str">
        <f>IFERROR(VLOOKUP(E312,'(新)ﾍﾞﾝﾀﾞｰ小型'!$A$3:$K$241,2,0), "")</f>
        <v/>
      </c>
      <c r="C312" s="7" t="str">
        <f>IFERROR(VLOOKUP(E312,'(新)ﾍﾞﾝﾀﾞｰ小型'!$A$3:$K$300,4,0), "")</f>
        <v/>
      </c>
      <c r="D312" s="7" t="str">
        <f>IFERROR(VLOOKUP(E312,'(新)ﾍﾞﾝﾀﾞｰ小型'!$A$3:$K$241,5,0), "")</f>
        <v/>
      </c>
      <c r="E312" s="25">
        <f>'(新)ﾍﾞﾝﾀﾞｰ小型'!A313</f>
        <v>0</v>
      </c>
      <c r="F312" s="8" t="str">
        <f>IFERROR(VLOOKUP(E312,'(新)ﾍﾞﾝﾀﾞｰ小型'!$A$3:$K$241,8,0), "")</f>
        <v/>
      </c>
      <c r="G312" s="7" t="str">
        <f>IFERROR(VLOOKUP(E312,'(旧)ﾍﾞﾝﾀﾞｰ小型'!$A$3:$K$310,10,0),"")</f>
        <v/>
      </c>
      <c r="H312" s="12" t="s">
        <v>60</v>
      </c>
      <c r="I312" s="7" t="str">
        <f>IFERROR(VLOOKUP(E312,'(新)ﾍﾞﾝﾀﾞｰ小型'!$A$3:$K$300,10,0),"")</f>
        <v/>
      </c>
    </row>
    <row r="313" spans="1:9" s="19" customFormat="1" ht="13.8" thickBot="1" x14ac:dyDescent="0.2">
      <c r="A313" s="11">
        <v>312</v>
      </c>
      <c r="B313" s="7" t="str">
        <f>IFERROR(VLOOKUP(E313,'(新)ﾍﾞﾝﾀﾞｰ小型'!$A$3:$K$241,2,0), "")</f>
        <v/>
      </c>
      <c r="C313" s="7" t="str">
        <f>IFERROR(VLOOKUP(E313,'(新)ﾍﾞﾝﾀﾞｰ小型'!$A$3:$K$300,4,0), "")</f>
        <v/>
      </c>
      <c r="D313" s="7" t="str">
        <f>IFERROR(VLOOKUP(E313,'(新)ﾍﾞﾝﾀﾞｰ小型'!$A$3:$K$241,5,0), "")</f>
        <v/>
      </c>
      <c r="E313" s="25">
        <f>'(新)ﾍﾞﾝﾀﾞｰ小型'!A314</f>
        <v>0</v>
      </c>
      <c r="F313" s="8" t="str">
        <f>IFERROR(VLOOKUP(E313,'(新)ﾍﾞﾝﾀﾞｰ小型'!$A$3:$K$241,8,0), "")</f>
        <v/>
      </c>
      <c r="G313" s="7" t="str">
        <f>IFERROR(VLOOKUP(E313,'(旧)ﾍﾞﾝﾀﾞｰ小型'!$A$3:$K$310,10,0),"")</f>
        <v/>
      </c>
      <c r="H313" s="12" t="s">
        <v>60</v>
      </c>
      <c r="I313" s="7" t="str">
        <f>IFERROR(VLOOKUP(E313,'(新)ﾍﾞﾝﾀﾞｰ小型'!$A$3:$K$300,10,0),"")</f>
        <v/>
      </c>
    </row>
    <row r="314" spans="1:9" s="19" customFormat="1" ht="13.8" thickBot="1" x14ac:dyDescent="0.2">
      <c r="A314" s="11">
        <v>313</v>
      </c>
      <c r="B314" s="7" t="str">
        <f>IFERROR(VLOOKUP(E314,'(新)ﾍﾞﾝﾀﾞｰ小型'!$A$3:$K$241,2,0), "")</f>
        <v/>
      </c>
      <c r="C314" s="7" t="str">
        <f>IFERROR(VLOOKUP(E314,'(新)ﾍﾞﾝﾀﾞｰ小型'!$A$3:$K$300,4,0), "")</f>
        <v/>
      </c>
      <c r="D314" s="7" t="str">
        <f>IFERROR(VLOOKUP(E314,'(新)ﾍﾞﾝﾀﾞｰ小型'!$A$3:$K$241,5,0), "")</f>
        <v/>
      </c>
      <c r="E314" s="25">
        <f>'(新)ﾍﾞﾝﾀﾞｰ小型'!A315</f>
        <v>0</v>
      </c>
      <c r="F314" s="8" t="str">
        <f>IFERROR(VLOOKUP(E314,'(新)ﾍﾞﾝﾀﾞｰ小型'!$A$3:$K$241,8,0), "")</f>
        <v/>
      </c>
      <c r="G314" s="7" t="str">
        <f>IFERROR(VLOOKUP(E314,'(旧)ﾍﾞﾝﾀﾞｰ小型'!$A$3:$K$310,10,0),"")</f>
        <v/>
      </c>
      <c r="H314" s="12" t="s">
        <v>60</v>
      </c>
      <c r="I314" s="7" t="str">
        <f>IFERROR(VLOOKUP(E314,'(新)ﾍﾞﾝﾀﾞｰ小型'!$A$3:$K$300,10,0),"")</f>
        <v/>
      </c>
    </row>
    <row r="315" spans="1:9" s="19" customFormat="1" ht="13.8" thickBot="1" x14ac:dyDescent="0.2">
      <c r="A315" s="11">
        <v>314</v>
      </c>
      <c r="B315" s="7" t="str">
        <f>IFERROR(VLOOKUP(E315,'(新)ﾍﾞﾝﾀﾞｰ小型'!$A$3:$K$241,2,0), "")</f>
        <v/>
      </c>
      <c r="C315" s="7" t="str">
        <f>IFERROR(VLOOKUP(E315,'(新)ﾍﾞﾝﾀﾞｰ小型'!$A$3:$K$300,4,0), "")</f>
        <v/>
      </c>
      <c r="D315" s="7" t="str">
        <f>IFERROR(VLOOKUP(E315,'(新)ﾍﾞﾝﾀﾞｰ小型'!$A$3:$K$241,5,0), "")</f>
        <v/>
      </c>
      <c r="E315" s="25">
        <f>'(新)ﾍﾞﾝﾀﾞｰ小型'!A316</f>
        <v>0</v>
      </c>
      <c r="F315" s="8" t="str">
        <f>IFERROR(VLOOKUP(E315,'(新)ﾍﾞﾝﾀﾞｰ小型'!$A$3:$K$241,8,0), "")</f>
        <v/>
      </c>
      <c r="G315" s="7" t="str">
        <f>IFERROR(VLOOKUP(E315,'(旧)ﾍﾞﾝﾀﾞｰ小型'!$A$3:$K$310,10,0),"")</f>
        <v/>
      </c>
      <c r="H315" s="12" t="s">
        <v>60</v>
      </c>
      <c r="I315" s="7" t="str">
        <f>IFERROR(VLOOKUP(E315,'(新)ﾍﾞﾝﾀﾞｰ小型'!$A$3:$K$300,10,0),"")</f>
        <v/>
      </c>
    </row>
    <row r="316" spans="1:9" s="19" customFormat="1" ht="13.8" thickBot="1" x14ac:dyDescent="0.2">
      <c r="A316" s="11">
        <v>315</v>
      </c>
      <c r="B316" s="7" t="str">
        <f>IFERROR(VLOOKUP(E316,'(新)ﾍﾞﾝﾀﾞｰ小型'!$A$3:$K$241,2,0), "")</f>
        <v/>
      </c>
      <c r="C316" s="7" t="str">
        <f>IFERROR(VLOOKUP(E316,'(新)ﾍﾞﾝﾀﾞｰ小型'!$A$3:$K$300,4,0), "")</f>
        <v/>
      </c>
      <c r="D316" s="7" t="str">
        <f>IFERROR(VLOOKUP(E316,'(新)ﾍﾞﾝﾀﾞｰ小型'!$A$3:$K$241,5,0), "")</f>
        <v/>
      </c>
      <c r="E316" s="25">
        <f>'(新)ﾍﾞﾝﾀﾞｰ小型'!A317</f>
        <v>0</v>
      </c>
      <c r="F316" s="8" t="str">
        <f ca="1">IFERROR(F22VLOOKUP(E316,'(新)ﾍﾞﾝﾀﾞｰ小型'!$A$3:$K$241,8,0), "")</f>
        <v/>
      </c>
      <c r="G316" s="7" t="str">
        <f>IFERROR(VLOOKUP(E316,'(旧)ﾍﾞﾝﾀﾞｰ小型'!$A$3:$K$310,10,0),"")</f>
        <v/>
      </c>
      <c r="H316" s="12" t="s">
        <v>60</v>
      </c>
      <c r="I316" s="7" t="str">
        <f>IFERROR(VLOOKUP(E316,'(新)ﾍﾞﾝﾀﾞｰ小型'!$A$3:$K$300,10,0),"")</f>
        <v/>
      </c>
    </row>
    <row r="317" spans="1:9" s="19" customFormat="1" ht="13.8" thickBot="1" x14ac:dyDescent="0.2">
      <c r="A317" s="11">
        <v>316</v>
      </c>
      <c r="B317" s="7" t="str">
        <f>IFERROR(VLOOKUP(E317,'(新)ﾍﾞﾝﾀﾞｰ小型'!$A$3:$K$241,2,0), "")</f>
        <v/>
      </c>
      <c r="C317" s="7" t="str">
        <f>IFERROR(VLOOKUP(E317,'(新)ﾍﾞﾝﾀﾞｰ小型'!$A$3:$K$300,4,0), "")</f>
        <v/>
      </c>
      <c r="D317" s="7" t="str">
        <f>IFERROR(VLOOKUP(E317,'(新)ﾍﾞﾝﾀﾞｰ小型'!$A$3:$K$241,5,0), "")</f>
        <v/>
      </c>
      <c r="E317" s="25">
        <f>'(新)ﾍﾞﾝﾀﾞｰ小型'!A318</f>
        <v>0</v>
      </c>
      <c r="F317" s="8" t="str">
        <f>IFERROR(VLOOKUP(E317,'(新)ﾍﾞﾝﾀﾞｰ小型'!$A$3:$K$241,8,0), "")</f>
        <v/>
      </c>
      <c r="G317" s="7" t="str">
        <f>IFERROR(VLOOKUP(E317,'(旧)ﾍﾞﾝﾀﾞｰ小型'!$A$3:$K$310,10,0),"")</f>
        <v/>
      </c>
      <c r="H317" s="12" t="s">
        <v>60</v>
      </c>
      <c r="I317" s="7" t="str">
        <f>IFERROR(VLOOKUP(E317,'(新)ﾍﾞﾝﾀﾞｰ小型'!$A$3:$K$300,10,0),"")</f>
        <v/>
      </c>
    </row>
    <row r="318" spans="1:9" s="19" customFormat="1" ht="13.8" thickBot="1" x14ac:dyDescent="0.2">
      <c r="A318" s="11">
        <v>317</v>
      </c>
      <c r="B318" s="7" t="str">
        <f>IFERROR(VLOOKUP(E318,'(新)ﾍﾞﾝﾀﾞｰ小型'!$A$3:$K$241,2,0), "")</f>
        <v/>
      </c>
      <c r="C318" s="7" t="str">
        <f>IFERROR(VLOOKUP(E318,'(新)ﾍﾞﾝﾀﾞｰ小型'!$A$3:$K$300,4,0), "")</f>
        <v/>
      </c>
      <c r="D318" s="7" t="str">
        <f>IFERROR(VLOOKUP(E318,'(新)ﾍﾞﾝﾀﾞｰ小型'!$A$3:$K$241,5,0), "")</f>
        <v/>
      </c>
      <c r="E318" s="25">
        <f>'(新)ﾍﾞﾝﾀﾞｰ小型'!A319</f>
        <v>0</v>
      </c>
      <c r="F318" s="8" t="str">
        <f>IFERROR(VLOOKUP(E318,'(新)ﾍﾞﾝﾀﾞｰ小型'!$A$3:$K$241,8,0), "")</f>
        <v/>
      </c>
      <c r="G318" s="7" t="str">
        <f>IFERROR(VLOOKUP(E318,'(旧)ﾍﾞﾝﾀﾞｰ小型'!$A$3:$K$310,10,0),"")</f>
        <v/>
      </c>
      <c r="H318" s="12" t="s">
        <v>60</v>
      </c>
      <c r="I318" s="7" t="str">
        <f>IFERROR(VLOOKUP(E318,'(新)ﾍﾞﾝﾀﾞｰ小型'!$A$3:$K$300,10,0),"")</f>
        <v/>
      </c>
    </row>
    <row r="319" spans="1:9" s="19" customFormat="1" ht="13.8" thickBot="1" x14ac:dyDescent="0.2">
      <c r="A319" s="11">
        <v>318</v>
      </c>
      <c r="B319" s="7" t="str">
        <f>IFERROR(VLOOKUP(E319,'(新)ﾍﾞﾝﾀﾞｰ小型'!$A$3:$K$241,2,0), "")</f>
        <v/>
      </c>
      <c r="C319" s="7" t="str">
        <f>IFERROR(VLOOKUP(E319,'(新)ﾍﾞﾝﾀﾞｰ小型'!$A$3:$K$300,4,0), "")</f>
        <v/>
      </c>
      <c r="D319" s="7" t="str">
        <f>IFERROR(VLOOKUP(E319,'(新)ﾍﾞﾝﾀﾞｰ小型'!$A$3:$K$241,5,0), "")</f>
        <v/>
      </c>
      <c r="E319" s="25">
        <f>'(新)ﾍﾞﾝﾀﾞｰ小型'!A320</f>
        <v>0</v>
      </c>
      <c r="F319" s="8" t="str">
        <f>IFERROR(VLOOKUP(E319,'(新)ﾍﾞﾝﾀﾞｰ小型'!$A$3:$K$241,8,0), "")</f>
        <v/>
      </c>
      <c r="G319" s="7" t="str">
        <f>IFERROR(VLOOKUP(E319,'(旧)ﾍﾞﾝﾀﾞｰ小型'!$A$3:$K$310,10,0),"")</f>
        <v/>
      </c>
      <c r="H319" s="12" t="s">
        <v>60</v>
      </c>
      <c r="I319" s="7" t="str">
        <f>IFERROR(VLOOKUP(E319,'(新)ﾍﾞﾝﾀﾞｰ小型'!$A$3:$K$300,10,0),"")</f>
        <v/>
      </c>
    </row>
    <row r="320" spans="1:9" s="19" customFormat="1" ht="13.8" thickBot="1" x14ac:dyDescent="0.2">
      <c r="A320" s="11">
        <v>319</v>
      </c>
      <c r="B320" s="7" t="str">
        <f>IFERROR(VLOOKUP(E320,'(新)ﾍﾞﾝﾀﾞｰ小型'!$A$3:$K$241,2,0), "")</f>
        <v/>
      </c>
      <c r="C320" s="7" t="str">
        <f>IFERROR(VLOOKUP(E320,'(新)ﾍﾞﾝﾀﾞｰ小型'!$A$3:$K$300,4,0), "")</f>
        <v/>
      </c>
      <c r="D320" s="7" t="str">
        <f>IFERROR(VLOOKUP(E320,'(新)ﾍﾞﾝﾀﾞｰ小型'!$A$3:$K$241,5,0), "")</f>
        <v/>
      </c>
      <c r="E320" s="25">
        <f>'(新)ﾍﾞﾝﾀﾞｰ小型'!A321</f>
        <v>0</v>
      </c>
      <c r="F320" s="8" t="str">
        <f>IFERROR(VLOOKUP(E320,'(新)ﾍﾞﾝﾀﾞｰ小型'!$A$3:$K$241,8,0), "")</f>
        <v/>
      </c>
      <c r="G320" s="7" t="str">
        <f>IFERROR(VLOOKUP(E320,'(旧)ﾍﾞﾝﾀﾞｰ小型'!$A$3:$K$310,10,0),"")</f>
        <v/>
      </c>
      <c r="H320" s="12" t="s">
        <v>60</v>
      </c>
      <c r="I320" s="7" t="str">
        <f>IFERROR(VLOOKUP(E320,'(新)ﾍﾞﾝﾀﾞｰ小型'!$A$3:$K$300,10,0),"")</f>
        <v/>
      </c>
    </row>
    <row r="321" spans="2:9" s="19" customFormat="1" x14ac:dyDescent="0.15">
      <c r="B321" s="7" t="str">
        <f>IFERROR(VLOOKUP(E321,'(新)ﾍﾞﾝﾀﾞｰ小型'!$A$3:$K$241,2,0), "")</f>
        <v/>
      </c>
      <c r="C321" s="7" t="str">
        <f>IFERROR(VLOOKUP(E321,'(新)ﾍﾞﾝﾀﾞｰ小型'!$A$3:$K$300,4,0), "")</f>
        <v/>
      </c>
      <c r="D321" s="7" t="str">
        <f>IFERROR(VLOOKUP(E321,'(新)ﾍﾞﾝﾀﾞｰ小型'!$A$3:$K$241,5,0), "")</f>
        <v/>
      </c>
      <c r="E321" s="26"/>
      <c r="F321" s="8" t="str">
        <f>IFERROR(VLOOKUP(E321,'(新)ﾍﾞﾝﾀﾞｰ小型'!$A$3:$K$241,8,0), "")</f>
        <v/>
      </c>
      <c r="G321" s="7" t="str">
        <f>IFERROR(VLOOKUP(E321,'(旧)ﾍﾞﾝﾀﾞｰ小型'!$A$3:$K$310,10,0),"")</f>
        <v/>
      </c>
      <c r="H321" s="12" t="s">
        <v>60</v>
      </c>
      <c r="I321" s="7" t="str">
        <f>IFERROR(VLOOKUP(E321,'(新)ﾍﾞﾝﾀﾞｰ小型'!$A$3:$K$300,10,0),"")</f>
        <v/>
      </c>
    </row>
    <row r="322" spans="2:9" s="19" customFormat="1" x14ac:dyDescent="0.15">
      <c r="B322" s="7" t="str">
        <f>IFERROR(VLOOKUP(E322,'(新)ﾍﾞﾝﾀﾞｰ小型'!$A$3:$K$241,2,0), "")</f>
        <v/>
      </c>
      <c r="C322" s="7" t="str">
        <f>IFERROR(VLOOKUP(E322,'(新)ﾍﾞﾝﾀﾞｰ小型'!$A$3:$K$300,4,0), "")</f>
        <v/>
      </c>
      <c r="D322" s="7" t="str">
        <f>IFERROR(VLOOKUP(E322,'(新)ﾍﾞﾝﾀﾞｰ小型'!$A$3:$K$241,5,0), "")</f>
        <v/>
      </c>
      <c r="E322" s="26"/>
      <c r="F322" s="8" t="str">
        <f>IFERROR(VLOOKUP(E322,'(新)ﾍﾞﾝﾀﾞｰ小型'!$A$3:$K$241,8,0), "")</f>
        <v/>
      </c>
      <c r="G322" s="7" t="str">
        <f>IFERROR(VLOOKUP(E322,'(旧)ﾍﾞﾝﾀﾞｰ小型'!$A$3:$K$310,10,0),"")</f>
        <v/>
      </c>
      <c r="H322" s="12" t="s">
        <v>60</v>
      </c>
      <c r="I322" s="7" t="str">
        <f>IFERROR(VLOOKUP(E322,'(新)ﾍﾞﾝﾀﾞｰ小型'!$A$3:$K$300,10,0),"")</f>
        <v/>
      </c>
    </row>
    <row r="323" spans="2:9" s="19" customFormat="1" x14ac:dyDescent="0.15">
      <c r="B323" s="7" t="str">
        <f>IFERROR(VLOOKUP(E323,'(新)ﾍﾞﾝﾀﾞｰ小型'!$A$3:$K$241,2,0), "")</f>
        <v/>
      </c>
      <c r="C323" s="7" t="str">
        <f>IFERROR(VLOOKUP(E323,'(新)ﾍﾞﾝﾀﾞｰ小型'!$A$3:$K$300,4,0), "")</f>
        <v/>
      </c>
      <c r="D323" s="7" t="str">
        <f>IFERROR(VLOOKUP(E323,'(新)ﾍﾞﾝﾀﾞｰ小型'!$A$3:$K$241,5,0), "")</f>
        <v/>
      </c>
      <c r="E323" s="26"/>
      <c r="F323" s="8" t="str">
        <f>IFERROR(VLOOKUP(E323,'(新)ﾍﾞﾝﾀﾞｰ小型'!$A$3:$K$241,8,0), "")</f>
        <v/>
      </c>
      <c r="G323" s="7" t="str">
        <f>IFERROR(VLOOKUP(E323,'(旧)ﾍﾞﾝﾀﾞｰ小型'!$A$3:$K$310,10,0),"")</f>
        <v/>
      </c>
      <c r="H323" s="12" t="s">
        <v>60</v>
      </c>
      <c r="I323" s="7" t="str">
        <f>IFERROR(VLOOKUP(E323,'(新)ﾍﾞﾝﾀﾞｰ小型'!$A$3:$K$300,10,0),"")</f>
        <v/>
      </c>
    </row>
    <row r="324" spans="2:9" s="19" customFormat="1" x14ac:dyDescent="0.15">
      <c r="B324" s="7" t="str">
        <f>IFERROR(VLOOKUP(E324,'(新)ﾍﾞﾝﾀﾞｰ小型'!$A$3:$K$241,2,0), "")</f>
        <v/>
      </c>
      <c r="C324" s="7" t="str">
        <f>IFERROR(VLOOKUP(E324,'(新)ﾍﾞﾝﾀﾞｰ小型'!$A$3:$K$300,4,0), "")</f>
        <v/>
      </c>
      <c r="D324" s="7" t="str">
        <f>IFERROR(VLOOKUP(E324,'(新)ﾍﾞﾝﾀﾞｰ小型'!$A$3:$K$241,5,0), "")</f>
        <v/>
      </c>
      <c r="E324" s="26"/>
      <c r="F324" s="8" t="str">
        <f>IFERROR(VLOOKUP(E324,'(新)ﾍﾞﾝﾀﾞｰ小型'!$A$3:$K$241,8,0), "")</f>
        <v/>
      </c>
      <c r="G324" s="7" t="str">
        <f>IFERROR(VLOOKUP(E324,'(旧)ﾍﾞﾝﾀﾞｰ小型'!$A$3:$K$310,10,0),"")</f>
        <v/>
      </c>
      <c r="H324" s="12" t="s">
        <v>60</v>
      </c>
      <c r="I324" s="7" t="str">
        <f>IFERROR(VLOOKUP(E324,'(新)ﾍﾞﾝﾀﾞｰ小型'!$A$3:$K$300,10,0),"")</f>
        <v/>
      </c>
    </row>
    <row r="325" spans="2:9" s="19" customFormat="1" x14ac:dyDescent="0.15">
      <c r="B325" s="7" t="str">
        <f>IFERROR(VLOOKUP(E325,'(新)ﾍﾞﾝﾀﾞｰ小型'!$A$3:$K$241,2,0), "")</f>
        <v/>
      </c>
      <c r="C325" s="7" t="str">
        <f>IFERROR(VLOOKUP(E325,'(新)ﾍﾞﾝﾀﾞｰ小型'!$A$3:$K$300,4,0), "")</f>
        <v/>
      </c>
      <c r="D325" s="7" t="str">
        <f>IFERROR(VLOOKUP(E325,'(新)ﾍﾞﾝﾀﾞｰ小型'!$A$3:$K$241,5,0), "")</f>
        <v/>
      </c>
      <c r="E325" s="26"/>
      <c r="F325" s="8" t="str">
        <f>IFERROR(VLOOKUP(E325,'(新)ﾍﾞﾝﾀﾞｰ小型'!$A$3:$K$241,8,0), "")</f>
        <v/>
      </c>
      <c r="G325" s="7" t="str">
        <f>IFERROR(VLOOKUP(E325,'(旧)ﾍﾞﾝﾀﾞｰ小型'!$A$3:$K$310,10,0),"")</f>
        <v/>
      </c>
      <c r="H325" s="12" t="s">
        <v>60</v>
      </c>
      <c r="I325" s="7" t="str">
        <f>IFERROR(VLOOKUP(E325,'(新)ﾍﾞﾝﾀﾞｰ小型'!$A$3:$K$300,10,0),"")</f>
        <v/>
      </c>
    </row>
    <row r="326" spans="2:9" s="19" customFormat="1" x14ac:dyDescent="0.15">
      <c r="B326" s="7" t="str">
        <f>IFERROR(VLOOKUP(E326,'(新)ﾍﾞﾝﾀﾞｰ小型'!$A$3:$K$241,2,0), "")</f>
        <v/>
      </c>
      <c r="C326" s="7" t="str">
        <f>IFERROR(VLOOKUP(E326,'(新)ﾍﾞﾝﾀﾞｰ小型'!$A$3:$K$300,4,0), "")</f>
        <v/>
      </c>
      <c r="D326" s="7" t="str">
        <f>IFERROR(VLOOKUP(E326,'(新)ﾍﾞﾝﾀﾞｰ小型'!$A$3:$K$241,5,0), "")</f>
        <v/>
      </c>
      <c r="E326" s="26"/>
      <c r="F326" s="8" t="str">
        <f>IFERROR(VLOOKUP(E326,'(新)ﾍﾞﾝﾀﾞｰ小型'!$A$3:$K$241,8,0), "")</f>
        <v/>
      </c>
      <c r="G326" s="7" t="str">
        <f>IFERROR(VLOOKUP(E326,'(旧)ﾍﾞﾝﾀﾞｰ小型'!$A$3:$K$310,10,0),"")</f>
        <v/>
      </c>
      <c r="H326" s="12" t="s">
        <v>60</v>
      </c>
      <c r="I326" s="7" t="str">
        <f>IFERROR(VLOOKUP(E326,'(新)ﾍﾞﾝﾀﾞｰ小型'!$A$3:$K$300,10,0),"")</f>
        <v/>
      </c>
    </row>
    <row r="327" spans="2:9" s="19" customFormat="1" x14ac:dyDescent="0.15">
      <c r="B327" s="7" t="str">
        <f>IFERROR(VLOOKUP(E327,'(新)ﾍﾞﾝﾀﾞｰ小型'!$A$3:$K$241,2,0), "")</f>
        <v/>
      </c>
      <c r="C327" s="7" t="str">
        <f>IFERROR(VLOOKUP(E327,'(新)ﾍﾞﾝﾀﾞｰ小型'!$A$3:$K$300,4,0), "")</f>
        <v/>
      </c>
      <c r="D327" s="7" t="str">
        <f>IFERROR(VLOOKUP(E327,'(新)ﾍﾞﾝﾀﾞｰ小型'!$A$3:$K$241,5,0), "")</f>
        <v/>
      </c>
      <c r="E327" s="26"/>
      <c r="F327" s="8" t="str">
        <f>IFERROR(VLOOKUP(E327,'(新)ﾍﾞﾝﾀﾞｰ小型'!$A$3:$K$241,8,0), "")</f>
        <v/>
      </c>
      <c r="G327" s="7" t="str">
        <f>IFERROR(VLOOKUP(E327,'(旧)ﾍﾞﾝﾀﾞｰ小型'!$A$3:$K$310,10,0),"")</f>
        <v/>
      </c>
      <c r="H327" s="12" t="s">
        <v>60</v>
      </c>
      <c r="I327" s="7" t="str">
        <f>IFERROR(VLOOKUP(E327,'(新)ﾍﾞﾝﾀﾞｰ小型'!$A$3:$K$300,10,0),"")</f>
        <v/>
      </c>
    </row>
    <row r="328" spans="2:9" s="19" customFormat="1" x14ac:dyDescent="0.15">
      <c r="B328" s="7" t="str">
        <f>IFERROR(VLOOKUP(E328,'(新)ﾍﾞﾝﾀﾞｰ小型'!$A$3:$K$241,2,0), "")</f>
        <v/>
      </c>
      <c r="C328" s="7" t="str">
        <f>IFERROR(VLOOKUP(E328,'(新)ﾍﾞﾝﾀﾞｰ小型'!$A$3:$K$300,4,0), "")</f>
        <v/>
      </c>
      <c r="D328" s="7" t="str">
        <f>IFERROR(VLOOKUP(E328,'(新)ﾍﾞﾝﾀﾞｰ小型'!$A$3:$K$241,5,0), "")</f>
        <v/>
      </c>
      <c r="E328" s="26"/>
      <c r="F328" s="8" t="str">
        <f>IFERROR(VLOOKUP(E328,'(新)ﾍﾞﾝﾀﾞｰ小型'!$A$3:$K$241,8,0), "")</f>
        <v/>
      </c>
      <c r="G328" s="7" t="str">
        <f>IFERROR(VLOOKUP(E328,'(旧)ﾍﾞﾝﾀﾞｰ小型'!$A$3:$K$310,10,0),"")</f>
        <v/>
      </c>
      <c r="H328" s="12" t="s">
        <v>60</v>
      </c>
      <c r="I328" s="7" t="str">
        <f>IFERROR(VLOOKUP(E328,'(新)ﾍﾞﾝﾀﾞｰ小型'!$A$3:$K$300,10,0),"")</f>
        <v/>
      </c>
    </row>
    <row r="329" spans="2:9" s="19" customFormat="1" x14ac:dyDescent="0.15">
      <c r="B329" s="7" t="str">
        <f>IFERROR(VLOOKUP(E329,'(新)ﾍﾞﾝﾀﾞｰ小型'!$A$3:$K$241,2,0), "")</f>
        <v/>
      </c>
      <c r="C329" s="7" t="str">
        <f>IFERROR(VLOOKUP(E329,'(新)ﾍﾞﾝﾀﾞｰ小型'!$A$3:$K$300,4,0), "")</f>
        <v/>
      </c>
      <c r="D329" s="7" t="str">
        <f>IFERROR(VLOOKUP(E329,'(新)ﾍﾞﾝﾀﾞｰ小型'!$A$3:$K$241,5,0), "")</f>
        <v/>
      </c>
      <c r="E329" s="26"/>
      <c r="F329" s="8" t="str">
        <f>IFERROR(VLOOKUP(E329,'(新)ﾍﾞﾝﾀﾞｰ小型'!$A$3:$K$241,8,0), "")</f>
        <v/>
      </c>
      <c r="G329" s="7" t="str">
        <f>IFERROR(VLOOKUP(E329,'(旧)ﾍﾞﾝﾀﾞｰ小型'!$A$3:$K$310,10,0),"")</f>
        <v/>
      </c>
      <c r="H329" s="12" t="s">
        <v>60</v>
      </c>
      <c r="I329" s="7" t="str">
        <f>IFERROR(VLOOKUP(E329,'(新)ﾍﾞﾝﾀﾞｰ小型'!$A$3:$K$300,10,0),"")</f>
        <v/>
      </c>
    </row>
    <row r="330" spans="2:9" s="19" customFormat="1" x14ac:dyDescent="0.15">
      <c r="B330" s="7" t="str">
        <f>IFERROR(VLOOKUP(E330,'(新)ﾍﾞﾝﾀﾞｰ小型'!$A$3:$K$241,2,0), "")</f>
        <v/>
      </c>
      <c r="C330" s="7" t="str">
        <f>IFERROR(VLOOKUP(E330,'(新)ﾍﾞﾝﾀﾞｰ小型'!$A$3:$K$300,4,0), "")</f>
        <v/>
      </c>
      <c r="D330" s="7" t="str">
        <f>IFERROR(VLOOKUP(E330,'(新)ﾍﾞﾝﾀﾞｰ小型'!$A$3:$K$241,5,0), "")</f>
        <v/>
      </c>
      <c r="E330" s="26"/>
      <c r="F330" s="8" t="str">
        <f>IFERROR(VLOOKUP(E330,'(新)ﾍﾞﾝﾀﾞｰ小型'!$A$3:$K$241,8,0), "")</f>
        <v/>
      </c>
      <c r="G330" s="7" t="str">
        <f>IFERROR(VLOOKUP(E330,'(旧)ﾍﾞﾝﾀﾞｰ小型'!$A$3:$K$310,10,0),"")</f>
        <v/>
      </c>
      <c r="H330" s="12" t="s">
        <v>60</v>
      </c>
      <c r="I330" s="7" t="str">
        <f>IFERROR(VLOOKUP(E330,'(新)ﾍﾞﾝﾀﾞｰ小型'!$A$3:$K$300,10,0),"")</f>
        <v/>
      </c>
    </row>
    <row r="331" spans="2:9" s="19" customFormat="1" x14ac:dyDescent="0.15">
      <c r="B331" s="7" t="str">
        <f>IFERROR(VLOOKUP(E331,'(新)ﾍﾞﾝﾀﾞｰ小型'!$A$3:$K$241,2,0), "")</f>
        <v/>
      </c>
      <c r="C331" s="7" t="str">
        <f>IFERROR(VLOOKUP(E331,'(新)ﾍﾞﾝﾀﾞｰ小型'!$A$3:$K$300,4,0), "")</f>
        <v/>
      </c>
      <c r="D331" s="7" t="str">
        <f>IFERROR(VLOOKUP(E331,'(新)ﾍﾞﾝﾀﾞｰ小型'!$A$3:$K$241,5,0), "")</f>
        <v/>
      </c>
      <c r="E331" s="26"/>
      <c r="F331" s="8" t="str">
        <f>IFERROR(VLOOKUP(E331,'(新)ﾍﾞﾝﾀﾞｰ小型'!$A$3:$K$241,8,0), "")</f>
        <v/>
      </c>
      <c r="G331" s="7" t="str">
        <f>IFERROR(VLOOKUP(E331,'(旧)ﾍﾞﾝﾀﾞｰ小型'!$A$3:$K$310,10,0),"")</f>
        <v/>
      </c>
      <c r="H331" s="12" t="s">
        <v>60</v>
      </c>
      <c r="I331" s="7" t="str">
        <f>IFERROR(VLOOKUP(E331,'(新)ﾍﾞﾝﾀﾞｰ小型'!$A$3:$K$300,10,0),"")</f>
        <v/>
      </c>
    </row>
    <row r="332" spans="2:9" s="19" customFormat="1" x14ac:dyDescent="0.15">
      <c r="B332" s="7" t="str">
        <f>IFERROR(VLOOKUP(E332,'(新)ﾍﾞﾝﾀﾞｰ小型'!$A$3:$K$241,2,0), "")</f>
        <v/>
      </c>
      <c r="C332" s="7" t="str">
        <f>IFERROR(VLOOKUP(E332,'(新)ﾍﾞﾝﾀﾞｰ小型'!$A$3:$K$300,4,0), "")</f>
        <v/>
      </c>
      <c r="D332" s="7" t="str">
        <f>IFERROR(VLOOKUP(E332,'(新)ﾍﾞﾝﾀﾞｰ小型'!$A$3:$K$241,5,0), "")</f>
        <v/>
      </c>
      <c r="E332" s="26"/>
      <c r="F332" s="8" t="str">
        <f>IFERROR(VLOOKUP(E332,'(新)ﾍﾞﾝﾀﾞｰ小型'!$A$3:$K$241,8,0), "")</f>
        <v/>
      </c>
      <c r="G332" s="7" t="str">
        <f>IFERROR(VLOOKUP(E332,'(旧)ﾍﾞﾝﾀﾞｰ小型'!$A$3:$K$310,10,0),"")</f>
        <v/>
      </c>
      <c r="H332" s="12" t="s">
        <v>60</v>
      </c>
      <c r="I332" s="7" t="str">
        <f>IFERROR(VLOOKUP(E332,'(新)ﾍﾞﾝﾀﾞｰ小型'!$A$3:$K$300,10,0),"")</f>
        <v/>
      </c>
    </row>
    <row r="333" spans="2:9" s="19" customFormat="1" x14ac:dyDescent="0.15">
      <c r="B333" s="7" t="str">
        <f>IFERROR(VLOOKUP(E333,'(新)ﾍﾞﾝﾀﾞｰ小型'!$A$3:$K$241,2,0), "")</f>
        <v/>
      </c>
      <c r="C333" s="7" t="str">
        <f>IFERROR(VLOOKUP(E333,'(新)ﾍﾞﾝﾀﾞｰ小型'!$A$3:$K$300,4,0), "")</f>
        <v/>
      </c>
      <c r="D333" s="7" t="str">
        <f>IFERROR(VLOOKUP(E333,'(新)ﾍﾞﾝﾀﾞｰ小型'!$A$3:$K$241,5,0), "")</f>
        <v/>
      </c>
      <c r="E333" s="26"/>
      <c r="F333" s="8" t="str">
        <f>IFERROR(VLOOKUP(E333,'(新)ﾍﾞﾝﾀﾞｰ小型'!$A$3:$K$241,8,0), "")</f>
        <v/>
      </c>
      <c r="G333" s="7" t="str">
        <f>IFERROR(VLOOKUP(E333,'(旧)ﾍﾞﾝﾀﾞｰ小型'!$A$3:$K$310,10,0),"")</f>
        <v/>
      </c>
      <c r="H333" s="12" t="s">
        <v>60</v>
      </c>
      <c r="I333" s="7" t="str">
        <f>IFERROR(VLOOKUP(E333,'(新)ﾍﾞﾝﾀﾞｰ小型'!$A$3:$K$300,10,0),"")</f>
        <v/>
      </c>
    </row>
    <row r="334" spans="2:9" s="19" customFormat="1" x14ac:dyDescent="0.15">
      <c r="B334" s="7" t="str">
        <f>IFERROR(VLOOKUP(E334,'(新)ﾍﾞﾝﾀﾞｰ小型'!$A$3:$K$241,2,0), "")</f>
        <v/>
      </c>
      <c r="C334" s="7" t="str">
        <f>IFERROR(VLOOKUP(E334,'(新)ﾍﾞﾝﾀﾞｰ小型'!$A$3:$K$300,4,0), "")</f>
        <v/>
      </c>
      <c r="D334" s="7" t="str">
        <f>IFERROR(VLOOKUP(E334,'(新)ﾍﾞﾝﾀﾞｰ小型'!$A$3:$K$241,5,0), "")</f>
        <v/>
      </c>
      <c r="E334" s="26"/>
      <c r="F334" s="8" t="str">
        <f>IFERROR(VLOOKUP(E334,'(新)ﾍﾞﾝﾀﾞｰ小型'!$A$3:$K$241,8,0), "")</f>
        <v/>
      </c>
      <c r="G334" s="7" t="str">
        <f>IFERROR(VLOOKUP(E334,'(旧)ﾍﾞﾝﾀﾞｰ小型'!$A$3:$K$310,10,0),"")</f>
        <v/>
      </c>
      <c r="H334" s="12" t="s">
        <v>60</v>
      </c>
      <c r="I334" s="7" t="str">
        <f>IFERROR(VLOOKUP(E334,'(新)ﾍﾞﾝﾀﾞｰ小型'!$A$3:$K$300,10,0),"")</f>
        <v/>
      </c>
    </row>
    <row r="335" spans="2:9" s="19" customFormat="1" x14ac:dyDescent="0.15">
      <c r="B335" s="7" t="str">
        <f>IFERROR(VLOOKUP(E335,'(新)ﾍﾞﾝﾀﾞｰ小型'!$A$3:$K$241,2,0), "")</f>
        <v/>
      </c>
      <c r="C335" s="7" t="str">
        <f>IFERROR(VLOOKUP(E335,'(新)ﾍﾞﾝﾀﾞｰ小型'!$A$3:$K$300,4,0), "")</f>
        <v/>
      </c>
      <c r="D335" s="7" t="str">
        <f>IFERROR(VLOOKUP(E335,'(新)ﾍﾞﾝﾀﾞｰ小型'!$A$3:$K$241,5,0), "")</f>
        <v/>
      </c>
      <c r="E335" s="26"/>
      <c r="F335" s="8" t="str">
        <f>IFERROR(VLOOKUP(E335,'(新)ﾍﾞﾝﾀﾞｰ小型'!$A$3:$K$241,8,0), "")</f>
        <v/>
      </c>
      <c r="G335" s="7" t="str">
        <f>IFERROR(VLOOKUP(E335,'(旧)ﾍﾞﾝﾀﾞｰ小型'!$A$3:$K$310,10,0),"")</f>
        <v/>
      </c>
      <c r="H335" s="12" t="s">
        <v>60</v>
      </c>
      <c r="I335" s="7" t="str">
        <f>IFERROR(VLOOKUP(E335,'(新)ﾍﾞﾝﾀﾞｰ小型'!$A$3:$K$300,10,0),"")</f>
        <v/>
      </c>
    </row>
    <row r="336" spans="2:9" s="19" customFormat="1" x14ac:dyDescent="0.15">
      <c r="B336" s="7" t="str">
        <f>IFERROR(VLOOKUP(E336,'(新)ﾍﾞﾝﾀﾞｰ小型'!$A$3:$K$241,2,0), "")</f>
        <v/>
      </c>
      <c r="C336" s="7" t="str">
        <f>IFERROR(VLOOKUP(E336,'(新)ﾍﾞﾝﾀﾞｰ小型'!$A$3:$K$300,4,0), "")</f>
        <v/>
      </c>
      <c r="D336" s="7" t="str">
        <f>IFERROR(VLOOKUP(E336,'(新)ﾍﾞﾝﾀﾞｰ小型'!$A$3:$K$241,5,0), "")</f>
        <v/>
      </c>
      <c r="E336" s="26"/>
      <c r="F336" s="8" t="str">
        <f>IFERROR(VLOOKUP(E336,'(新)ﾍﾞﾝﾀﾞｰ小型'!$A$3:$K$241,8,0), "")</f>
        <v/>
      </c>
      <c r="G336" s="7" t="str">
        <f>IFERROR(VLOOKUP(E336,'(旧)ﾍﾞﾝﾀﾞｰ小型'!$A$3:$K$310,10,0),"")</f>
        <v/>
      </c>
      <c r="H336" s="12" t="s">
        <v>60</v>
      </c>
      <c r="I336" s="7" t="str">
        <f>IFERROR(VLOOKUP(E336,'(新)ﾍﾞﾝﾀﾞｰ小型'!$A$3:$K$300,10,0),"")</f>
        <v/>
      </c>
    </row>
    <row r="337" spans="2:9" s="19" customFormat="1" x14ac:dyDescent="0.15">
      <c r="B337" s="7" t="str">
        <f>IFERROR(VLOOKUP(E337,'(新)ﾍﾞﾝﾀﾞｰ小型'!$A$3:$K$241,2,0), "")</f>
        <v/>
      </c>
      <c r="C337" s="7" t="str">
        <f>IFERROR(VLOOKUP(E337,'(新)ﾍﾞﾝﾀﾞｰ小型'!$A$3:$K$300,4,0), "")</f>
        <v/>
      </c>
      <c r="D337" s="7" t="str">
        <f>IFERROR(VLOOKUP(E337,'(新)ﾍﾞﾝﾀﾞｰ小型'!$A$3:$K$241,5,0), "")</f>
        <v/>
      </c>
      <c r="E337" s="26"/>
      <c r="F337" s="8" t="str">
        <f>IFERROR(VLOOKUP(E337,'(新)ﾍﾞﾝﾀﾞｰ小型'!$A$3:$K$241,8,0), "")</f>
        <v/>
      </c>
      <c r="G337" s="7" t="str">
        <f>IFERROR(VLOOKUP(E337,'(旧)ﾍﾞﾝﾀﾞｰ小型'!$A$3:$K$310,10,0),"")</f>
        <v/>
      </c>
      <c r="H337" s="12" t="s">
        <v>60</v>
      </c>
      <c r="I337" s="7" t="str">
        <f>IFERROR(VLOOKUP(E337,'(新)ﾍﾞﾝﾀﾞｰ小型'!$A$3:$K$300,10,0),"")</f>
        <v/>
      </c>
    </row>
    <row r="338" spans="2:9" s="19" customFormat="1" x14ac:dyDescent="0.15">
      <c r="B338" s="7" t="str">
        <f>IFERROR(VLOOKUP(E338,'(新)ﾍﾞﾝﾀﾞｰ小型'!$A$3:$K$241,2,0), "")</f>
        <v/>
      </c>
      <c r="C338" s="7" t="str">
        <f>IFERROR(VLOOKUP(E338,'(新)ﾍﾞﾝﾀﾞｰ小型'!$A$3:$K$300,4,0), "")</f>
        <v/>
      </c>
      <c r="D338" s="7" t="str">
        <f>IFERROR(VLOOKUP(E338,'(新)ﾍﾞﾝﾀﾞｰ小型'!$A$3:$K$241,5,0), "")</f>
        <v/>
      </c>
      <c r="E338" s="26"/>
      <c r="F338" s="8" t="str">
        <f>IFERROR(VLOOKUP(E338,'(新)ﾍﾞﾝﾀﾞｰ小型'!$A$3:$K$241,8,0), "")</f>
        <v/>
      </c>
      <c r="G338" s="7" t="str">
        <f>IFERROR(VLOOKUP(E338,'(旧)ﾍﾞﾝﾀﾞｰ小型'!$A$3:$K$310,10,0),"")</f>
        <v/>
      </c>
      <c r="H338" s="12" t="s">
        <v>60</v>
      </c>
      <c r="I338" s="7" t="str">
        <f>IFERROR(VLOOKUP(E338,'(新)ﾍﾞﾝﾀﾞｰ小型'!$A$3:$K$300,10,0),"")</f>
        <v/>
      </c>
    </row>
    <row r="339" spans="2:9" s="19" customFormat="1" x14ac:dyDescent="0.15">
      <c r="B339" s="7" t="str">
        <f>IFERROR(VLOOKUP(E339,'(新)ﾍﾞﾝﾀﾞｰ小型'!$A$3:$K$241,2,0), "")</f>
        <v/>
      </c>
      <c r="C339" s="7" t="str">
        <f>IFERROR(VLOOKUP(E339,'(新)ﾍﾞﾝﾀﾞｰ小型'!$A$3:$K$300,4,0), "")</f>
        <v/>
      </c>
      <c r="D339" s="7" t="str">
        <f>IFERROR(VLOOKUP(E339,'(新)ﾍﾞﾝﾀﾞｰ小型'!$A$3:$K$241,5,0), "")</f>
        <v/>
      </c>
      <c r="E339" s="26"/>
      <c r="F339" s="8" t="str">
        <f>IFERROR(VLOOKUP(E339,'(新)ﾍﾞﾝﾀﾞｰ小型'!$A$3:$K$241,8,0), "")</f>
        <v/>
      </c>
      <c r="G339" s="7" t="str">
        <f>IFERROR(VLOOKUP(E339,'(旧)ﾍﾞﾝﾀﾞｰ小型'!$A$3:$K$310,10,0),"")</f>
        <v/>
      </c>
      <c r="H339" s="12" t="s">
        <v>60</v>
      </c>
      <c r="I339" s="7" t="str">
        <f>IFERROR(VLOOKUP(E339,'(新)ﾍﾞﾝﾀﾞｰ小型'!$A$3:$K$300,10,0),"")</f>
        <v/>
      </c>
    </row>
    <row r="340" spans="2:9" s="19" customFormat="1" x14ac:dyDescent="0.15">
      <c r="B340" s="7" t="str">
        <f>IFERROR(VLOOKUP(E340,'(新)ﾍﾞﾝﾀﾞｰ小型'!$A$3:$K$241,2,0), "")</f>
        <v/>
      </c>
      <c r="C340" s="7" t="str">
        <f>IFERROR(VLOOKUP(E340,'(新)ﾍﾞﾝﾀﾞｰ小型'!$A$3:$K$300,4,0), "")</f>
        <v/>
      </c>
      <c r="D340" s="7" t="str">
        <f>IFERROR(VLOOKUP(E340,'(新)ﾍﾞﾝﾀﾞｰ小型'!$A$3:$K$241,5,0), "")</f>
        <v/>
      </c>
      <c r="E340" s="26"/>
      <c r="F340" s="8" t="str">
        <f>IFERROR(VLOOKUP(E340,'(新)ﾍﾞﾝﾀﾞｰ小型'!$A$3:$K$241,8,0), "")</f>
        <v/>
      </c>
      <c r="G340" s="7" t="str">
        <f>IFERROR(VLOOKUP(E340,'(旧)ﾍﾞﾝﾀﾞｰ小型'!$A$3:$K$310,10,0),"")</f>
        <v/>
      </c>
      <c r="H340" s="12" t="s">
        <v>60</v>
      </c>
      <c r="I340" s="7" t="str">
        <f>IFERROR(VLOOKUP(E340,'(新)ﾍﾞﾝﾀﾞｰ小型'!$A$3:$K$300,10,0),"")</f>
        <v/>
      </c>
    </row>
    <row r="341" spans="2:9" s="19" customFormat="1" x14ac:dyDescent="0.15">
      <c r="B341" s="7" t="str">
        <f>IFERROR(VLOOKUP(E341,'(新)ﾍﾞﾝﾀﾞｰ小型'!$A$3:$K$241,2,0), "")</f>
        <v/>
      </c>
      <c r="C341" s="7" t="str">
        <f>IFERROR(VLOOKUP(E341,'(新)ﾍﾞﾝﾀﾞｰ小型'!$A$3:$K$300,4,0), "")</f>
        <v/>
      </c>
      <c r="D341" s="7" t="str">
        <f>IFERROR(VLOOKUP(E341,'(新)ﾍﾞﾝﾀﾞｰ小型'!$A$3:$K$241,5,0), "")</f>
        <v/>
      </c>
      <c r="E341" s="26"/>
      <c r="F341" s="8" t="str">
        <f>IFERROR(VLOOKUP(E341,'(新)ﾍﾞﾝﾀﾞｰ小型'!$A$3:$K$241,8,0), "")</f>
        <v/>
      </c>
      <c r="G341" s="7" t="str">
        <f>IFERROR(VLOOKUP(E341,'(旧)ﾍﾞﾝﾀﾞｰ小型'!$A$3:$K$310,10,0),"")</f>
        <v/>
      </c>
      <c r="H341" s="12" t="s">
        <v>60</v>
      </c>
      <c r="I341" s="7" t="str">
        <f>IFERROR(VLOOKUP(E341,'(新)ﾍﾞﾝﾀﾞｰ小型'!$A$3:$K$300,10,0),"")</f>
        <v/>
      </c>
    </row>
    <row r="342" spans="2:9" s="19" customFormat="1" x14ac:dyDescent="0.15">
      <c r="B342" s="7" t="str">
        <f>IFERROR(VLOOKUP(E342,'(新)ﾍﾞﾝﾀﾞｰ小型'!$A$3:$K$241,2,0), "")</f>
        <v/>
      </c>
      <c r="C342" s="7" t="str">
        <f>IFERROR(VLOOKUP(E342,'(新)ﾍﾞﾝﾀﾞｰ小型'!$A$3:$K$300,4,0), "")</f>
        <v/>
      </c>
      <c r="D342" s="7" t="str">
        <f>IFERROR(VLOOKUP(E342,'(新)ﾍﾞﾝﾀﾞｰ小型'!$A$3:$K$241,5,0), "")</f>
        <v/>
      </c>
      <c r="E342" s="26"/>
      <c r="F342" s="8" t="str">
        <f>IFERROR(VLOOKUP(E342,'(新)ﾍﾞﾝﾀﾞｰ小型'!$A$3:$K$241,8,0), "")</f>
        <v/>
      </c>
      <c r="G342" s="7" t="str">
        <f>IFERROR(VLOOKUP(E342,'(旧)ﾍﾞﾝﾀﾞｰ小型'!$A$3:$K$310,10,0),"")</f>
        <v/>
      </c>
      <c r="H342" s="12" t="s">
        <v>60</v>
      </c>
      <c r="I342" s="7" t="str">
        <f>IFERROR(VLOOKUP(E342,'(新)ﾍﾞﾝﾀﾞｰ小型'!$A$3:$K$300,10,0),"")</f>
        <v/>
      </c>
    </row>
    <row r="343" spans="2:9" s="19" customFormat="1" x14ac:dyDescent="0.15">
      <c r="B343" s="7" t="str">
        <f>IFERROR(VLOOKUP(E343,'(新)ﾍﾞﾝﾀﾞｰ小型'!$A$3:$K$241,2,0), "")</f>
        <v/>
      </c>
      <c r="C343" s="7" t="str">
        <f>IFERROR(VLOOKUP(E343,'(新)ﾍﾞﾝﾀﾞｰ小型'!$A$3:$K$300,4,0), "")</f>
        <v/>
      </c>
      <c r="D343" s="7" t="str">
        <f>IFERROR(VLOOKUP(E343,'(新)ﾍﾞﾝﾀﾞｰ小型'!$A$3:$K$241,5,0), "")</f>
        <v/>
      </c>
      <c r="E343" s="26"/>
      <c r="F343" s="8" t="str">
        <f>IFERROR(VLOOKUP(E343,'(新)ﾍﾞﾝﾀﾞｰ小型'!$A$3:$K$241,8,0), "")</f>
        <v/>
      </c>
      <c r="G343" s="7" t="str">
        <f>IFERROR(VLOOKUP(E343,'(旧)ﾍﾞﾝﾀﾞｰ小型'!$A$3:$K$310,10,0),"")</f>
        <v/>
      </c>
      <c r="H343" s="12" t="s">
        <v>60</v>
      </c>
      <c r="I343" s="7" t="str">
        <f>IFERROR(VLOOKUP(E343,'(新)ﾍﾞﾝﾀﾞｰ小型'!$A$3:$K$300,10,0),"")</f>
        <v/>
      </c>
    </row>
    <row r="344" spans="2:9" s="19" customFormat="1" x14ac:dyDescent="0.15">
      <c r="B344" s="7" t="str">
        <f>IFERROR(VLOOKUP(E344,'(新)ﾍﾞﾝﾀﾞｰ小型'!$A$3:$K$241,2,0), "")</f>
        <v/>
      </c>
      <c r="C344" s="7" t="str">
        <f>IFERROR(VLOOKUP(E344,'(新)ﾍﾞﾝﾀﾞｰ小型'!$A$3:$K$300,4,0), "")</f>
        <v/>
      </c>
      <c r="D344" s="7" t="str">
        <f>IFERROR(VLOOKUP(E344,'(新)ﾍﾞﾝﾀﾞｰ小型'!$A$3:$K$241,5,0), "")</f>
        <v/>
      </c>
      <c r="E344" s="26"/>
      <c r="F344" s="8" t="str">
        <f>IFERROR(VLOOKUP(E344,'(新)ﾍﾞﾝﾀﾞｰ小型'!$A$3:$K$241,8,0), "")</f>
        <v/>
      </c>
      <c r="G344" s="7" t="str">
        <f>IFERROR(VLOOKUP(E344,'(旧)ﾍﾞﾝﾀﾞｰ小型'!$A$3:$K$310,10,0),"")</f>
        <v/>
      </c>
      <c r="H344" s="12" t="s">
        <v>60</v>
      </c>
      <c r="I344" s="7" t="str">
        <f>IFERROR(VLOOKUP(E344,'(新)ﾍﾞﾝﾀﾞｰ小型'!$A$3:$K$300,10,0),"")</f>
        <v/>
      </c>
    </row>
    <row r="345" spans="2:9" s="19" customFormat="1" x14ac:dyDescent="0.15">
      <c r="B345" s="7" t="str">
        <f>IFERROR(VLOOKUP(E345,'(新)ﾍﾞﾝﾀﾞｰ小型'!$A$3:$K$241,2,0), "")</f>
        <v/>
      </c>
      <c r="C345" s="7" t="str">
        <f>IFERROR(VLOOKUP(E345,'(新)ﾍﾞﾝﾀﾞｰ小型'!$A$3:$K$300,4,0), "")</f>
        <v/>
      </c>
      <c r="D345" s="7" t="str">
        <f>IFERROR(VLOOKUP(E345,'(新)ﾍﾞﾝﾀﾞｰ小型'!$A$3:$K$241,5,0), "")</f>
        <v/>
      </c>
      <c r="E345" s="26"/>
      <c r="F345" s="8" t="str">
        <f>IFERROR(VLOOKUP(E345,'(新)ﾍﾞﾝﾀﾞｰ小型'!$A$3:$K$241,8,0), "")</f>
        <v/>
      </c>
      <c r="G345" s="7" t="str">
        <f>IFERROR(VLOOKUP(E345,'(旧)ﾍﾞﾝﾀﾞｰ小型'!$A$3:$K$310,10,0),"")</f>
        <v/>
      </c>
      <c r="H345" s="12" t="s">
        <v>60</v>
      </c>
      <c r="I345" s="7" t="str">
        <f>IFERROR(VLOOKUP(E345,'(新)ﾍﾞﾝﾀﾞｰ小型'!$A$3:$K$300,10,0),"")</f>
        <v/>
      </c>
    </row>
    <row r="346" spans="2:9" s="19" customFormat="1" x14ac:dyDescent="0.15">
      <c r="B346" s="7" t="str">
        <f>IFERROR(VLOOKUP(E346,'(新)ﾍﾞﾝﾀﾞｰ小型'!$A$3:$K$241,2,0), "")</f>
        <v/>
      </c>
      <c r="C346" s="7" t="str">
        <f>IFERROR(VLOOKUP(E346,'(新)ﾍﾞﾝﾀﾞｰ小型'!$A$3:$K$300,4,0), "")</f>
        <v/>
      </c>
      <c r="D346" s="7" t="str">
        <f>IFERROR(VLOOKUP(E346,'(新)ﾍﾞﾝﾀﾞｰ小型'!$A$3:$K$241,5,0), "")</f>
        <v/>
      </c>
      <c r="E346" s="26"/>
      <c r="F346" s="8" t="str">
        <f>IFERROR(VLOOKUP(E346,'(新)ﾍﾞﾝﾀﾞｰ小型'!$A$3:$K$241,8,0), "")</f>
        <v/>
      </c>
      <c r="G346" s="7" t="str">
        <f>IFERROR(VLOOKUP(E346,'(旧)ﾍﾞﾝﾀﾞｰ小型'!$A$3:$K$310,10,0),"")</f>
        <v/>
      </c>
      <c r="H346" s="12" t="s">
        <v>60</v>
      </c>
      <c r="I346" s="7" t="str">
        <f>IFERROR(VLOOKUP(E346,'(新)ﾍﾞﾝﾀﾞｰ小型'!$A$3:$K$300,10,0),"")</f>
        <v/>
      </c>
    </row>
    <row r="347" spans="2:9" s="19" customFormat="1" x14ac:dyDescent="0.15">
      <c r="B347" s="7" t="str">
        <f>IFERROR(VLOOKUP(E347,'(新)ﾍﾞﾝﾀﾞｰ小型'!$A$3:$K$241,2,0), "")</f>
        <v/>
      </c>
      <c r="C347" s="7" t="str">
        <f>IFERROR(VLOOKUP(E347,'(新)ﾍﾞﾝﾀﾞｰ小型'!$A$3:$K$300,4,0), "")</f>
        <v/>
      </c>
      <c r="D347" s="7" t="str">
        <f>IFERROR(VLOOKUP(E347,'(新)ﾍﾞﾝﾀﾞｰ小型'!$A$3:$K$241,5,0), "")</f>
        <v/>
      </c>
      <c r="E347" s="26"/>
      <c r="F347" s="8" t="str">
        <f>IFERROR(VLOOKUP(E347,'(新)ﾍﾞﾝﾀﾞｰ小型'!$A$3:$K$241,8,0), "")</f>
        <v/>
      </c>
      <c r="G347" s="7" t="str">
        <f>IFERROR(VLOOKUP(E347,'(旧)ﾍﾞﾝﾀﾞｰ小型'!$A$3:$K$310,10,0),"")</f>
        <v/>
      </c>
      <c r="H347" s="12" t="s">
        <v>60</v>
      </c>
      <c r="I347" s="7" t="str">
        <f>IFERROR(VLOOKUP(E347,'(新)ﾍﾞﾝﾀﾞｰ小型'!$A$3:$K$300,10,0),"")</f>
        <v/>
      </c>
    </row>
    <row r="348" spans="2:9" s="19" customFormat="1" x14ac:dyDescent="0.15">
      <c r="B348" s="7" t="str">
        <f>IFERROR(VLOOKUP(E348,'(新)ﾍﾞﾝﾀﾞｰ小型'!$A$3:$K$241,2,0), "")</f>
        <v/>
      </c>
      <c r="C348" s="7" t="str">
        <f>IFERROR(VLOOKUP(E348,'(新)ﾍﾞﾝﾀﾞｰ小型'!$A$3:$K$300,4,0), "")</f>
        <v/>
      </c>
      <c r="D348" s="7" t="str">
        <f>IFERROR(VLOOKUP(E348,'(新)ﾍﾞﾝﾀﾞｰ小型'!$A$3:$K$241,5,0), "")</f>
        <v/>
      </c>
      <c r="E348" s="26"/>
      <c r="F348" s="8" t="str">
        <f>IFERROR(VLOOKUP(E348,'(新)ﾍﾞﾝﾀﾞｰ小型'!$A$3:$K$241,8,0), "")</f>
        <v/>
      </c>
      <c r="G348" s="7" t="str">
        <f>IFERROR(VLOOKUP(E348,'(旧)ﾍﾞﾝﾀﾞｰ小型'!$A$3:$K$310,10,0),"")</f>
        <v/>
      </c>
      <c r="H348" s="12" t="s">
        <v>60</v>
      </c>
      <c r="I348" s="7" t="str">
        <f>IFERROR(VLOOKUP(E348,'(新)ﾍﾞﾝﾀﾞｰ小型'!$A$3:$K$300,10,0),"")</f>
        <v/>
      </c>
    </row>
    <row r="349" spans="2:9" s="19" customFormat="1" x14ac:dyDescent="0.15">
      <c r="B349" s="7" t="str">
        <f>IFERROR(VLOOKUP(E349,'(新)ﾍﾞﾝﾀﾞｰ小型'!$A$3:$K$241,2,0), "")</f>
        <v/>
      </c>
      <c r="C349" s="7" t="str">
        <f>IFERROR(VLOOKUP(E349,'(新)ﾍﾞﾝﾀﾞｰ小型'!$A$3:$K$300,4,0), "")</f>
        <v/>
      </c>
      <c r="D349" s="7" t="str">
        <f>IFERROR(VLOOKUP(E349,'(新)ﾍﾞﾝﾀﾞｰ小型'!$A$3:$K$241,5,0), "")</f>
        <v/>
      </c>
      <c r="E349" s="26"/>
      <c r="F349" s="8" t="str">
        <f>IFERROR(VLOOKUP(E349,'(新)ﾍﾞﾝﾀﾞｰ小型'!$A$3:$K$241,8,0), "")</f>
        <v/>
      </c>
      <c r="G349" s="7" t="str">
        <f>IFERROR(VLOOKUP(E349,'(旧)ﾍﾞﾝﾀﾞｰ小型'!$A$3:$K$310,10,0),"")</f>
        <v/>
      </c>
      <c r="H349" s="12" t="s">
        <v>60</v>
      </c>
      <c r="I349" s="7" t="str">
        <f>IFERROR(VLOOKUP(E349,'(新)ﾍﾞﾝﾀﾞｰ小型'!$A$3:$K$300,10,0),"")</f>
        <v/>
      </c>
    </row>
    <row r="350" spans="2:9" s="19" customFormat="1" x14ac:dyDescent="0.15">
      <c r="B350" s="7" t="str">
        <f>IFERROR(VLOOKUP(E350,'(新)ﾍﾞﾝﾀﾞｰ小型'!$A$3:$K$241,2,0), "")</f>
        <v/>
      </c>
      <c r="C350" s="7" t="str">
        <f>IFERROR(VLOOKUP(E350,'(新)ﾍﾞﾝﾀﾞｰ小型'!$A$3:$K$300,4,0), "")</f>
        <v/>
      </c>
      <c r="D350" s="7" t="str">
        <f>IFERROR(VLOOKUP(E350,'(新)ﾍﾞﾝﾀﾞｰ小型'!$A$3:$K$241,5,0), "")</f>
        <v/>
      </c>
      <c r="E350" s="26"/>
      <c r="F350" s="8" t="str">
        <f>IFERROR(VLOOKUP(E350,'(新)ﾍﾞﾝﾀﾞｰ小型'!$A$3:$K$241,8,0), "")</f>
        <v/>
      </c>
      <c r="G350" s="7" t="str">
        <f>IFERROR(VLOOKUP(E350,'(旧)ﾍﾞﾝﾀﾞｰ小型'!$A$3:$K$310,10,0),"")</f>
        <v/>
      </c>
      <c r="H350" s="12" t="s">
        <v>60</v>
      </c>
      <c r="I350" s="7" t="str">
        <f>IFERROR(VLOOKUP(E350,'(新)ﾍﾞﾝﾀﾞｰ小型'!$A$3:$K$300,10,0),"")</f>
        <v/>
      </c>
    </row>
    <row r="351" spans="2:9" s="19" customFormat="1" x14ac:dyDescent="0.15">
      <c r="B351" s="7" t="str">
        <f>IFERROR(VLOOKUP(E351,'(新)ﾍﾞﾝﾀﾞｰ小型'!$A$3:$K$241,2,0), "")</f>
        <v/>
      </c>
      <c r="C351" s="7" t="str">
        <f>IFERROR(VLOOKUP(E351,'(新)ﾍﾞﾝﾀﾞｰ小型'!$A$3:$K$300,4,0), "")</f>
        <v/>
      </c>
      <c r="D351" s="7" t="str">
        <f>IFERROR(VLOOKUP(E351,'(新)ﾍﾞﾝﾀﾞｰ小型'!$A$3:$K$241,5,0), "")</f>
        <v/>
      </c>
      <c r="E351" s="26"/>
      <c r="F351" s="8" t="str">
        <f>IFERROR(VLOOKUP(E351,'(新)ﾍﾞﾝﾀﾞｰ小型'!$A$3:$K$241,8,0), "")</f>
        <v/>
      </c>
      <c r="G351" s="7" t="str">
        <f>IFERROR(VLOOKUP(E351,'(旧)ﾍﾞﾝﾀﾞｰ小型'!$A$3:$K$310,10,0),"")</f>
        <v/>
      </c>
      <c r="H351" s="12" t="s">
        <v>60</v>
      </c>
      <c r="I351" s="7" t="str">
        <f>IFERROR(VLOOKUP(E351,'(新)ﾍﾞﾝﾀﾞｰ小型'!$A$3:$K$300,10,0),"")</f>
        <v/>
      </c>
    </row>
    <row r="352" spans="2:9" s="19" customFormat="1" x14ac:dyDescent="0.15">
      <c r="B352" s="7" t="str">
        <f>IFERROR(VLOOKUP(E352,'(新)ﾍﾞﾝﾀﾞｰ小型'!$A$3:$K$241,2,0), "")</f>
        <v/>
      </c>
      <c r="C352" s="7" t="str">
        <f>IFERROR(VLOOKUP(E352,'(新)ﾍﾞﾝﾀﾞｰ小型'!$A$3:$K$300,4,0), "")</f>
        <v/>
      </c>
      <c r="D352" s="7" t="str">
        <f>IFERROR(VLOOKUP(E352,'(新)ﾍﾞﾝﾀﾞｰ小型'!$A$3:$K$241,5,0), "")</f>
        <v/>
      </c>
      <c r="E352" s="26"/>
      <c r="F352" s="8" t="str">
        <f>IFERROR(VLOOKUP(E352,'(新)ﾍﾞﾝﾀﾞｰ小型'!$A$3:$K$241,8,0), "")</f>
        <v/>
      </c>
      <c r="G352" s="7" t="str">
        <f>IFERROR(VLOOKUP(E352,'(旧)ﾍﾞﾝﾀﾞｰ小型'!$A$3:$K$310,10,0),"")</f>
        <v/>
      </c>
      <c r="H352" s="12" t="s">
        <v>60</v>
      </c>
      <c r="I352" s="7" t="str">
        <f>IFERROR(VLOOKUP(E352,'(新)ﾍﾞﾝﾀﾞｰ小型'!$A$3:$K$300,10,0),"")</f>
        <v/>
      </c>
    </row>
    <row r="353" spans="2:9" s="19" customFormat="1" x14ac:dyDescent="0.15">
      <c r="B353" s="7" t="str">
        <f>IFERROR(VLOOKUP(E353,'(新)ﾍﾞﾝﾀﾞｰ小型'!$A$3:$K$241,2,0), "")</f>
        <v/>
      </c>
      <c r="C353" s="7" t="str">
        <f>IFERROR(VLOOKUP(E353,'(新)ﾍﾞﾝﾀﾞｰ小型'!$A$3:$K$300,4,0), "")</f>
        <v/>
      </c>
      <c r="D353" s="7" t="str">
        <f>IFERROR(VLOOKUP(E353,'(新)ﾍﾞﾝﾀﾞｰ小型'!$A$3:$K$241,5,0), "")</f>
        <v/>
      </c>
      <c r="E353" s="26"/>
      <c r="F353" s="8" t="str">
        <f>IFERROR(VLOOKUP(E353,'(新)ﾍﾞﾝﾀﾞｰ小型'!$A$3:$K$241,8,0), "")</f>
        <v/>
      </c>
      <c r="G353" s="7" t="str">
        <f>IFERROR(VLOOKUP(E353,'(旧)ﾍﾞﾝﾀﾞｰ小型'!$A$3:$K$310,10,0),"")</f>
        <v/>
      </c>
      <c r="H353" s="12" t="s">
        <v>60</v>
      </c>
      <c r="I353" s="7" t="str">
        <f>IFERROR(VLOOKUP(E353,'(新)ﾍﾞﾝﾀﾞｰ小型'!$A$3:$K$300,10,0),"")</f>
        <v/>
      </c>
    </row>
    <row r="354" spans="2:9" s="19" customFormat="1" x14ac:dyDescent="0.15">
      <c r="B354" s="7" t="str">
        <f>IFERROR(VLOOKUP(E354,'(新)ﾍﾞﾝﾀﾞｰ小型'!$A$3:$K$241,2,0), "")</f>
        <v/>
      </c>
      <c r="C354" s="7" t="str">
        <f>IFERROR(VLOOKUP(E354,'(新)ﾍﾞﾝﾀﾞｰ小型'!$A$3:$K$300,4,0), "")</f>
        <v/>
      </c>
      <c r="D354" s="7" t="str">
        <f>IFERROR(VLOOKUP(E354,'(新)ﾍﾞﾝﾀﾞｰ小型'!$A$3:$K$241,5,0), "")</f>
        <v/>
      </c>
      <c r="E354" s="26"/>
      <c r="F354" s="8" t="str">
        <f>IFERROR(VLOOKUP(E354,'(新)ﾍﾞﾝﾀﾞｰ小型'!$A$3:$K$241,8,0), "")</f>
        <v/>
      </c>
      <c r="G354" s="7" t="str">
        <f>IFERROR(VLOOKUP(E354,'(旧)ﾍﾞﾝﾀﾞｰ小型'!$A$3:$K$310,10,0),"")</f>
        <v/>
      </c>
      <c r="H354" s="12" t="s">
        <v>60</v>
      </c>
      <c r="I354" s="7" t="str">
        <f>IFERROR(VLOOKUP(E354,'(新)ﾍﾞﾝﾀﾞｰ小型'!$A$3:$K$300,10,0),"")</f>
        <v/>
      </c>
    </row>
    <row r="355" spans="2:9" s="19" customFormat="1" x14ac:dyDescent="0.15">
      <c r="B355" s="7" t="str">
        <f>IFERROR(VLOOKUP(E355,'(新)ﾍﾞﾝﾀﾞｰ小型'!$A$3:$K$241,2,0), "")</f>
        <v/>
      </c>
      <c r="C355" s="7" t="str">
        <f>IFERROR(VLOOKUP(E355,'(新)ﾍﾞﾝﾀﾞｰ小型'!$A$3:$K$300,4,0), "")</f>
        <v/>
      </c>
      <c r="D355" s="7" t="str">
        <f>IFERROR(VLOOKUP(E355,'(新)ﾍﾞﾝﾀﾞｰ小型'!$A$3:$K$241,5,0), "")</f>
        <v/>
      </c>
      <c r="E355" s="26"/>
      <c r="F355" s="8" t="str">
        <f>IFERROR(VLOOKUP(E355,'(新)ﾍﾞﾝﾀﾞｰ小型'!$A$3:$K$241,8,0), "")</f>
        <v/>
      </c>
      <c r="G355" s="7" t="str">
        <f>IFERROR(VLOOKUP(E355,'(旧)ﾍﾞﾝﾀﾞｰ小型'!$A$3:$K$310,10,0),"")</f>
        <v/>
      </c>
      <c r="H355" s="12" t="s">
        <v>60</v>
      </c>
      <c r="I355" s="7" t="str">
        <f>IFERROR(VLOOKUP(E355,'(新)ﾍﾞﾝﾀﾞｰ小型'!$A$3:$K$300,10,0),"")</f>
        <v/>
      </c>
    </row>
    <row r="356" spans="2:9" s="19" customFormat="1" x14ac:dyDescent="0.15">
      <c r="B356" s="7" t="str">
        <f>IFERROR(VLOOKUP(E356,'(新)ﾍﾞﾝﾀﾞｰ小型'!$A$3:$K$241,2,0), "")</f>
        <v/>
      </c>
      <c r="C356" s="7" t="str">
        <f>IFERROR(VLOOKUP(E356,'(新)ﾍﾞﾝﾀﾞｰ小型'!$A$3:$K$300,4,0), "")</f>
        <v/>
      </c>
      <c r="D356" s="7" t="str">
        <f>IFERROR(VLOOKUP(E356,'(新)ﾍﾞﾝﾀﾞｰ小型'!$A$3:$K$241,5,0), "")</f>
        <v/>
      </c>
      <c r="E356" s="26"/>
      <c r="F356" s="8" t="str">
        <f>IFERROR(VLOOKUP(E356,'(新)ﾍﾞﾝﾀﾞｰ小型'!$A$3:$K$241,8,0), "")</f>
        <v/>
      </c>
      <c r="G356" s="7" t="str">
        <f>IFERROR(VLOOKUP(E356,'(旧)ﾍﾞﾝﾀﾞｰ小型'!$A$3:$K$310,10,0),"")</f>
        <v/>
      </c>
      <c r="H356" s="12" t="s">
        <v>60</v>
      </c>
      <c r="I356" s="7" t="str">
        <f>IFERROR(VLOOKUP(E356,'(新)ﾍﾞﾝﾀﾞｰ小型'!$A$3:$K$300,10,0),"")</f>
        <v/>
      </c>
    </row>
    <row r="357" spans="2:9" s="19" customFormat="1" x14ac:dyDescent="0.15">
      <c r="B357" s="7" t="str">
        <f>IFERROR(VLOOKUP(E357,'(新)ﾍﾞﾝﾀﾞｰ小型'!$A$3:$K$241,2,0), "")</f>
        <v/>
      </c>
      <c r="C357" s="7" t="str">
        <f>IFERROR(VLOOKUP(E357,'(新)ﾍﾞﾝﾀﾞｰ小型'!$A$3:$K$300,4,0), "")</f>
        <v/>
      </c>
      <c r="D357" s="7" t="str">
        <f>IFERROR(VLOOKUP(E357,'(新)ﾍﾞﾝﾀﾞｰ小型'!$A$3:$K$241,5,0), "")</f>
        <v/>
      </c>
      <c r="E357" s="26"/>
      <c r="F357" s="8" t="str">
        <f>IFERROR(VLOOKUP(E357,'(新)ﾍﾞﾝﾀﾞｰ小型'!$A$3:$K$241,8,0), "")</f>
        <v/>
      </c>
      <c r="G357" s="7" t="str">
        <f>IFERROR(VLOOKUP(E357,'(旧)ﾍﾞﾝﾀﾞｰ小型'!$A$3:$K$310,10,0),"")</f>
        <v/>
      </c>
      <c r="H357" s="12" t="s">
        <v>60</v>
      </c>
      <c r="I357" s="7" t="str">
        <f>IFERROR(VLOOKUP(E357,'(新)ﾍﾞﾝﾀﾞｰ小型'!$A$3:$K$300,10,0),"")</f>
        <v/>
      </c>
    </row>
    <row r="358" spans="2:9" s="19" customFormat="1" x14ac:dyDescent="0.15">
      <c r="B358" s="7" t="str">
        <f>IFERROR(VLOOKUP(E358,'(新)ﾍﾞﾝﾀﾞｰ小型'!$A$3:$K$241,2,0), "")</f>
        <v/>
      </c>
      <c r="C358" s="7" t="str">
        <f>IFERROR(VLOOKUP(E358,'(新)ﾍﾞﾝﾀﾞｰ小型'!$A$3:$K$300,4,0), "")</f>
        <v/>
      </c>
      <c r="D358" s="7" t="str">
        <f>IFERROR(VLOOKUP(E358,'(新)ﾍﾞﾝﾀﾞｰ小型'!$A$3:$K$241,5,0), "")</f>
        <v/>
      </c>
      <c r="E358" s="26"/>
      <c r="F358" s="8" t="str">
        <f>IFERROR(VLOOKUP(E358,'(新)ﾍﾞﾝﾀﾞｰ小型'!$A$3:$K$241,8,0), "")</f>
        <v/>
      </c>
      <c r="G358" s="7" t="str">
        <f>IFERROR(VLOOKUP(E358,'(旧)ﾍﾞﾝﾀﾞｰ小型'!$A$3:$K$310,10,0),"")</f>
        <v/>
      </c>
      <c r="H358" s="12" t="s">
        <v>60</v>
      </c>
      <c r="I358" s="7" t="str">
        <f>IFERROR(VLOOKUP(E358,'(新)ﾍﾞﾝﾀﾞｰ小型'!$A$3:$K$300,10,0),"")</f>
        <v/>
      </c>
    </row>
    <row r="359" spans="2:9" s="19" customFormat="1" x14ac:dyDescent="0.15">
      <c r="B359" s="7" t="str">
        <f>IFERROR(VLOOKUP(E359,'(新)ﾍﾞﾝﾀﾞｰ小型'!$A$3:$K$241,2,0), "")</f>
        <v/>
      </c>
      <c r="C359" s="7" t="str">
        <f>IFERROR(VLOOKUP(E359,'(新)ﾍﾞﾝﾀﾞｰ小型'!$A$3:$K$300,4,0), "")</f>
        <v/>
      </c>
      <c r="D359" s="7" t="str">
        <f>IFERROR(VLOOKUP(E359,'(新)ﾍﾞﾝﾀﾞｰ小型'!$A$3:$K$241,5,0), "")</f>
        <v/>
      </c>
      <c r="E359" s="26"/>
      <c r="F359" s="8" t="str">
        <f>IFERROR(VLOOKUP(E359,'(新)ﾍﾞﾝﾀﾞｰ小型'!$A$3:$K$241,8,0), "")</f>
        <v/>
      </c>
      <c r="G359" s="7" t="str">
        <f>IFERROR(VLOOKUP(E359,'(旧)ﾍﾞﾝﾀﾞｰ小型'!$A$3:$K$310,10,0),"")</f>
        <v/>
      </c>
      <c r="H359" s="12" t="s">
        <v>60</v>
      </c>
      <c r="I359" s="7" t="str">
        <f>IFERROR(VLOOKUP(E359,'(新)ﾍﾞﾝﾀﾞｰ小型'!$A$3:$K$300,10,0),"")</f>
        <v/>
      </c>
    </row>
    <row r="360" spans="2:9" s="19" customFormat="1" x14ac:dyDescent="0.15">
      <c r="B360" s="7" t="str">
        <f>IFERROR(VLOOKUP(E360,'(新)ﾍﾞﾝﾀﾞｰ小型'!$A$3:$K$241,2,0), "")</f>
        <v/>
      </c>
      <c r="C360" s="7" t="str">
        <f>IFERROR(VLOOKUP(E360,'(新)ﾍﾞﾝﾀﾞｰ小型'!$A$3:$K$300,4,0), "")</f>
        <v/>
      </c>
      <c r="D360" s="7" t="str">
        <f>IFERROR(VLOOKUP(E360,'(新)ﾍﾞﾝﾀﾞｰ小型'!$A$3:$K$241,5,0), "")</f>
        <v/>
      </c>
      <c r="E360" s="26"/>
      <c r="F360" s="8" t="str">
        <f>IFERROR(VLOOKUP(E360,'(新)ﾍﾞﾝﾀﾞｰ小型'!$A$3:$K$241,8,0), "")</f>
        <v/>
      </c>
      <c r="G360" s="7" t="str">
        <f>IFERROR(VLOOKUP(E360,'(旧)ﾍﾞﾝﾀﾞｰ小型'!$A$3:$K$310,10,0),"")</f>
        <v/>
      </c>
      <c r="H360" s="12" t="s">
        <v>60</v>
      </c>
      <c r="I360" s="7" t="str">
        <f>IFERROR(VLOOKUP(E360,'(新)ﾍﾞﾝﾀﾞｰ小型'!$A$3:$K$300,10,0),"")</f>
        <v/>
      </c>
    </row>
    <row r="361" spans="2:9" s="19" customFormat="1" x14ac:dyDescent="0.15">
      <c r="B361" s="7" t="str">
        <f>IFERROR(VLOOKUP(E361,'(新)ﾍﾞﾝﾀﾞｰ小型'!$A$3:$K$241,2,0), "")</f>
        <v/>
      </c>
      <c r="C361" s="7" t="str">
        <f>IFERROR(VLOOKUP(E361,'(新)ﾍﾞﾝﾀﾞｰ小型'!$A$3:$K$300,4,0), "")</f>
        <v/>
      </c>
      <c r="D361" s="7" t="str">
        <f>IFERROR(VLOOKUP(E361,'(新)ﾍﾞﾝﾀﾞｰ小型'!$A$3:$K$241,5,0), "")</f>
        <v/>
      </c>
      <c r="E361" s="26"/>
      <c r="F361" s="8" t="str">
        <f>IFERROR(VLOOKUP(E361,'(新)ﾍﾞﾝﾀﾞｰ小型'!$A$3:$K$241,8,0), "")</f>
        <v/>
      </c>
      <c r="G361" s="7" t="str">
        <f>IFERROR(VLOOKUP(E361,'(旧)ﾍﾞﾝﾀﾞｰ小型'!$A$3:$K$310,10,0),"")</f>
        <v/>
      </c>
      <c r="H361" s="12" t="s">
        <v>60</v>
      </c>
      <c r="I361" s="7" t="str">
        <f>IFERROR(VLOOKUP(E361,'(新)ﾍﾞﾝﾀﾞｰ小型'!$A$3:$K$300,10,0),"")</f>
        <v/>
      </c>
    </row>
    <row r="362" spans="2:9" s="19" customFormat="1" x14ac:dyDescent="0.15">
      <c r="B362" s="7" t="str">
        <f>IFERROR(VLOOKUP(E362,'(新)ﾍﾞﾝﾀﾞｰ小型'!$A$3:$K$241,2,0), "")</f>
        <v/>
      </c>
      <c r="C362" s="7" t="str">
        <f>IFERROR(VLOOKUP(E362,'(新)ﾍﾞﾝﾀﾞｰ小型'!$A$3:$K$300,4,0), "")</f>
        <v/>
      </c>
      <c r="D362" s="7" t="str">
        <f>IFERROR(VLOOKUP(E362,'(新)ﾍﾞﾝﾀﾞｰ小型'!$A$3:$K$241,5,0), "")</f>
        <v/>
      </c>
      <c r="E362" s="26"/>
      <c r="F362" s="8" t="str">
        <f>IFERROR(VLOOKUP(E362,'(新)ﾍﾞﾝﾀﾞｰ小型'!$A$3:$K$241,8,0), "")</f>
        <v/>
      </c>
      <c r="G362" s="7" t="str">
        <f>IFERROR(VLOOKUP(E362,'(旧)ﾍﾞﾝﾀﾞｰ小型'!$A$3:$K$310,10,0),"")</f>
        <v/>
      </c>
      <c r="H362" s="12" t="s">
        <v>60</v>
      </c>
      <c r="I362" s="7" t="str">
        <f>IFERROR(VLOOKUP(E362,'(新)ﾍﾞﾝﾀﾞｰ小型'!$A$3:$K$300,10,0),"")</f>
        <v/>
      </c>
    </row>
    <row r="363" spans="2:9" s="19" customFormat="1" x14ac:dyDescent="0.15">
      <c r="B363" s="7" t="str">
        <f>IFERROR(VLOOKUP(E363,'(新)ﾍﾞﾝﾀﾞｰ小型'!$A$3:$K$241,2,0), "")</f>
        <v/>
      </c>
      <c r="C363" s="7" t="str">
        <f>IFERROR(VLOOKUP(E363,'(新)ﾍﾞﾝﾀﾞｰ小型'!$A$3:$K$300,4,0), "")</f>
        <v/>
      </c>
      <c r="D363" s="7" t="str">
        <f>IFERROR(VLOOKUP(E363,'(新)ﾍﾞﾝﾀﾞｰ小型'!$A$3:$K$241,5,0), "")</f>
        <v/>
      </c>
      <c r="E363" s="26"/>
      <c r="F363" s="8" t="str">
        <f>IFERROR(VLOOKUP(E363,'(新)ﾍﾞﾝﾀﾞｰ小型'!$A$3:$K$241,8,0), "")</f>
        <v/>
      </c>
      <c r="G363" s="7" t="str">
        <f>IFERROR(VLOOKUP(E363,'(旧)ﾍﾞﾝﾀﾞｰ小型'!$A$3:$K$310,10,0),"")</f>
        <v/>
      </c>
      <c r="H363" s="12" t="s">
        <v>60</v>
      </c>
      <c r="I363" s="7" t="str">
        <f>IFERROR(VLOOKUP(E363,'(新)ﾍﾞﾝﾀﾞｰ小型'!$A$3:$K$300,10,0),"")</f>
        <v/>
      </c>
    </row>
    <row r="364" spans="2:9" s="19" customFormat="1" x14ac:dyDescent="0.15">
      <c r="B364" s="7" t="str">
        <f>IFERROR(VLOOKUP(E364,'(新)ﾍﾞﾝﾀﾞｰ小型'!$A$3:$K$241,2,0), "")</f>
        <v/>
      </c>
      <c r="C364" s="7" t="str">
        <f>IFERROR(VLOOKUP(E364,'(新)ﾍﾞﾝﾀﾞｰ小型'!$A$3:$K$300,4,0), "")</f>
        <v/>
      </c>
      <c r="D364" s="7" t="str">
        <f>IFERROR(VLOOKUP(E364,'(新)ﾍﾞﾝﾀﾞｰ小型'!$A$3:$K$241,5,0), "")</f>
        <v/>
      </c>
      <c r="E364" s="26"/>
      <c r="F364" s="8" t="str">
        <f>IFERROR(VLOOKUP(E364,'(新)ﾍﾞﾝﾀﾞｰ小型'!$A$3:$K$241,8,0), "")</f>
        <v/>
      </c>
      <c r="G364" s="7" t="str">
        <f>IFERROR(VLOOKUP(E364,'(旧)ﾍﾞﾝﾀﾞｰ小型'!$A$3:$K$310,10,0),"")</f>
        <v/>
      </c>
      <c r="H364" s="12" t="s">
        <v>60</v>
      </c>
      <c r="I364" s="7" t="str">
        <f>IFERROR(VLOOKUP(E364,'(新)ﾍﾞﾝﾀﾞｰ小型'!$A$3:$K$300,10,0),"")</f>
        <v/>
      </c>
    </row>
    <row r="365" spans="2:9" s="19" customFormat="1" x14ac:dyDescent="0.15">
      <c r="B365" s="7" t="str">
        <f>IFERROR(VLOOKUP(E365,'(新)ﾍﾞﾝﾀﾞｰ小型'!$A$3:$K$241,2,0), "")</f>
        <v/>
      </c>
      <c r="C365" s="7" t="str">
        <f>IFERROR(VLOOKUP(E365,'(新)ﾍﾞﾝﾀﾞｰ小型'!$A$3:$K$300,4,0), "")</f>
        <v/>
      </c>
      <c r="D365" s="7" t="str">
        <f>IFERROR(VLOOKUP(E365,'(新)ﾍﾞﾝﾀﾞｰ小型'!$A$3:$K$241,5,0), "")</f>
        <v/>
      </c>
      <c r="E365" s="26"/>
      <c r="F365" s="8" t="str">
        <f>IFERROR(VLOOKUP(E365,'(新)ﾍﾞﾝﾀﾞｰ小型'!$A$3:$K$241,8,0), "")</f>
        <v/>
      </c>
      <c r="G365" s="7" t="str">
        <f>IFERROR(VLOOKUP(E365,'(旧)ﾍﾞﾝﾀﾞｰ小型'!$A$3:$K$310,10,0),"")</f>
        <v/>
      </c>
      <c r="H365" s="12" t="s">
        <v>60</v>
      </c>
      <c r="I365" s="7" t="str">
        <f>IFERROR(VLOOKUP(E365,'(新)ﾍﾞﾝﾀﾞｰ小型'!$A$3:$K$300,10,0),"")</f>
        <v/>
      </c>
    </row>
    <row r="366" spans="2:9" s="19" customFormat="1" x14ac:dyDescent="0.15">
      <c r="B366" s="7" t="str">
        <f>IFERROR(VLOOKUP(E366,'(新)ﾍﾞﾝﾀﾞｰ小型'!$A$3:$K$241,2,0), "")</f>
        <v/>
      </c>
      <c r="C366" s="7" t="str">
        <f>IFERROR(VLOOKUP(E366,'(新)ﾍﾞﾝﾀﾞｰ小型'!$A$3:$K$300,4,0), "")</f>
        <v/>
      </c>
      <c r="D366" s="7" t="str">
        <f>IFERROR(VLOOKUP(E366,'(新)ﾍﾞﾝﾀﾞｰ小型'!$A$3:$K$241,5,0), "")</f>
        <v/>
      </c>
      <c r="E366" s="26"/>
      <c r="F366" s="8" t="str">
        <f>IFERROR(VLOOKUP(E366,'(新)ﾍﾞﾝﾀﾞｰ小型'!$A$3:$K$241,8,0), "")</f>
        <v/>
      </c>
      <c r="G366" s="7" t="str">
        <f>IFERROR(VLOOKUP(E366,'(旧)ﾍﾞﾝﾀﾞｰ小型'!$A$3:$K$310,10,0),"")</f>
        <v/>
      </c>
      <c r="H366" s="12" t="s">
        <v>60</v>
      </c>
      <c r="I366" s="7" t="str">
        <f>IFERROR(VLOOKUP(E366,'(新)ﾍﾞﾝﾀﾞｰ小型'!$A$3:$K$300,10,0),"")</f>
        <v/>
      </c>
    </row>
    <row r="367" spans="2:9" s="19" customFormat="1" x14ac:dyDescent="0.15">
      <c r="B367" s="7" t="str">
        <f>IFERROR(VLOOKUP(E367,'(新)ﾍﾞﾝﾀﾞｰ小型'!$A$3:$K$241,2,0), "")</f>
        <v/>
      </c>
      <c r="C367" s="7" t="str">
        <f>IFERROR(VLOOKUP(E367,'(新)ﾍﾞﾝﾀﾞｰ小型'!$A$3:$K$300,4,0), "")</f>
        <v/>
      </c>
      <c r="D367" s="7" t="str">
        <f>IFERROR(VLOOKUP(E367,'(新)ﾍﾞﾝﾀﾞｰ小型'!$A$3:$K$241,5,0), "")</f>
        <v/>
      </c>
      <c r="E367" s="26"/>
      <c r="F367" s="8" t="str">
        <f>IFERROR(VLOOKUP(E367,'(新)ﾍﾞﾝﾀﾞｰ小型'!$A$3:$K$241,8,0), "")</f>
        <v/>
      </c>
      <c r="G367" s="7" t="str">
        <f>IFERROR(VLOOKUP(E367,'(旧)ﾍﾞﾝﾀﾞｰ小型'!$A$3:$K$310,10,0),"")</f>
        <v/>
      </c>
      <c r="H367" s="12" t="s">
        <v>60</v>
      </c>
      <c r="I367" s="7" t="str">
        <f>IFERROR(VLOOKUP(E367,'(新)ﾍﾞﾝﾀﾞｰ小型'!$A$3:$K$300,10,0),"")</f>
        <v/>
      </c>
    </row>
    <row r="368" spans="2:9" s="19" customFormat="1" x14ac:dyDescent="0.15">
      <c r="B368" s="7" t="str">
        <f>IFERROR(VLOOKUP(E368,'(新)ﾍﾞﾝﾀﾞｰ小型'!$A$3:$K$241,2,0), "")</f>
        <v/>
      </c>
      <c r="C368" s="7" t="str">
        <f>IFERROR(VLOOKUP(E368,'(新)ﾍﾞﾝﾀﾞｰ小型'!$A$3:$K$300,4,0), "")</f>
        <v/>
      </c>
      <c r="D368" s="7" t="str">
        <f>IFERROR(VLOOKUP(E368,'(新)ﾍﾞﾝﾀﾞｰ小型'!$A$3:$K$241,5,0), "")</f>
        <v/>
      </c>
      <c r="E368" s="26"/>
      <c r="F368" s="8" t="str">
        <f>IFERROR(VLOOKUP(E368,'(新)ﾍﾞﾝﾀﾞｰ小型'!$A$3:$K$241,8,0), "")</f>
        <v/>
      </c>
      <c r="G368" s="7" t="str">
        <f>IFERROR(VLOOKUP(E368,'(旧)ﾍﾞﾝﾀﾞｰ小型'!$A$3:$K$310,10,0),"")</f>
        <v/>
      </c>
      <c r="H368" s="12" t="s">
        <v>60</v>
      </c>
      <c r="I368" s="7" t="str">
        <f>IFERROR(VLOOKUP(E368,'(新)ﾍﾞﾝﾀﾞｰ小型'!$A$3:$K$300,10,0),"")</f>
        <v/>
      </c>
    </row>
    <row r="369" spans="2:9" s="19" customFormat="1" x14ac:dyDescent="0.15">
      <c r="B369" s="7" t="str">
        <f>IFERROR(VLOOKUP(E369,'(新)ﾍﾞﾝﾀﾞｰ小型'!$A$3:$K$241,2,0), "")</f>
        <v/>
      </c>
      <c r="C369" s="7" t="str">
        <f>IFERROR(VLOOKUP(E369,'(新)ﾍﾞﾝﾀﾞｰ小型'!$A$3:$K$300,4,0), "")</f>
        <v/>
      </c>
      <c r="D369" s="7" t="str">
        <f>IFERROR(VLOOKUP(E369,'(新)ﾍﾞﾝﾀﾞｰ小型'!$A$3:$K$241,5,0), "")</f>
        <v/>
      </c>
      <c r="E369" s="26"/>
      <c r="F369" s="8" t="str">
        <f>IFERROR(VLOOKUP(E369,'(新)ﾍﾞﾝﾀﾞｰ小型'!$A$3:$K$241,8,0), "")</f>
        <v/>
      </c>
      <c r="G369" s="7" t="str">
        <f>IFERROR(VLOOKUP(E369,'(旧)ﾍﾞﾝﾀﾞｰ小型'!$A$3:$K$310,10,0),"")</f>
        <v/>
      </c>
      <c r="H369" s="12" t="s">
        <v>60</v>
      </c>
      <c r="I369" s="7" t="str">
        <f>IFERROR(VLOOKUP(E369,'(新)ﾍﾞﾝﾀﾞｰ小型'!$A$3:$K$300,10,0),"")</f>
        <v/>
      </c>
    </row>
    <row r="370" spans="2:9" s="19" customFormat="1" x14ac:dyDescent="0.15">
      <c r="B370" s="7" t="str">
        <f>IFERROR(VLOOKUP(E370,'(新)ﾍﾞﾝﾀﾞｰ小型'!$A$3:$K$241,2,0), "")</f>
        <v/>
      </c>
      <c r="C370" s="7" t="str">
        <f>IFERROR(VLOOKUP(E370,'(新)ﾍﾞﾝﾀﾞｰ小型'!$A$3:$K$300,4,0), "")</f>
        <v/>
      </c>
      <c r="D370" s="7" t="str">
        <f>IFERROR(VLOOKUP(E370,'(新)ﾍﾞﾝﾀﾞｰ小型'!$A$3:$K$241,5,0), "")</f>
        <v/>
      </c>
      <c r="E370" s="26"/>
      <c r="F370" s="8" t="str">
        <f>IFERROR(VLOOKUP(E370,'(新)ﾍﾞﾝﾀﾞｰ小型'!$A$3:$K$241,8,0), "")</f>
        <v/>
      </c>
      <c r="G370" s="7" t="str">
        <f>IFERROR(VLOOKUP(E370,'(旧)ﾍﾞﾝﾀﾞｰ小型'!$A$3:$K$310,10,0),"")</f>
        <v/>
      </c>
      <c r="H370" s="12" t="s">
        <v>60</v>
      </c>
      <c r="I370" s="7" t="str">
        <f>IFERROR(VLOOKUP(E370,'(新)ﾍﾞﾝﾀﾞｰ小型'!$A$3:$K$300,10,0),"")</f>
        <v/>
      </c>
    </row>
    <row r="371" spans="2:9" s="19" customFormat="1" x14ac:dyDescent="0.15">
      <c r="B371" s="7" t="str">
        <f>IFERROR(VLOOKUP(E371,'(新)ﾍﾞﾝﾀﾞｰ小型'!$A$3:$K$241,2,0), "")</f>
        <v/>
      </c>
      <c r="C371" s="7" t="str">
        <f>IFERROR(VLOOKUP(E371,'(新)ﾍﾞﾝﾀﾞｰ小型'!$A$3:$K$300,4,0), "")</f>
        <v/>
      </c>
      <c r="D371" s="7" t="str">
        <f>IFERROR(VLOOKUP(E371,'(新)ﾍﾞﾝﾀﾞｰ小型'!$A$3:$K$241,5,0), "")</f>
        <v/>
      </c>
      <c r="E371" s="26"/>
      <c r="F371" s="8" t="str">
        <f>IFERROR(VLOOKUP(E371,'(新)ﾍﾞﾝﾀﾞｰ小型'!$A$3:$K$241,8,0), "")</f>
        <v/>
      </c>
      <c r="G371" s="7" t="str">
        <f>IFERROR(VLOOKUP(E371,'(旧)ﾍﾞﾝﾀﾞｰ小型'!$A$3:$K$310,10,0),"")</f>
        <v/>
      </c>
      <c r="H371" s="12" t="s">
        <v>60</v>
      </c>
      <c r="I371" s="7" t="str">
        <f>IFERROR(VLOOKUP(E371,'(新)ﾍﾞﾝﾀﾞｰ小型'!$A$3:$K$300,10,0),"")</f>
        <v/>
      </c>
    </row>
    <row r="372" spans="2:9" s="19" customFormat="1" x14ac:dyDescent="0.15">
      <c r="B372" s="7" t="str">
        <f>IFERROR(VLOOKUP(E372,'(新)ﾍﾞﾝﾀﾞｰ小型'!$A$3:$K$241,2,0), "")</f>
        <v/>
      </c>
      <c r="C372" s="7" t="str">
        <f>IFERROR(VLOOKUP(E372,'(新)ﾍﾞﾝﾀﾞｰ小型'!$A$3:$K$300,4,0), "")</f>
        <v/>
      </c>
      <c r="D372" s="7" t="str">
        <f>IFERROR(VLOOKUP(E372,'(新)ﾍﾞﾝﾀﾞｰ小型'!$A$3:$K$241,5,0), "")</f>
        <v/>
      </c>
      <c r="E372" s="26"/>
      <c r="F372" s="8" t="str">
        <f>IFERROR(VLOOKUP(E372,'(新)ﾍﾞﾝﾀﾞｰ小型'!$A$3:$K$241,8,0), "")</f>
        <v/>
      </c>
      <c r="G372" s="7" t="str">
        <f>IFERROR(VLOOKUP(E372,'(旧)ﾍﾞﾝﾀﾞｰ小型'!$A$3:$K$310,10,0),"")</f>
        <v/>
      </c>
      <c r="H372" s="12" t="s">
        <v>60</v>
      </c>
      <c r="I372" s="7" t="str">
        <f>IFERROR(VLOOKUP(E372,'(新)ﾍﾞﾝﾀﾞｰ小型'!$A$3:$K$300,10,0),"")</f>
        <v/>
      </c>
    </row>
    <row r="373" spans="2:9" s="19" customFormat="1" x14ac:dyDescent="0.15">
      <c r="B373" s="7" t="str">
        <f>IFERROR(VLOOKUP(E373,'(新)ﾍﾞﾝﾀﾞｰ小型'!$A$3:$K$241,2,0), "")</f>
        <v/>
      </c>
      <c r="C373" s="7" t="str">
        <f>IFERROR(VLOOKUP(E373,'(新)ﾍﾞﾝﾀﾞｰ小型'!$A$3:$K$300,4,0), "")</f>
        <v/>
      </c>
      <c r="D373" s="7" t="str">
        <f>IFERROR(VLOOKUP(E373,'(新)ﾍﾞﾝﾀﾞｰ小型'!$A$3:$K$241,5,0), "")</f>
        <v/>
      </c>
      <c r="E373" s="26"/>
      <c r="F373" s="8" t="str">
        <f>IFERROR(VLOOKUP(E373,'(新)ﾍﾞﾝﾀﾞｰ小型'!$A$3:$K$241,8,0), "")</f>
        <v/>
      </c>
      <c r="G373" s="7" t="str">
        <f>IFERROR(VLOOKUP(E373,'(旧)ﾍﾞﾝﾀﾞｰ小型'!$A$3:$K$310,10,0),"")</f>
        <v/>
      </c>
      <c r="H373" s="12" t="s">
        <v>60</v>
      </c>
      <c r="I373" s="7" t="str">
        <f>IFERROR(VLOOKUP(E373,'(新)ﾍﾞﾝﾀﾞｰ小型'!$A$3:$K$300,10,0),"")</f>
        <v/>
      </c>
    </row>
    <row r="374" spans="2:9" s="19" customFormat="1" x14ac:dyDescent="0.15">
      <c r="B374" s="7" t="str">
        <f>IFERROR(VLOOKUP(E374,'(新)ﾍﾞﾝﾀﾞｰ小型'!$A$3:$K$241,2,0), "")</f>
        <v/>
      </c>
      <c r="C374" s="7" t="str">
        <f>IFERROR(VLOOKUP(E374,'(新)ﾍﾞﾝﾀﾞｰ小型'!$A$3:$K$300,4,0), "")</f>
        <v/>
      </c>
      <c r="D374" s="7" t="str">
        <f>IFERROR(VLOOKUP(E374,'(新)ﾍﾞﾝﾀﾞｰ小型'!$A$3:$K$241,5,0), "")</f>
        <v/>
      </c>
      <c r="E374" s="26"/>
      <c r="F374" s="8" t="str">
        <f>IFERROR(VLOOKUP(E374,'(新)ﾍﾞﾝﾀﾞｰ小型'!$A$3:$K$241,8,0), "")</f>
        <v/>
      </c>
      <c r="G374" s="7" t="str">
        <f>IFERROR(VLOOKUP(E374,'(旧)ﾍﾞﾝﾀﾞｰ小型'!$A$3:$K$310,10,0),"")</f>
        <v/>
      </c>
      <c r="H374" s="12" t="s">
        <v>60</v>
      </c>
      <c r="I374" s="7" t="str">
        <f>IFERROR(VLOOKUP(E374,'(新)ﾍﾞﾝﾀﾞｰ小型'!$A$3:$K$300,10,0),"")</f>
        <v/>
      </c>
    </row>
    <row r="375" spans="2:9" s="19" customFormat="1" x14ac:dyDescent="0.15">
      <c r="B375" s="7" t="str">
        <f>IFERROR(VLOOKUP(E375,'(新)ﾍﾞﾝﾀﾞｰ小型'!$A$3:$K$241,2,0), "")</f>
        <v/>
      </c>
      <c r="C375" s="7" t="str">
        <f>IFERROR(VLOOKUP(E375,'(新)ﾍﾞﾝﾀﾞｰ小型'!$A$3:$K$300,4,0), "")</f>
        <v/>
      </c>
      <c r="D375" s="7" t="str">
        <f>IFERROR(VLOOKUP(E375,'(新)ﾍﾞﾝﾀﾞｰ小型'!$A$3:$K$241,5,0), "")</f>
        <v/>
      </c>
      <c r="E375" s="26"/>
      <c r="F375" s="8" t="str">
        <f>IFERROR(VLOOKUP(E375,'(新)ﾍﾞﾝﾀﾞｰ小型'!$A$3:$K$241,8,0), "")</f>
        <v/>
      </c>
      <c r="G375" s="7" t="str">
        <f>IFERROR(VLOOKUP(E375,'(旧)ﾍﾞﾝﾀﾞｰ小型'!$A$3:$K$310,10,0),"")</f>
        <v/>
      </c>
      <c r="H375" s="12" t="s">
        <v>60</v>
      </c>
      <c r="I375" s="7" t="str">
        <f>IFERROR(VLOOKUP(E375,'(新)ﾍﾞﾝﾀﾞｰ小型'!$A$3:$K$300,10,0),"")</f>
        <v/>
      </c>
    </row>
    <row r="376" spans="2:9" s="19" customFormat="1" x14ac:dyDescent="0.15">
      <c r="B376" s="7" t="str">
        <f>IFERROR(VLOOKUP(E376,'(新)ﾍﾞﾝﾀﾞｰ小型'!$A$3:$K$241,2,0), "")</f>
        <v/>
      </c>
      <c r="C376" s="7" t="str">
        <f>IFERROR(VLOOKUP(E376,'(新)ﾍﾞﾝﾀﾞｰ小型'!$A$3:$K$300,4,0), "")</f>
        <v/>
      </c>
      <c r="D376" s="7" t="str">
        <f>IFERROR(VLOOKUP(E376,'(新)ﾍﾞﾝﾀﾞｰ小型'!$A$3:$K$241,5,0), "")</f>
        <v/>
      </c>
      <c r="E376" s="26"/>
      <c r="F376" s="8" t="str">
        <f>IFERROR(VLOOKUP(E376,'(新)ﾍﾞﾝﾀﾞｰ小型'!$A$3:$K$241,8,0), "")</f>
        <v/>
      </c>
      <c r="G376" s="7" t="str">
        <f>IFERROR(VLOOKUP(E376,'(旧)ﾍﾞﾝﾀﾞｰ小型'!$A$3:$K$310,10,0),"")</f>
        <v/>
      </c>
      <c r="H376" s="12" t="s">
        <v>60</v>
      </c>
      <c r="I376" s="7" t="str">
        <f>IFERROR(VLOOKUP(E376,'(新)ﾍﾞﾝﾀﾞｰ小型'!$A$3:$K$300,10,0),"")</f>
        <v/>
      </c>
    </row>
    <row r="377" spans="2:9" s="19" customFormat="1" x14ac:dyDescent="0.15">
      <c r="B377" s="7" t="str">
        <f>IFERROR(VLOOKUP(E377,'(新)ﾍﾞﾝﾀﾞｰ小型'!$A$3:$K$241,2,0), "")</f>
        <v/>
      </c>
      <c r="C377" s="7" t="str">
        <f>IFERROR(VLOOKUP(E377,'(新)ﾍﾞﾝﾀﾞｰ小型'!$A$3:$K$300,4,0), "")</f>
        <v/>
      </c>
      <c r="D377" s="7" t="str">
        <f>IFERROR(VLOOKUP(E377,'(新)ﾍﾞﾝﾀﾞｰ小型'!$A$3:$K$241,5,0), "")</f>
        <v/>
      </c>
      <c r="E377" s="26"/>
      <c r="F377" s="8" t="str">
        <f>IFERROR(VLOOKUP(E377,'(新)ﾍﾞﾝﾀﾞｰ小型'!$A$3:$K$241,8,0), "")</f>
        <v/>
      </c>
      <c r="G377" s="7" t="str">
        <f>IFERROR(VLOOKUP(E377,'(旧)ﾍﾞﾝﾀﾞｰ小型'!$A$3:$K$310,10,0),"")</f>
        <v/>
      </c>
      <c r="H377" s="12" t="s">
        <v>60</v>
      </c>
      <c r="I377" s="7" t="str">
        <f>IFERROR(VLOOKUP(E377,'(新)ﾍﾞﾝﾀﾞｰ小型'!$A$3:$K$300,10,0),"")</f>
        <v/>
      </c>
    </row>
    <row r="378" spans="2:9" s="19" customFormat="1" x14ac:dyDescent="0.15">
      <c r="B378" s="7" t="str">
        <f>IFERROR(VLOOKUP(E378,'(新)ﾍﾞﾝﾀﾞｰ小型'!$A$3:$K$241,2,0), "")</f>
        <v/>
      </c>
      <c r="C378" s="7" t="str">
        <f>IFERROR(VLOOKUP(E378,'(新)ﾍﾞﾝﾀﾞｰ小型'!$A$3:$K$300,4,0), "")</f>
        <v/>
      </c>
      <c r="D378" s="7" t="str">
        <f>IFERROR(VLOOKUP(E378,'(新)ﾍﾞﾝﾀﾞｰ小型'!$A$3:$K$241,5,0), "")</f>
        <v/>
      </c>
      <c r="E378" s="26"/>
      <c r="F378" s="8" t="str">
        <f>IFERROR(VLOOKUP(E378,'(新)ﾍﾞﾝﾀﾞｰ小型'!$A$3:$K$241,8,0), "")</f>
        <v/>
      </c>
      <c r="G378" s="7" t="str">
        <f>IFERROR(VLOOKUP(E378,'(旧)ﾍﾞﾝﾀﾞｰ小型'!$A$3:$K$310,10,0),"")</f>
        <v/>
      </c>
      <c r="H378" s="12" t="s">
        <v>60</v>
      </c>
      <c r="I378" s="7" t="str">
        <f>IFERROR(VLOOKUP(E378,'(新)ﾍﾞﾝﾀﾞｰ小型'!$A$3:$K$300,10,0),"")</f>
        <v/>
      </c>
    </row>
    <row r="379" spans="2:9" s="19" customFormat="1" x14ac:dyDescent="0.15">
      <c r="B379" s="7" t="str">
        <f>IFERROR(VLOOKUP(E379,'(新)ﾍﾞﾝﾀﾞｰ小型'!$A$3:$K$241,2,0), "")</f>
        <v/>
      </c>
      <c r="C379" s="7" t="str">
        <f>IFERROR(VLOOKUP(E379,'(新)ﾍﾞﾝﾀﾞｰ小型'!$A$3:$K$300,4,0), "")</f>
        <v/>
      </c>
      <c r="D379" s="7" t="str">
        <f>IFERROR(VLOOKUP(E379,'(新)ﾍﾞﾝﾀﾞｰ小型'!$A$3:$K$241,5,0), "")</f>
        <v/>
      </c>
      <c r="E379" s="26"/>
      <c r="F379" s="8" t="str">
        <f>IFERROR(VLOOKUP(E379,'(新)ﾍﾞﾝﾀﾞｰ小型'!$A$3:$K$241,8,0), "")</f>
        <v/>
      </c>
      <c r="G379" s="7" t="str">
        <f>IFERROR(VLOOKUP(E379,'(旧)ﾍﾞﾝﾀﾞｰ小型'!$A$3:$K$310,10,0),"")</f>
        <v/>
      </c>
      <c r="H379" s="12" t="s">
        <v>60</v>
      </c>
      <c r="I379" s="7" t="str">
        <f>IFERROR(VLOOKUP(E379,'(新)ﾍﾞﾝﾀﾞｰ小型'!$A$3:$K$300,10,0),"")</f>
        <v/>
      </c>
    </row>
    <row r="380" spans="2:9" s="19" customFormat="1" x14ac:dyDescent="0.15">
      <c r="B380" s="7" t="str">
        <f>IFERROR(VLOOKUP(E380,'(新)ﾍﾞﾝﾀﾞｰ小型'!$A$3:$K$241,2,0), "")</f>
        <v/>
      </c>
      <c r="C380" s="7" t="str">
        <f>IFERROR(VLOOKUP(E380,'(新)ﾍﾞﾝﾀﾞｰ小型'!$A$3:$K$300,4,0), "")</f>
        <v/>
      </c>
      <c r="D380" s="7" t="str">
        <f>IFERROR(VLOOKUP(E380,'(新)ﾍﾞﾝﾀﾞｰ小型'!$A$3:$K$241,5,0), "")</f>
        <v/>
      </c>
      <c r="E380" s="26"/>
      <c r="F380" s="8" t="str">
        <f>IFERROR(VLOOKUP(E380,'(新)ﾍﾞﾝﾀﾞｰ小型'!$A$3:$K$241,8,0), "")</f>
        <v/>
      </c>
      <c r="G380" s="7" t="str">
        <f>IFERROR(VLOOKUP(E380,'(旧)ﾍﾞﾝﾀﾞｰ小型'!$A$3:$K$310,10,0),"")</f>
        <v/>
      </c>
      <c r="H380" s="12" t="s">
        <v>60</v>
      </c>
      <c r="I380" s="7" t="str">
        <f>IFERROR(VLOOKUP(E380,'(新)ﾍﾞﾝﾀﾞｰ小型'!$A$3:$K$300,10,0),"")</f>
        <v/>
      </c>
    </row>
    <row r="381" spans="2:9" s="19" customFormat="1" x14ac:dyDescent="0.15">
      <c r="B381" s="7" t="str">
        <f>IFERROR(VLOOKUP(E381,'(新)ﾍﾞﾝﾀﾞｰ小型'!$A$3:$K$241,2,0), "")</f>
        <v/>
      </c>
      <c r="C381" s="7" t="str">
        <f>IFERROR(VLOOKUP(E381,'(新)ﾍﾞﾝﾀﾞｰ小型'!$A$3:$K$300,4,0), "")</f>
        <v/>
      </c>
      <c r="D381" s="7" t="str">
        <f>IFERROR(VLOOKUP(E381,'(新)ﾍﾞﾝﾀﾞｰ小型'!$A$3:$K$241,5,0), "")</f>
        <v/>
      </c>
      <c r="E381" s="26"/>
      <c r="F381" s="8" t="str">
        <f>IFERROR(VLOOKUP(E381,'(新)ﾍﾞﾝﾀﾞｰ小型'!$A$3:$K$241,8,0), "")</f>
        <v/>
      </c>
      <c r="G381" s="7" t="str">
        <f>IFERROR(VLOOKUP(E381,'(旧)ﾍﾞﾝﾀﾞｰ小型'!$A$3:$K$310,10,0),"")</f>
        <v/>
      </c>
      <c r="H381" s="12" t="s">
        <v>60</v>
      </c>
      <c r="I381" s="7" t="str">
        <f>IFERROR(VLOOKUP(E381,'(新)ﾍﾞﾝﾀﾞｰ小型'!$A$3:$K$300,10,0),"")</f>
        <v/>
      </c>
    </row>
    <row r="382" spans="2:9" s="19" customFormat="1" x14ac:dyDescent="0.15">
      <c r="B382" s="7" t="str">
        <f>IFERROR(VLOOKUP(E382,'(新)ﾍﾞﾝﾀﾞｰ小型'!$A$3:$K$241,2,0), "")</f>
        <v/>
      </c>
      <c r="C382" s="7" t="str">
        <f>IFERROR(VLOOKUP(E382,'(新)ﾍﾞﾝﾀﾞｰ小型'!$A$3:$K$300,4,0), "")</f>
        <v/>
      </c>
      <c r="D382" s="7" t="str">
        <f>IFERROR(VLOOKUP(E382,'(新)ﾍﾞﾝﾀﾞｰ小型'!$A$3:$K$241,5,0), "")</f>
        <v/>
      </c>
      <c r="E382" s="26"/>
      <c r="F382" s="8" t="str">
        <f>IFERROR(VLOOKUP(E382,'(新)ﾍﾞﾝﾀﾞｰ小型'!$A$3:$K$241,8,0), "")</f>
        <v/>
      </c>
      <c r="G382" s="7" t="str">
        <f>IFERROR(VLOOKUP(E382,'(旧)ﾍﾞﾝﾀﾞｰ小型'!$A$3:$K$310,10,0),"")</f>
        <v/>
      </c>
      <c r="H382" s="12" t="s">
        <v>60</v>
      </c>
      <c r="I382" s="7" t="str">
        <f>IFERROR(VLOOKUP(E382,'(新)ﾍﾞﾝﾀﾞｰ小型'!$A$3:$K$300,10,0),"")</f>
        <v/>
      </c>
    </row>
    <row r="383" spans="2:9" x14ac:dyDescent="0.15">
      <c r="B383" s="17" t="str">
        <f>IFERROR(VLOOKUP(E383,'(新)ﾍﾞﾝﾀﾞｰ小型'!$A$3:$K$241,2,0), "")</f>
        <v/>
      </c>
      <c r="C383" s="7" t="str">
        <f>IFERROR(VLOOKUP(E383,'(新)ﾍﾞﾝﾀﾞｰ小型'!$A$3:$K$300,4,0), "")</f>
        <v/>
      </c>
      <c r="D383" s="17" t="str">
        <f>IFERROR(VLOOKUP(E383,'(新)ﾍﾞﾝﾀﾞｰ小型'!$A$3:$K$241,5,0), "")</f>
        <v/>
      </c>
      <c r="E383" s="14"/>
      <c r="F383" s="18" t="str">
        <f>IFERROR(VLOOKUP(E383,'(新)ﾍﾞﾝﾀﾞｰ小型'!$A$3:$K$241,8,0), "")</f>
        <v/>
      </c>
      <c r="G383" s="7" t="str">
        <f>IFERROR(VLOOKUP(E383,'(旧)ﾍﾞﾝﾀﾞｰ小型'!$A$3:$K$310,10,0),"")</f>
        <v/>
      </c>
      <c r="H383" s="12" t="s">
        <v>60</v>
      </c>
      <c r="I383" s="7" t="str">
        <f>IFERROR(VLOOKUP(E383,'(新)ﾍﾞﾝﾀﾞｰ小型'!$A$3:$K$300,10,0),"")</f>
        <v/>
      </c>
    </row>
    <row r="384" spans="2:9" x14ac:dyDescent="0.15">
      <c r="B384" s="17" t="str">
        <f>IFERROR(VLOOKUP(E384,'(新)ﾍﾞﾝﾀﾞｰ小型'!$A$3:$K$241,2,0), "")</f>
        <v/>
      </c>
      <c r="C384" s="7" t="str">
        <f>IFERROR(VLOOKUP(E384,'(新)ﾍﾞﾝﾀﾞｰ小型'!$A$3:$K$300,4,0), "")</f>
        <v/>
      </c>
      <c r="D384" s="17" t="str">
        <f>IFERROR(VLOOKUP(E384,'(新)ﾍﾞﾝﾀﾞｰ小型'!$A$3:$K$241,5,0), "")</f>
        <v/>
      </c>
      <c r="E384" s="14"/>
      <c r="F384" s="18" t="str">
        <f>IFERROR(VLOOKUP(E384,'(新)ﾍﾞﾝﾀﾞｰ小型'!$A$3:$K$241,8,0), "")</f>
        <v/>
      </c>
      <c r="G384" s="7" t="str">
        <f>IFERROR(VLOOKUP(E384,'(旧)ﾍﾞﾝﾀﾞｰ小型'!$A$3:$K$310,10,0),"")</f>
        <v/>
      </c>
      <c r="H384" s="12" t="s">
        <v>60</v>
      </c>
      <c r="I384" s="7" t="str">
        <f>IFERROR(VLOOKUP(E384,'(新)ﾍﾞﾝﾀﾞｰ小型'!$A$3:$K$300,10,0),"")</f>
        <v/>
      </c>
    </row>
    <row r="385" spans="2:9" x14ac:dyDescent="0.15">
      <c r="B385" s="17" t="str">
        <f>IFERROR(VLOOKUP(E385,'(新)ﾍﾞﾝﾀﾞｰ小型'!$A$3:$K$241,2,0), "")</f>
        <v/>
      </c>
      <c r="C385" s="7" t="str">
        <f>IFERROR(VLOOKUP(E385,'(新)ﾍﾞﾝﾀﾞｰ小型'!$A$3:$K$300,4,0), "")</f>
        <v/>
      </c>
      <c r="D385" s="17" t="str">
        <f>IFERROR(VLOOKUP(E385,'(新)ﾍﾞﾝﾀﾞｰ小型'!$A$3:$K$241,5,0), "")</f>
        <v/>
      </c>
      <c r="E385" s="14"/>
      <c r="F385" s="18" t="str">
        <f>IFERROR(VLOOKUP(E385,'(新)ﾍﾞﾝﾀﾞｰ小型'!$A$3:$K$241,8,0), "")</f>
        <v/>
      </c>
      <c r="G385" s="7" t="str">
        <f>IFERROR(VLOOKUP(E385,'(旧)ﾍﾞﾝﾀﾞｰ小型'!$A$3:$K$310,10,0),"")</f>
        <v/>
      </c>
      <c r="H385" s="12" t="s">
        <v>60</v>
      </c>
      <c r="I385" s="7" t="str">
        <f>IFERROR(VLOOKUP(E385,'(新)ﾍﾞﾝﾀﾞｰ小型'!$A$3:$K$300,10,0),"")</f>
        <v/>
      </c>
    </row>
    <row r="386" spans="2:9" x14ac:dyDescent="0.15">
      <c r="B386" s="17" t="str">
        <f>IFERROR(VLOOKUP(E386,'(新)ﾍﾞﾝﾀﾞｰ小型'!$A$3:$K$241,2,0), "")</f>
        <v/>
      </c>
      <c r="C386" s="7" t="str">
        <f>IFERROR(VLOOKUP(E386,'(新)ﾍﾞﾝﾀﾞｰ小型'!$A$3:$K$300,4,0), "")</f>
        <v/>
      </c>
      <c r="D386" s="17" t="str">
        <f>IFERROR(VLOOKUP(E386,'(新)ﾍﾞﾝﾀﾞｰ小型'!$A$3:$K$241,5,0), "")</f>
        <v/>
      </c>
      <c r="E386" s="14"/>
      <c r="F386" s="18" t="str">
        <f>IFERROR(VLOOKUP(E386,'(新)ﾍﾞﾝﾀﾞｰ小型'!$A$3:$K$241,8,0), "")</f>
        <v/>
      </c>
      <c r="G386" s="7" t="str">
        <f>IFERROR(VLOOKUP(E386,'(旧)ﾍﾞﾝﾀﾞｰ小型'!$A$3:$K$310,10,0),"")</f>
        <v/>
      </c>
      <c r="H386" s="12" t="s">
        <v>60</v>
      </c>
      <c r="I386" s="7" t="str">
        <f>IFERROR(VLOOKUP(E386,'(新)ﾍﾞﾝﾀﾞｰ小型'!$A$3:$K$300,10,0),"")</f>
        <v/>
      </c>
    </row>
    <row r="387" spans="2:9" x14ac:dyDescent="0.15">
      <c r="B387" s="17" t="str">
        <f>IFERROR(VLOOKUP(E387,'(新)ﾍﾞﾝﾀﾞｰ小型'!$A$3:$K$241,2,0), "")</f>
        <v/>
      </c>
      <c r="C387" s="7" t="str">
        <f>IFERROR(VLOOKUP(E387,'(新)ﾍﾞﾝﾀﾞｰ小型'!$A$3:$K$300,4,0), "")</f>
        <v/>
      </c>
      <c r="D387" s="17" t="str">
        <f>IFERROR(VLOOKUP(E387,'(新)ﾍﾞﾝﾀﾞｰ小型'!$A$3:$K$241,5,0), "")</f>
        <v/>
      </c>
      <c r="E387" s="14"/>
      <c r="F387" s="18" t="str">
        <f>IFERROR(VLOOKUP(E387,'(新)ﾍﾞﾝﾀﾞｰ小型'!$A$3:$K$241,8,0), "")</f>
        <v/>
      </c>
      <c r="G387" s="7" t="str">
        <f>IFERROR(VLOOKUP(E387,'(旧)ﾍﾞﾝﾀﾞｰ小型'!$A$3:$K$310,10,0),"")</f>
        <v/>
      </c>
      <c r="H387" s="12" t="s">
        <v>60</v>
      </c>
      <c r="I387" s="7" t="str">
        <f>IFERROR(VLOOKUP(E387,'(新)ﾍﾞﾝﾀﾞｰ小型'!$A$3:$K$300,10,0),"")</f>
        <v/>
      </c>
    </row>
    <row r="388" spans="2:9" x14ac:dyDescent="0.15">
      <c r="B388" s="17" t="str">
        <f>IFERROR(VLOOKUP(E388,'(新)ﾍﾞﾝﾀﾞｰ小型'!$A$3:$K$241,2,0), "")</f>
        <v/>
      </c>
      <c r="C388" s="7" t="str">
        <f>IFERROR(VLOOKUP(E388,'(新)ﾍﾞﾝﾀﾞｰ小型'!$A$3:$K$300,4,0), "")</f>
        <v/>
      </c>
      <c r="D388" s="17" t="str">
        <f>IFERROR(VLOOKUP(E388,'(新)ﾍﾞﾝﾀﾞｰ小型'!$A$3:$K$241,5,0), "")</f>
        <v/>
      </c>
      <c r="E388" s="14"/>
      <c r="F388" s="18" t="str">
        <f>IFERROR(VLOOKUP(E388,'(新)ﾍﾞﾝﾀﾞｰ小型'!$A$3:$K$241,8,0), "")</f>
        <v/>
      </c>
      <c r="G388" s="7" t="str">
        <f>IFERROR(VLOOKUP(E388,'(旧)ﾍﾞﾝﾀﾞｰ小型'!$A$3:$K$310,10,0),"")</f>
        <v/>
      </c>
      <c r="H388" s="12" t="s">
        <v>60</v>
      </c>
      <c r="I388" s="7" t="str">
        <f>IFERROR(VLOOKUP(E388,'(新)ﾍﾞﾝﾀﾞｰ小型'!$A$3:$K$300,10,0),"")</f>
        <v/>
      </c>
    </row>
    <row r="389" spans="2:9" x14ac:dyDescent="0.15">
      <c r="B389" s="17" t="str">
        <f>IFERROR(VLOOKUP(E389,'(新)ﾍﾞﾝﾀﾞｰ小型'!$A$3:$K$241,2,0), "")</f>
        <v/>
      </c>
      <c r="C389" s="7" t="str">
        <f>IFERROR(VLOOKUP(E389,'(新)ﾍﾞﾝﾀﾞｰ小型'!$A$3:$K$300,4,0), "")</f>
        <v/>
      </c>
      <c r="D389" s="17" t="str">
        <f>IFERROR(VLOOKUP(E389,'(新)ﾍﾞﾝﾀﾞｰ小型'!$A$3:$K$241,5,0), "")</f>
        <v/>
      </c>
      <c r="E389" s="14"/>
      <c r="F389" s="18" t="str">
        <f>IFERROR(VLOOKUP(E389,'(新)ﾍﾞﾝﾀﾞｰ小型'!$A$3:$K$241,8,0), "")</f>
        <v/>
      </c>
      <c r="G389" s="7" t="str">
        <f>IFERROR(VLOOKUP(E389,'(旧)ﾍﾞﾝﾀﾞｰ小型'!$A$3:$K$310,10,0),"")</f>
        <v/>
      </c>
      <c r="H389" s="12" t="s">
        <v>60</v>
      </c>
      <c r="I389" s="7" t="str">
        <f>IFERROR(VLOOKUP(E389,'(新)ﾍﾞﾝﾀﾞｰ小型'!$A$3:$K$300,10,0),"")</f>
        <v/>
      </c>
    </row>
    <row r="390" spans="2:9" x14ac:dyDescent="0.15">
      <c r="B390" s="17" t="str">
        <f>IFERROR(VLOOKUP(E390,'(新)ﾍﾞﾝﾀﾞｰ小型'!$A$3:$K$241,2,0), "")</f>
        <v/>
      </c>
      <c r="C390" s="7" t="str">
        <f>IFERROR(VLOOKUP(E390,'(新)ﾍﾞﾝﾀﾞｰ小型'!$A$3:$K$300,4,0), "")</f>
        <v/>
      </c>
      <c r="D390" s="17" t="str">
        <f>IFERROR(VLOOKUP(E390,'(新)ﾍﾞﾝﾀﾞｰ小型'!$A$3:$K$241,5,0), "")</f>
        <v/>
      </c>
      <c r="E390" s="14"/>
      <c r="F390" s="18" t="str">
        <f>IFERROR(VLOOKUP(E390,'(新)ﾍﾞﾝﾀﾞｰ小型'!$A$3:$K$241,8,0), "")</f>
        <v/>
      </c>
      <c r="G390" s="7" t="str">
        <f>IFERROR(VLOOKUP(E390,'(旧)ﾍﾞﾝﾀﾞｰ小型'!$A$3:$K$310,10,0),"")</f>
        <v/>
      </c>
      <c r="H390" s="12" t="s">
        <v>60</v>
      </c>
      <c r="I390" s="7" t="str">
        <f>IFERROR(VLOOKUP(E390,'(新)ﾍﾞﾝﾀﾞｰ小型'!$A$3:$K$300,10,0),"")</f>
        <v/>
      </c>
    </row>
    <row r="391" spans="2:9" x14ac:dyDescent="0.15">
      <c r="B391" s="17" t="str">
        <f>IFERROR(VLOOKUP(E391,'(新)ﾍﾞﾝﾀﾞｰ小型'!$A$3:$K$241,2,0), "")</f>
        <v/>
      </c>
      <c r="C391" s="7" t="str">
        <f>IFERROR(VLOOKUP(E391,'(新)ﾍﾞﾝﾀﾞｰ小型'!$A$3:$K$300,4,0), "")</f>
        <v/>
      </c>
      <c r="D391" s="17" t="str">
        <f>IFERROR(VLOOKUP(E391,'(新)ﾍﾞﾝﾀﾞｰ小型'!$A$3:$K$241,5,0), "")</f>
        <v/>
      </c>
      <c r="E391" s="14"/>
      <c r="F391" s="18" t="str">
        <f>IFERROR(VLOOKUP(E391,'(新)ﾍﾞﾝﾀﾞｰ小型'!$A$3:$K$241,8,0), "")</f>
        <v/>
      </c>
      <c r="G391" s="7" t="str">
        <f>IFERROR(VLOOKUP(E391,'(旧)ﾍﾞﾝﾀﾞｰ小型'!$A$3:$K$310,10,0),"")</f>
        <v/>
      </c>
      <c r="H391" s="12" t="s">
        <v>60</v>
      </c>
      <c r="I391" s="7" t="str">
        <f>IFERROR(VLOOKUP(E391,'(新)ﾍﾞﾝﾀﾞｰ小型'!$A$3:$K$300,10,0),"")</f>
        <v/>
      </c>
    </row>
    <row r="392" spans="2:9" x14ac:dyDescent="0.15">
      <c r="B392" s="17" t="str">
        <f>IFERROR(VLOOKUP(E392,'(新)ﾍﾞﾝﾀﾞｰ小型'!$A$3:$K$241,2,0), "")</f>
        <v/>
      </c>
      <c r="C392" s="7" t="str">
        <f>IFERROR(VLOOKUP(E392,'(新)ﾍﾞﾝﾀﾞｰ小型'!$A$3:$K$300,4,0), "")</f>
        <v/>
      </c>
      <c r="D392" s="17" t="str">
        <f>IFERROR(VLOOKUP(E392,'(新)ﾍﾞﾝﾀﾞｰ小型'!$A$3:$K$241,5,0), "")</f>
        <v/>
      </c>
      <c r="E392" s="14"/>
      <c r="F392" s="18" t="str">
        <f>IFERROR(VLOOKUP(E392,'(新)ﾍﾞﾝﾀﾞｰ小型'!$A$3:$K$241,8,0), "")</f>
        <v/>
      </c>
      <c r="G392" s="7" t="str">
        <f>IFERROR(VLOOKUP(E392,'(旧)ﾍﾞﾝﾀﾞｰ小型'!$A$3:$K$310,10,0),"")</f>
        <v/>
      </c>
      <c r="H392" s="12" t="s">
        <v>60</v>
      </c>
      <c r="I392" s="7" t="str">
        <f>IFERROR(VLOOKUP(E392,'(新)ﾍﾞﾝﾀﾞｰ小型'!$A$3:$K$300,10,0),"")</f>
        <v/>
      </c>
    </row>
    <row r="393" spans="2:9" x14ac:dyDescent="0.15">
      <c r="B393" s="17" t="str">
        <f>IFERROR(VLOOKUP(E393,'(新)ﾍﾞﾝﾀﾞｰ小型'!$A$3:$K$241,2,0), "")</f>
        <v/>
      </c>
      <c r="C393" s="7" t="str">
        <f>IFERROR(VLOOKUP(E393,'(新)ﾍﾞﾝﾀﾞｰ小型'!$A$3:$K$300,4,0), "")</f>
        <v/>
      </c>
      <c r="D393" s="17" t="str">
        <f>IFERROR(VLOOKUP(E393,'(新)ﾍﾞﾝﾀﾞｰ小型'!$A$3:$K$241,5,0), "")</f>
        <v/>
      </c>
      <c r="E393" s="14"/>
      <c r="F393" s="18" t="str">
        <f>IFERROR(VLOOKUP(E393,'(新)ﾍﾞﾝﾀﾞｰ小型'!$A$3:$K$241,8,0), "")</f>
        <v/>
      </c>
      <c r="G393" s="7" t="str">
        <f>IFERROR(VLOOKUP(E393,'(旧)ﾍﾞﾝﾀﾞｰ小型'!$A$3:$K$310,10,0),"")</f>
        <v/>
      </c>
      <c r="H393" s="12" t="s">
        <v>60</v>
      </c>
      <c r="I393" s="7" t="str">
        <f>IFERROR(VLOOKUP(E393,'(新)ﾍﾞﾝﾀﾞｰ小型'!$A$3:$K$300,10,0),"")</f>
        <v/>
      </c>
    </row>
    <row r="394" spans="2:9" x14ac:dyDescent="0.15">
      <c r="B394" s="17" t="str">
        <f>IFERROR(VLOOKUP(E394,'(新)ﾍﾞﾝﾀﾞｰ小型'!$A$3:$K$241,2,0), "")</f>
        <v/>
      </c>
      <c r="C394" s="7" t="str">
        <f>IFERROR(VLOOKUP(E394,'(新)ﾍﾞﾝﾀﾞｰ小型'!$A$3:$K$300,4,0), "")</f>
        <v/>
      </c>
      <c r="D394" s="17" t="str">
        <f>IFERROR(VLOOKUP(E394,'(新)ﾍﾞﾝﾀﾞｰ小型'!$A$3:$K$241,5,0), "")</f>
        <v/>
      </c>
      <c r="E394" s="14"/>
      <c r="F394" s="18" t="str">
        <f>IFERROR(VLOOKUP(E394,'(新)ﾍﾞﾝﾀﾞｰ小型'!$A$3:$K$241,8,0), "")</f>
        <v/>
      </c>
      <c r="G394" s="7" t="str">
        <f>IFERROR(VLOOKUP(E394,'(旧)ﾍﾞﾝﾀﾞｰ小型'!$A$3:$K$310,10,0),"")</f>
        <v/>
      </c>
      <c r="H394" s="12" t="s">
        <v>60</v>
      </c>
      <c r="I394" s="7" t="str">
        <f>IFERROR(VLOOKUP(E394,'(新)ﾍﾞﾝﾀﾞｰ小型'!$A$3:$K$300,10,0),"")</f>
        <v/>
      </c>
    </row>
    <row r="395" spans="2:9" x14ac:dyDescent="0.15">
      <c r="B395" s="17" t="str">
        <f>IFERROR(VLOOKUP(E395,'(新)ﾍﾞﾝﾀﾞｰ小型'!$A$3:$K$241,2,0), "")</f>
        <v/>
      </c>
      <c r="C395" s="7" t="str">
        <f>IFERROR(VLOOKUP(E395,'(新)ﾍﾞﾝﾀﾞｰ小型'!$A$3:$K$300,4,0), "")</f>
        <v/>
      </c>
      <c r="D395" s="17" t="str">
        <f>IFERROR(VLOOKUP(E395,'(新)ﾍﾞﾝﾀﾞｰ小型'!$A$3:$K$241,5,0), "")</f>
        <v/>
      </c>
      <c r="E395" s="14"/>
      <c r="F395" s="18" t="str">
        <f>IFERROR(VLOOKUP(E395,'(新)ﾍﾞﾝﾀﾞｰ小型'!$A$3:$K$241,8,0), "")</f>
        <v/>
      </c>
      <c r="G395" s="7" t="str">
        <f>IFERROR(VLOOKUP(E395,'(旧)ﾍﾞﾝﾀﾞｰ小型'!$A$3:$K$310,10,0),"")</f>
        <v/>
      </c>
      <c r="H395" s="12" t="s">
        <v>60</v>
      </c>
      <c r="I395" s="7" t="str">
        <f>IFERROR(VLOOKUP(E395,'(新)ﾍﾞﾝﾀﾞｰ小型'!$A$3:$K$300,10,0),"")</f>
        <v/>
      </c>
    </row>
    <row r="396" spans="2:9" x14ac:dyDescent="0.15">
      <c r="B396" s="17" t="str">
        <f>IFERROR(VLOOKUP(E396,'(新)ﾍﾞﾝﾀﾞｰ小型'!$A$3:$K$241,2,0), "")</f>
        <v/>
      </c>
      <c r="C396" s="7" t="str">
        <f>IFERROR(VLOOKUP(E396,'(新)ﾍﾞﾝﾀﾞｰ小型'!$A$3:$K$300,4,0), "")</f>
        <v/>
      </c>
      <c r="D396" s="17" t="str">
        <f>IFERROR(VLOOKUP(E396,'(新)ﾍﾞﾝﾀﾞｰ小型'!$A$3:$K$241,5,0), "")</f>
        <v/>
      </c>
      <c r="E396" s="14"/>
      <c r="F396" s="18" t="str">
        <f>IFERROR(VLOOKUP(E396,'(新)ﾍﾞﾝﾀﾞｰ小型'!$A$3:$K$241,8,0), "")</f>
        <v/>
      </c>
      <c r="G396" s="7" t="str">
        <f>IFERROR(VLOOKUP(E396,'(旧)ﾍﾞﾝﾀﾞｰ小型'!$A$3:$K$310,10,0),"")</f>
        <v/>
      </c>
      <c r="H396" s="12" t="s">
        <v>60</v>
      </c>
      <c r="I396" s="7" t="str">
        <f>IFERROR(VLOOKUP(E396,'(新)ﾍﾞﾝﾀﾞｰ小型'!$A$3:$K$300,10,0),"")</f>
        <v/>
      </c>
    </row>
    <row r="397" spans="2:9" x14ac:dyDescent="0.15">
      <c r="B397" s="17" t="str">
        <f>IFERROR(VLOOKUP(E397,'(新)ﾍﾞﾝﾀﾞｰ小型'!$A$3:$K$241,2,0), "")</f>
        <v/>
      </c>
      <c r="C397" s="7" t="str">
        <f>IFERROR(VLOOKUP(E397,'(新)ﾍﾞﾝﾀﾞｰ小型'!$A$3:$K$300,4,0), "")</f>
        <v/>
      </c>
      <c r="D397" s="17" t="str">
        <f>IFERROR(VLOOKUP(E397,'(新)ﾍﾞﾝﾀﾞｰ小型'!$A$3:$K$241,5,0), "")</f>
        <v/>
      </c>
      <c r="E397" s="14"/>
      <c r="F397" s="18" t="str">
        <f>IFERROR(VLOOKUP(E397,'(新)ﾍﾞﾝﾀﾞｰ小型'!$A$3:$K$241,8,0), "")</f>
        <v/>
      </c>
      <c r="G397" s="7" t="str">
        <f>IFERROR(VLOOKUP(E397,'(旧)ﾍﾞﾝﾀﾞｰ小型'!$A$3:$K$310,10,0),"")</f>
        <v/>
      </c>
      <c r="H397" s="12" t="s">
        <v>60</v>
      </c>
      <c r="I397" s="7" t="str">
        <f>IFERROR(VLOOKUP(E397,'(新)ﾍﾞﾝﾀﾞｰ小型'!$A$3:$K$300,10,0),"")</f>
        <v/>
      </c>
    </row>
    <row r="398" spans="2:9" x14ac:dyDescent="0.15">
      <c r="B398" s="17" t="str">
        <f>IFERROR(VLOOKUP(E398,'(新)ﾍﾞﾝﾀﾞｰ小型'!$A$3:$K$241,2,0), "")</f>
        <v/>
      </c>
      <c r="C398" s="7" t="str">
        <f>IFERROR(VLOOKUP(E398,'(新)ﾍﾞﾝﾀﾞｰ小型'!$A$3:$K$300,4,0), "")</f>
        <v/>
      </c>
      <c r="D398" s="17" t="str">
        <f>IFERROR(VLOOKUP(E398,'(新)ﾍﾞﾝﾀﾞｰ小型'!$A$3:$K$241,5,0), "")</f>
        <v/>
      </c>
      <c r="E398" s="14"/>
      <c r="F398" s="18" t="str">
        <f>IFERROR(VLOOKUP(E398,'(新)ﾍﾞﾝﾀﾞｰ小型'!$A$3:$K$241,8,0), "")</f>
        <v/>
      </c>
      <c r="G398" s="7" t="str">
        <f>IFERROR(VLOOKUP(E398,'(旧)ﾍﾞﾝﾀﾞｰ小型'!$A$3:$K$310,10,0),"")</f>
        <v/>
      </c>
      <c r="H398" s="12" t="s">
        <v>60</v>
      </c>
      <c r="I398" s="7" t="str">
        <f>IFERROR(VLOOKUP(E398,'(新)ﾍﾞﾝﾀﾞｰ小型'!$A$3:$K$300,10,0),"")</f>
        <v/>
      </c>
    </row>
    <row r="399" spans="2:9" x14ac:dyDescent="0.15">
      <c r="B399" s="17" t="str">
        <f>IFERROR(VLOOKUP(E399,'(新)ﾍﾞﾝﾀﾞｰ小型'!$A$3:$K$241,2,0), "")</f>
        <v/>
      </c>
      <c r="C399" s="7" t="str">
        <f>IFERROR(VLOOKUP(E399,'(新)ﾍﾞﾝﾀﾞｰ小型'!$A$3:$K$300,4,0), "")</f>
        <v/>
      </c>
      <c r="D399" s="17" t="str">
        <f>IFERROR(VLOOKUP(E399,'(新)ﾍﾞﾝﾀﾞｰ小型'!$A$3:$K$241,5,0), "")</f>
        <v/>
      </c>
      <c r="E399" s="14"/>
      <c r="F399" s="18" t="str">
        <f>IFERROR(VLOOKUP(E399,'(新)ﾍﾞﾝﾀﾞｰ小型'!$A$3:$K$241,8,0), "")</f>
        <v/>
      </c>
      <c r="G399" s="7" t="str">
        <f>IFERROR(VLOOKUP(E399,'(旧)ﾍﾞﾝﾀﾞｰ小型'!$A$3:$K$310,10,0),"")</f>
        <v/>
      </c>
      <c r="H399" s="12" t="s">
        <v>60</v>
      </c>
      <c r="I399" s="7" t="str">
        <f>IFERROR(VLOOKUP(E399,'(新)ﾍﾞﾝﾀﾞｰ小型'!$A$3:$K$300,10,0),"")</f>
        <v/>
      </c>
    </row>
    <row r="400" spans="2:9" x14ac:dyDescent="0.15">
      <c r="B400" s="17" t="str">
        <f>IFERROR(VLOOKUP(E400,'(新)ﾍﾞﾝﾀﾞｰ小型'!$A$3:$K$241,2,0), "")</f>
        <v/>
      </c>
      <c r="C400" s="7" t="str">
        <f>IFERROR(VLOOKUP(E400,'(新)ﾍﾞﾝﾀﾞｰ小型'!$A$3:$K$300,4,0), "")</f>
        <v/>
      </c>
      <c r="D400" s="17" t="str">
        <f>IFERROR(VLOOKUP(E400,'(新)ﾍﾞﾝﾀﾞｰ小型'!$A$3:$K$241,5,0), "")</f>
        <v/>
      </c>
      <c r="E400" s="14"/>
      <c r="F400" s="18" t="str">
        <f>IFERROR(VLOOKUP(E400,'(新)ﾍﾞﾝﾀﾞｰ小型'!$A$3:$K$241,8,0), "")</f>
        <v/>
      </c>
      <c r="G400" s="7" t="str">
        <f>IFERROR(VLOOKUP(E400,'(旧)ﾍﾞﾝﾀﾞｰ小型'!$A$3:$K$310,10,0),"")</f>
        <v/>
      </c>
      <c r="H400" s="12" t="s">
        <v>60</v>
      </c>
      <c r="I400" s="7" t="str">
        <f>IFERROR(VLOOKUP(E400,'(新)ﾍﾞﾝﾀﾞｰ小型'!$A$3:$K$300,10,0),"")</f>
        <v/>
      </c>
    </row>
    <row r="401" spans="2:9" x14ac:dyDescent="0.15">
      <c r="B401" s="17" t="str">
        <f>IFERROR(VLOOKUP(E401,'(新)ﾍﾞﾝﾀﾞｰ小型'!$A$3:$K$241,2,0), "")</f>
        <v/>
      </c>
      <c r="C401" s="17" t="str">
        <f>IFERROR(VLOOKUP(E401,'(新)ﾍﾞﾝﾀﾞｰ小型'!$A$3:$K$241,4,0), "")</f>
        <v/>
      </c>
      <c r="D401" s="17" t="str">
        <f>IFERROR(VLOOKUP(E401,'(新)ﾍﾞﾝﾀﾞｰ小型'!$A$3:$K$241,5,0), "")</f>
        <v/>
      </c>
      <c r="E401" s="14"/>
      <c r="F401" s="18" t="str">
        <f>IFERROR(VLOOKUP(E401,'(新)ﾍﾞﾝﾀﾞｰ小型'!$A$3:$K$241,8,0), "")</f>
        <v/>
      </c>
      <c r="G401" s="7" t="str">
        <f>IFERROR(VLOOKUP(E401,'(旧)ﾍﾞﾝﾀﾞｰ小型'!$A$3:$K$310,10,0),"")</f>
        <v/>
      </c>
      <c r="H401" s="12" t="s">
        <v>60</v>
      </c>
      <c r="I401" s="7" t="str">
        <f>IFERROR(VLOOKUP(E401,'(新)ﾍﾞﾝﾀﾞｰ小型'!$A$3:$K$300,10,0),"")</f>
        <v/>
      </c>
    </row>
    <row r="402" spans="2:9" x14ac:dyDescent="0.15">
      <c r="B402" s="17" t="str">
        <f>IFERROR(VLOOKUP(E402,'(新)ﾍﾞﾝﾀﾞｰ小型'!$A$3:$K$241,2,0), "")</f>
        <v/>
      </c>
      <c r="C402" s="17" t="str">
        <f>IFERROR(VLOOKUP(E402,'(新)ﾍﾞﾝﾀﾞｰ小型'!$A$3:$K$241,4,0), "")</f>
        <v/>
      </c>
      <c r="D402" s="17" t="str">
        <f>IFERROR(VLOOKUP(E402,'(新)ﾍﾞﾝﾀﾞｰ小型'!$A$3:$K$241,5,0), "")</f>
        <v/>
      </c>
      <c r="E402" s="14"/>
      <c r="F402" s="18" t="str">
        <f>IFERROR(VLOOKUP(E402,'(新)ﾍﾞﾝﾀﾞｰ小型'!$A$3:$K$241,8,0), "")</f>
        <v/>
      </c>
      <c r="G402" s="7" t="str">
        <f>IFERROR(VLOOKUP(E402,'(旧)ﾍﾞﾝﾀﾞｰ小型'!$A$3:$K$310,10,0),"")</f>
        <v/>
      </c>
      <c r="H402" s="12" t="s">
        <v>60</v>
      </c>
      <c r="I402" s="17" t="str">
        <f>IFERROR(VLOOKUP(E402,'(新)ﾍﾞﾝﾀﾞｰ小型'!$A$3:$K$241,10,0),"")</f>
        <v/>
      </c>
    </row>
    <row r="403" spans="2:9" x14ac:dyDescent="0.15">
      <c r="B403" s="17" t="str">
        <f>IFERROR(VLOOKUP(E403,'(新)ﾍﾞﾝﾀﾞｰ小型'!$A$3:$K$241,2,0), "")</f>
        <v/>
      </c>
      <c r="C403" s="17" t="str">
        <f>IFERROR(VLOOKUP(E403,'(新)ﾍﾞﾝﾀﾞｰ小型'!$A$3:$K$241,4,0), "")</f>
        <v/>
      </c>
      <c r="D403" s="17" t="str">
        <f>IFERROR(VLOOKUP(E403,'(新)ﾍﾞﾝﾀﾞｰ小型'!$A$3:$K$241,5,0), "")</f>
        <v/>
      </c>
      <c r="E403" s="14"/>
      <c r="F403" s="18" t="str">
        <f>IFERROR(VLOOKUP(E403,'(新)ﾍﾞﾝﾀﾞｰ小型'!$A$3:$K$241,8,0), "")</f>
        <v/>
      </c>
      <c r="G403" s="7" t="str">
        <f>IFERROR(VLOOKUP(E403,'(旧)ﾍﾞﾝﾀﾞｰ小型'!$A$3:$K$310,10,0),"")</f>
        <v/>
      </c>
      <c r="H403" s="12" t="s">
        <v>60</v>
      </c>
      <c r="I403" s="17" t="str">
        <f>IFERROR(VLOOKUP(E403,'(新)ﾍﾞﾝﾀﾞｰ小型'!$A$3:$K$241,10,0),"")</f>
        <v/>
      </c>
    </row>
    <row r="404" spans="2:9" x14ac:dyDescent="0.15">
      <c r="B404" s="17" t="str">
        <f>IFERROR(VLOOKUP(E404,'(新)ﾍﾞﾝﾀﾞｰ小型'!$A$3:$K$241,2,0), "")</f>
        <v/>
      </c>
      <c r="C404" s="17" t="str">
        <f>IFERROR(VLOOKUP(E404,'(新)ﾍﾞﾝﾀﾞｰ小型'!$A$3:$K$241,4,0), "")</f>
        <v/>
      </c>
      <c r="D404" s="17" t="str">
        <f>IFERROR(VLOOKUP(E404,'(新)ﾍﾞﾝﾀﾞｰ小型'!$A$3:$K$241,5,0), "")</f>
        <v/>
      </c>
      <c r="E404" s="14"/>
      <c r="F404" s="18" t="str">
        <f>IFERROR(VLOOKUP(E404,'(新)ﾍﾞﾝﾀﾞｰ小型'!$A$3:$K$241,8,0), "")</f>
        <v/>
      </c>
      <c r="G404" s="7" t="str">
        <f>IFERROR(VLOOKUP(E404,'(旧)ﾍﾞﾝﾀﾞｰ小型'!$A$3:$K$310,10,0),"")</f>
        <v/>
      </c>
      <c r="H404" s="12" t="s">
        <v>60</v>
      </c>
      <c r="I404" s="17" t="str">
        <f>IFERROR(VLOOKUP(E404,'(新)ﾍﾞﾝﾀﾞｰ小型'!$A$3:$K$241,10,0),"")</f>
        <v/>
      </c>
    </row>
    <row r="405" spans="2:9" x14ac:dyDescent="0.15">
      <c r="B405" s="17" t="str">
        <f>IFERROR(VLOOKUP(E405,'(新)ﾍﾞﾝﾀﾞｰ小型'!$A$3:$K$241,2,0), "")</f>
        <v/>
      </c>
      <c r="C405" s="17" t="str">
        <f>IFERROR(VLOOKUP(E405,'(新)ﾍﾞﾝﾀﾞｰ小型'!$A$3:$K$241,4,0), "")</f>
        <v/>
      </c>
      <c r="D405" s="17" t="str">
        <f>IFERROR(VLOOKUP(E405,'(新)ﾍﾞﾝﾀﾞｰ小型'!$A$3:$K$241,5,0), "")</f>
        <v/>
      </c>
      <c r="E405" s="14"/>
      <c r="F405" s="18" t="str">
        <f>IFERROR(VLOOKUP(E405,'(新)ﾍﾞﾝﾀﾞｰ小型'!$A$3:$K$241,8,0), "")</f>
        <v/>
      </c>
      <c r="G405" s="7" t="str">
        <f>IFERROR(VLOOKUP(E405,'(旧)ﾍﾞﾝﾀﾞｰ小型'!$A$3:$K$310,10,0),"")</f>
        <v/>
      </c>
      <c r="H405" s="12" t="s">
        <v>60</v>
      </c>
      <c r="I405" s="17" t="str">
        <f>IFERROR(VLOOKUP(E405,'(新)ﾍﾞﾝﾀﾞｰ小型'!$A$3:$K$241,10,0),"")</f>
        <v/>
      </c>
    </row>
    <row r="406" spans="2:9" x14ac:dyDescent="0.15">
      <c r="B406" s="17" t="str">
        <f>IFERROR(VLOOKUP(E406,'(新)ﾍﾞﾝﾀﾞｰ小型'!$A$3:$K$241,2,0), "")</f>
        <v/>
      </c>
      <c r="C406" s="17" t="str">
        <f>IFERROR(VLOOKUP(E406,'(新)ﾍﾞﾝﾀﾞｰ小型'!$A$3:$K$241,4,0), "")</f>
        <v/>
      </c>
      <c r="D406" s="17" t="str">
        <f>IFERROR(VLOOKUP(E406,'(新)ﾍﾞﾝﾀﾞｰ小型'!$A$3:$K$241,5,0), "")</f>
        <v/>
      </c>
      <c r="E406" s="14"/>
      <c r="F406" s="18" t="str">
        <f>IFERROR(VLOOKUP(E406,'(新)ﾍﾞﾝﾀﾞｰ小型'!$A$3:$K$241,8,0), "")</f>
        <v/>
      </c>
      <c r="G406" s="7" t="str">
        <f>IFERROR(VLOOKUP(E406,'(旧)ﾍﾞﾝﾀﾞｰ小型'!$A$3:$K$310,10,0),"")</f>
        <v/>
      </c>
      <c r="H406" s="12" t="s">
        <v>60</v>
      </c>
      <c r="I406" s="17" t="str">
        <f>IFERROR(VLOOKUP(E406,'(新)ﾍﾞﾝﾀﾞｰ小型'!$A$3:$K$241,10,0),"")</f>
        <v/>
      </c>
    </row>
    <row r="407" spans="2:9" x14ac:dyDescent="0.15">
      <c r="B407" s="17" t="str">
        <f>IFERROR(VLOOKUP(E407,'(新)ﾍﾞﾝﾀﾞｰ小型'!$A$3:$K$241,2,0), "")</f>
        <v/>
      </c>
      <c r="C407" s="17" t="str">
        <f>IFERROR(VLOOKUP(E407,'(新)ﾍﾞﾝﾀﾞｰ小型'!$A$3:$K$241,4,0), "")</f>
        <v/>
      </c>
      <c r="D407" s="17" t="str">
        <f>IFERROR(VLOOKUP(E407,'(新)ﾍﾞﾝﾀﾞｰ小型'!$A$3:$K$241,5,0), "")</f>
        <v/>
      </c>
      <c r="E407" s="14"/>
      <c r="F407" s="18" t="str">
        <f>IFERROR(VLOOKUP(E407,'(新)ﾍﾞﾝﾀﾞｰ小型'!$A$3:$K$241,8,0), "")</f>
        <v/>
      </c>
      <c r="G407" s="7" t="str">
        <f>IFERROR(VLOOKUP(E407,'(旧)ﾍﾞﾝﾀﾞｰ小型'!$A$3:$K$310,10,0),"")</f>
        <v/>
      </c>
      <c r="H407" s="12" t="s">
        <v>60</v>
      </c>
      <c r="I407" s="17" t="str">
        <f>IFERROR(VLOOKUP(E407,'(新)ﾍﾞﾝﾀﾞｰ小型'!$A$3:$K$241,10,0),"")</f>
        <v/>
      </c>
    </row>
    <row r="408" spans="2:9" x14ac:dyDescent="0.15">
      <c r="B408" s="17" t="str">
        <f>IFERROR(VLOOKUP(E408,'(新)ﾍﾞﾝﾀﾞｰ小型'!$A$3:$K$241,2,0), "")</f>
        <v/>
      </c>
      <c r="C408" s="17" t="str">
        <f>IFERROR(VLOOKUP(E408,'(新)ﾍﾞﾝﾀﾞｰ小型'!$A$3:$K$241,4,0), "")</f>
        <v/>
      </c>
      <c r="D408" s="17" t="str">
        <f>IFERROR(VLOOKUP(E408,'(新)ﾍﾞﾝﾀﾞｰ小型'!$A$3:$K$241,5,0), "")</f>
        <v/>
      </c>
      <c r="E408" s="14"/>
      <c r="F408" s="18" t="str">
        <f>IFERROR(VLOOKUP(E408,'(新)ﾍﾞﾝﾀﾞｰ小型'!$A$3:$K$241,8,0), "")</f>
        <v/>
      </c>
      <c r="G408" s="7" t="str">
        <f>IFERROR(VLOOKUP(E408,'(旧)ﾍﾞﾝﾀﾞｰ小型'!$A$3:$K$310,10,0),"")</f>
        <v/>
      </c>
      <c r="H408" s="12" t="s">
        <v>60</v>
      </c>
      <c r="I408" s="17" t="str">
        <f>IFERROR(VLOOKUP(E408,'(新)ﾍﾞﾝﾀﾞｰ小型'!$A$3:$K$241,10,0),"")</f>
        <v/>
      </c>
    </row>
    <row r="409" spans="2:9" x14ac:dyDescent="0.15">
      <c r="B409" s="17" t="str">
        <f>IFERROR(VLOOKUP(E409,'(新)ﾍﾞﾝﾀﾞｰ小型'!$A$3:$K$241,2,0), "")</f>
        <v/>
      </c>
      <c r="C409" s="17" t="str">
        <f>IFERROR(VLOOKUP(E409,'(新)ﾍﾞﾝﾀﾞｰ小型'!$A$3:$K$241,4,0), "")</f>
        <v/>
      </c>
      <c r="D409" s="17" t="str">
        <f>IFERROR(VLOOKUP(E409,'(新)ﾍﾞﾝﾀﾞｰ小型'!$A$3:$K$241,5,0), "")</f>
        <v/>
      </c>
      <c r="E409" s="14"/>
      <c r="F409" s="18" t="str">
        <f>IFERROR(VLOOKUP(E409,'(新)ﾍﾞﾝﾀﾞｰ小型'!$A$3:$K$241,8,0), "")</f>
        <v/>
      </c>
      <c r="G409" s="7" t="str">
        <f>IFERROR(VLOOKUP(E409,'(旧)ﾍﾞﾝﾀﾞｰ小型'!$A$3:$K$310,10,0),"")</f>
        <v/>
      </c>
      <c r="H409" s="12" t="s">
        <v>60</v>
      </c>
      <c r="I409" s="17" t="str">
        <f>IFERROR(VLOOKUP(E409,'(新)ﾍﾞﾝﾀﾞｰ小型'!$A$3:$K$241,10,0),"")</f>
        <v/>
      </c>
    </row>
    <row r="410" spans="2:9" x14ac:dyDescent="0.15">
      <c r="B410" s="17" t="str">
        <f>IFERROR(VLOOKUP(E410,'(新)ﾍﾞﾝﾀﾞｰ小型'!$A$3:$K$241,2,0), "")</f>
        <v/>
      </c>
      <c r="C410" s="17" t="str">
        <f>IFERROR(VLOOKUP(E410,'(新)ﾍﾞﾝﾀﾞｰ小型'!$A$3:$K$241,4,0), "")</f>
        <v/>
      </c>
      <c r="D410" s="17" t="str">
        <f>IFERROR(VLOOKUP(E410,'(新)ﾍﾞﾝﾀﾞｰ小型'!$A$3:$K$241,5,0), "")</f>
        <v/>
      </c>
      <c r="E410" s="14"/>
      <c r="F410" s="18" t="str">
        <f>IFERROR(VLOOKUP(E410,'(新)ﾍﾞﾝﾀﾞｰ小型'!$A$3:$K$241,8,0), "")</f>
        <v/>
      </c>
      <c r="G410" s="7" t="str">
        <f>IFERROR(VLOOKUP(E410,'(旧)ﾍﾞﾝﾀﾞｰ小型'!$A$3:$K$310,10,0),"")</f>
        <v/>
      </c>
      <c r="H410" s="12" t="s">
        <v>60</v>
      </c>
      <c r="I410" s="17" t="str">
        <f>IFERROR(VLOOKUP(E410,'(新)ﾍﾞﾝﾀﾞｰ小型'!$A$3:$K$241,10,0),"")</f>
        <v/>
      </c>
    </row>
    <row r="411" spans="2:9" x14ac:dyDescent="0.15">
      <c r="B411" s="17" t="str">
        <f>IFERROR(VLOOKUP(E411,'(新)ﾍﾞﾝﾀﾞｰ小型'!$A$3:$K$241,2,0), "")</f>
        <v/>
      </c>
      <c r="C411" s="17" t="str">
        <f>IFERROR(VLOOKUP(E411,'(新)ﾍﾞﾝﾀﾞｰ小型'!$A$3:$K$241,4,0), "")</f>
        <v/>
      </c>
      <c r="D411" s="17" t="str">
        <f>IFERROR(VLOOKUP(E411,'(新)ﾍﾞﾝﾀﾞｰ小型'!$A$3:$K$241,5,0), "")</f>
        <v/>
      </c>
      <c r="E411" s="14"/>
      <c r="F411" s="18" t="str">
        <f>IFERROR(VLOOKUP(E411,'(新)ﾍﾞﾝﾀﾞｰ小型'!$A$3:$K$241,8,0), "")</f>
        <v/>
      </c>
      <c r="G411" s="7" t="str">
        <f>IFERROR(VLOOKUP(E411,'(旧)ﾍﾞﾝﾀﾞｰ小型'!$A$3:$K$310,10,0),"")</f>
        <v/>
      </c>
      <c r="H411" s="12" t="s">
        <v>60</v>
      </c>
      <c r="I411" s="17" t="str">
        <f>IFERROR(VLOOKUP(E411,'(新)ﾍﾞﾝﾀﾞｰ小型'!$A$3:$K$241,10,0),"")</f>
        <v/>
      </c>
    </row>
    <row r="412" spans="2:9" x14ac:dyDescent="0.15">
      <c r="B412" s="17" t="str">
        <f>IFERROR(VLOOKUP(E412,'(新)ﾍﾞﾝﾀﾞｰ小型'!$A$3:$K$241,2,0), "")</f>
        <v/>
      </c>
      <c r="C412" s="17" t="str">
        <f>IFERROR(VLOOKUP(E412,'(新)ﾍﾞﾝﾀﾞｰ小型'!$A$3:$K$241,4,0), "")</f>
        <v/>
      </c>
      <c r="D412" s="17" t="str">
        <f>IFERROR(VLOOKUP(E412,'(新)ﾍﾞﾝﾀﾞｰ小型'!$A$3:$K$241,5,0), "")</f>
        <v/>
      </c>
      <c r="E412" s="14"/>
      <c r="F412" s="18" t="str">
        <f>IFERROR(VLOOKUP(E412,'(新)ﾍﾞﾝﾀﾞｰ小型'!$A$3:$K$241,8,0), "")</f>
        <v/>
      </c>
      <c r="G412" s="7" t="str">
        <f>IFERROR(VLOOKUP(E412,'(旧)ﾍﾞﾝﾀﾞｰ小型'!$A$3:$K$310,10,0),"")</f>
        <v/>
      </c>
      <c r="H412" s="12" t="s">
        <v>60</v>
      </c>
      <c r="I412" s="17" t="str">
        <f>IFERROR(VLOOKUP(E412,'(新)ﾍﾞﾝﾀﾞｰ小型'!$A$3:$K$241,10,0),"")</f>
        <v/>
      </c>
    </row>
    <row r="413" spans="2:9" x14ac:dyDescent="0.15">
      <c r="B413" s="17" t="str">
        <f>IFERROR(VLOOKUP(E413,'(新)ﾍﾞﾝﾀﾞｰ小型'!$A$3:$K$241,2,0), "")</f>
        <v/>
      </c>
      <c r="C413" s="17" t="str">
        <f>IFERROR(VLOOKUP(E413,'(新)ﾍﾞﾝﾀﾞｰ小型'!$A$3:$K$241,4,0), "")</f>
        <v/>
      </c>
      <c r="D413" s="17" t="str">
        <f>IFERROR(VLOOKUP(E413,'(新)ﾍﾞﾝﾀﾞｰ小型'!$A$3:$K$241,5,0), "")</f>
        <v/>
      </c>
      <c r="E413" s="14"/>
      <c r="F413" s="18" t="str">
        <f>IFERROR(VLOOKUP(E413,'(新)ﾍﾞﾝﾀﾞｰ小型'!$A$3:$K$241,8,0), "")</f>
        <v/>
      </c>
      <c r="G413" s="7" t="str">
        <f>IFERROR(VLOOKUP(E413,'(旧)ﾍﾞﾝﾀﾞｰ小型'!$A$3:$K$310,10,0),"")</f>
        <v/>
      </c>
      <c r="H413" s="12" t="s">
        <v>60</v>
      </c>
      <c r="I413" s="17" t="str">
        <f>IFERROR(VLOOKUP(E413,'(新)ﾍﾞﾝﾀﾞｰ小型'!$A$3:$K$241,10,0),"")</f>
        <v/>
      </c>
    </row>
    <row r="414" spans="2:9" x14ac:dyDescent="0.15">
      <c r="B414" s="17" t="str">
        <f>IFERROR(VLOOKUP(E414,'(新)ﾍﾞﾝﾀﾞｰ小型'!$A$3:$K$241,2,0), "")</f>
        <v/>
      </c>
      <c r="C414" s="17" t="str">
        <f>IFERROR(VLOOKUP(E414,'(新)ﾍﾞﾝﾀﾞｰ小型'!$A$3:$K$241,4,0), "")</f>
        <v/>
      </c>
      <c r="D414" s="17" t="str">
        <f>IFERROR(VLOOKUP(E414,'(新)ﾍﾞﾝﾀﾞｰ小型'!$A$3:$K$241,5,0), "")</f>
        <v/>
      </c>
      <c r="E414" s="14"/>
      <c r="F414" s="18" t="str">
        <f>IFERROR(VLOOKUP(E414,'(新)ﾍﾞﾝﾀﾞｰ小型'!$A$3:$K$241,8,0), "")</f>
        <v/>
      </c>
      <c r="G414" s="7" t="str">
        <f>IFERROR(VLOOKUP(E414,'(旧)ﾍﾞﾝﾀﾞｰ小型'!$A$3:$K$310,10,0),"")</f>
        <v/>
      </c>
      <c r="H414" s="12" t="s">
        <v>60</v>
      </c>
      <c r="I414" s="17" t="str">
        <f>IFERROR(VLOOKUP(E414,'(新)ﾍﾞﾝﾀﾞｰ小型'!$A$3:$K$241,10,0),"")</f>
        <v/>
      </c>
    </row>
    <row r="415" spans="2:9" x14ac:dyDescent="0.15">
      <c r="B415" s="17" t="str">
        <f>IFERROR(VLOOKUP(E415,'(新)ﾍﾞﾝﾀﾞｰ小型'!$A$3:$K$241,2,0), "")</f>
        <v/>
      </c>
      <c r="C415" s="17" t="str">
        <f>IFERROR(VLOOKUP(E415,'(新)ﾍﾞﾝﾀﾞｰ小型'!$A$3:$K$241,4,0), "")</f>
        <v/>
      </c>
      <c r="D415" s="17" t="str">
        <f>IFERROR(VLOOKUP(E415,'(新)ﾍﾞﾝﾀﾞｰ小型'!$A$3:$K$241,5,0), "")</f>
        <v/>
      </c>
      <c r="E415" s="14"/>
      <c r="F415" s="18" t="str">
        <f>IFERROR(VLOOKUP(E415,'(新)ﾍﾞﾝﾀﾞｰ小型'!$A$3:$K$241,8,0), "")</f>
        <v/>
      </c>
      <c r="G415" s="7" t="str">
        <f>IFERROR(VLOOKUP(E415,'(旧)ﾍﾞﾝﾀﾞｰ小型'!$A$3:$K$310,10,0),"")</f>
        <v/>
      </c>
      <c r="H415" s="12" t="s">
        <v>60</v>
      </c>
      <c r="I415" s="17" t="str">
        <f>IFERROR(VLOOKUP(E415,'(新)ﾍﾞﾝﾀﾞｰ小型'!$A$3:$K$241,10,0),"")</f>
        <v/>
      </c>
    </row>
    <row r="416" spans="2:9" x14ac:dyDescent="0.15">
      <c r="B416" s="17" t="str">
        <f>IFERROR(VLOOKUP(E416,'(新)ﾍﾞﾝﾀﾞｰ小型'!$A$3:$K$241,2,0), "")</f>
        <v/>
      </c>
      <c r="C416" s="17" t="str">
        <f>IFERROR(VLOOKUP(E416,'(新)ﾍﾞﾝﾀﾞｰ小型'!$A$3:$K$241,4,0), "")</f>
        <v/>
      </c>
      <c r="D416" s="17" t="str">
        <f>IFERROR(VLOOKUP(E416,'(新)ﾍﾞﾝﾀﾞｰ小型'!$A$3:$K$241,5,0), "")</f>
        <v/>
      </c>
      <c r="E416" s="14"/>
      <c r="F416" s="18" t="str">
        <f>IFERROR(VLOOKUP(E416,'(新)ﾍﾞﾝﾀﾞｰ小型'!$A$3:$K$241,8,0), "")</f>
        <v/>
      </c>
      <c r="G416" s="7" t="str">
        <f>IFERROR(VLOOKUP(E416,'(旧)ﾍﾞﾝﾀﾞｰ小型'!$A$3:$K$310,10,0),"")</f>
        <v/>
      </c>
      <c r="H416" s="12" t="s">
        <v>60</v>
      </c>
      <c r="I416" s="17" t="str">
        <f>IFERROR(VLOOKUP(E416,'(新)ﾍﾞﾝﾀﾞｰ小型'!$A$3:$K$241,10,0),"")</f>
        <v/>
      </c>
    </row>
    <row r="417" spans="2:9" x14ac:dyDescent="0.15">
      <c r="B417" s="17" t="str">
        <f>IFERROR(VLOOKUP(E417,'(新)ﾍﾞﾝﾀﾞｰ小型'!$A$3:$K$241,2,0), "")</f>
        <v/>
      </c>
      <c r="C417" s="17" t="str">
        <f>IFERROR(VLOOKUP(E417,'(新)ﾍﾞﾝﾀﾞｰ小型'!$A$3:$K$241,4,0), "")</f>
        <v/>
      </c>
      <c r="D417" s="17" t="str">
        <f>IFERROR(VLOOKUP(E417,'(新)ﾍﾞﾝﾀﾞｰ小型'!$A$3:$K$241,5,0), "")</f>
        <v/>
      </c>
      <c r="E417" s="14"/>
      <c r="F417" s="18" t="str">
        <f>IFERROR(VLOOKUP(E417,'(新)ﾍﾞﾝﾀﾞｰ小型'!$A$3:$K$241,8,0), "")</f>
        <v/>
      </c>
      <c r="G417" s="7" t="str">
        <f>IFERROR(VLOOKUP(E417,'(旧)ﾍﾞﾝﾀﾞｰ小型'!$A$3:$K$310,10,0),"")</f>
        <v/>
      </c>
      <c r="H417" s="12" t="s">
        <v>60</v>
      </c>
      <c r="I417" s="17" t="str">
        <f>IFERROR(VLOOKUP(E417,'(新)ﾍﾞﾝﾀﾞｰ小型'!$A$3:$K$241,10,0),"")</f>
        <v/>
      </c>
    </row>
    <row r="418" spans="2:9" x14ac:dyDescent="0.15">
      <c r="B418" s="17" t="str">
        <f>IFERROR(VLOOKUP(E418,'(新)ﾍﾞﾝﾀﾞｰ小型'!$A$3:$K$241,2,0), "")</f>
        <v/>
      </c>
      <c r="C418" s="17" t="str">
        <f>IFERROR(VLOOKUP(E418,'(新)ﾍﾞﾝﾀﾞｰ小型'!$A$3:$K$241,4,0), "")</f>
        <v/>
      </c>
      <c r="D418" s="17" t="str">
        <f>IFERROR(VLOOKUP(E418,'(新)ﾍﾞﾝﾀﾞｰ小型'!$A$3:$K$241,5,0), "")</f>
        <v/>
      </c>
      <c r="E418" s="14"/>
      <c r="F418" s="18" t="str">
        <f>IFERROR(VLOOKUP(E418,'(新)ﾍﾞﾝﾀﾞｰ小型'!$A$3:$K$241,8,0), "")</f>
        <v/>
      </c>
      <c r="G418" s="7" t="str">
        <f>IFERROR(VLOOKUP(E418,'(旧)ﾍﾞﾝﾀﾞｰ小型'!$A$3:$K$310,10,0),"")</f>
        <v/>
      </c>
      <c r="H418" s="12" t="s">
        <v>60</v>
      </c>
      <c r="I418" s="17" t="str">
        <f>IFERROR(VLOOKUP(E418,'(新)ﾍﾞﾝﾀﾞｰ小型'!$A$3:$K$241,10,0),"")</f>
        <v/>
      </c>
    </row>
    <row r="419" spans="2:9" x14ac:dyDescent="0.15">
      <c r="B419" s="17" t="str">
        <f>IFERROR(VLOOKUP(E419,'(新)ﾍﾞﾝﾀﾞｰ小型'!$A$3:$K$241,2,0), "")</f>
        <v/>
      </c>
      <c r="C419" s="17" t="str">
        <f>IFERROR(VLOOKUP(E419,'(新)ﾍﾞﾝﾀﾞｰ小型'!$A$3:$K$241,4,0), "")</f>
        <v/>
      </c>
      <c r="D419" s="17" t="str">
        <f>IFERROR(VLOOKUP(E419,'(新)ﾍﾞﾝﾀﾞｰ小型'!$A$3:$K$241,5,0), "")</f>
        <v/>
      </c>
      <c r="E419" s="14"/>
      <c r="F419" s="18" t="str">
        <f>IFERROR(VLOOKUP(E419,'(新)ﾍﾞﾝﾀﾞｰ小型'!$A$3:$K$241,8,0), "")</f>
        <v/>
      </c>
      <c r="G419" s="7" t="str">
        <f>IFERROR(VLOOKUP(E419,'(旧)ﾍﾞﾝﾀﾞｰ小型'!$A$3:$K$310,10,0),"")</f>
        <v/>
      </c>
      <c r="H419" s="12" t="s">
        <v>60</v>
      </c>
      <c r="I419" s="17" t="str">
        <f>IFERROR(VLOOKUP(E419,'(新)ﾍﾞﾝﾀﾞｰ小型'!$A$3:$K$241,10,0),"")</f>
        <v/>
      </c>
    </row>
    <row r="420" spans="2:9" x14ac:dyDescent="0.15">
      <c r="B420" s="17" t="str">
        <f>IFERROR(VLOOKUP(E420,'(新)ﾍﾞﾝﾀﾞｰ小型'!$A$3:$K$241,2,0), "")</f>
        <v/>
      </c>
      <c r="C420" s="17" t="str">
        <f>IFERROR(VLOOKUP(E420,'(新)ﾍﾞﾝﾀﾞｰ小型'!$A$3:$K$241,4,0), "")</f>
        <v/>
      </c>
      <c r="D420" s="17" t="str">
        <f>IFERROR(VLOOKUP(E420,'(新)ﾍﾞﾝﾀﾞｰ小型'!$A$3:$K$241,5,0), "")</f>
        <v/>
      </c>
      <c r="E420" s="14"/>
      <c r="F420" s="18" t="str">
        <f>IFERROR(VLOOKUP(E420,'(新)ﾍﾞﾝﾀﾞｰ小型'!$A$3:$K$241,8,0), "")</f>
        <v/>
      </c>
      <c r="G420" s="7" t="str">
        <f>IFERROR(VLOOKUP(E420,'(旧)ﾍﾞﾝﾀﾞｰ小型'!$A$3:$K$310,10,0),"")</f>
        <v/>
      </c>
      <c r="H420" s="12" t="s">
        <v>60</v>
      </c>
      <c r="I420" s="17" t="str">
        <f>IFERROR(VLOOKUP(E420,'(新)ﾍﾞﾝﾀﾞｰ小型'!$A$3:$K$241,10,0),"")</f>
        <v/>
      </c>
    </row>
    <row r="421" spans="2:9" x14ac:dyDescent="0.15">
      <c r="B421" s="17" t="str">
        <f>IFERROR(VLOOKUP(E421,'(新)ﾍﾞﾝﾀﾞｰ小型'!$A$3:$K$241,2,0), "")</f>
        <v/>
      </c>
      <c r="C421" s="17" t="str">
        <f>IFERROR(VLOOKUP(E421,'(新)ﾍﾞﾝﾀﾞｰ小型'!$A$3:$K$241,4,0), "")</f>
        <v/>
      </c>
      <c r="D421" s="17" t="str">
        <f>IFERROR(VLOOKUP(E421,'(新)ﾍﾞﾝﾀﾞｰ小型'!$A$3:$K$241,5,0), "")</f>
        <v/>
      </c>
      <c r="E421" s="14"/>
      <c r="F421" s="18" t="str">
        <f>IFERROR(VLOOKUP(E421,'(新)ﾍﾞﾝﾀﾞｰ小型'!$A$3:$K$241,8,0), "")</f>
        <v/>
      </c>
      <c r="G421" s="7" t="str">
        <f>IFERROR(VLOOKUP(E421,'(旧)ﾍﾞﾝﾀﾞｰ小型'!$A$3:$K$310,10,0),"")</f>
        <v/>
      </c>
      <c r="H421" s="12" t="s">
        <v>60</v>
      </c>
      <c r="I421" s="17" t="str">
        <f>IFERROR(VLOOKUP(E421,'(新)ﾍﾞﾝﾀﾞｰ小型'!$A$3:$K$241,10,0),"")</f>
        <v/>
      </c>
    </row>
    <row r="422" spans="2:9" x14ac:dyDescent="0.15">
      <c r="B422" s="17" t="str">
        <f>IFERROR(VLOOKUP(E422,'(新)ﾍﾞﾝﾀﾞｰ小型'!$A$3:$K$241,2,0), "")</f>
        <v/>
      </c>
      <c r="C422" s="17" t="str">
        <f>IFERROR(VLOOKUP(E422,'(新)ﾍﾞﾝﾀﾞｰ小型'!$A$3:$K$241,4,0), "")</f>
        <v/>
      </c>
      <c r="D422" s="17" t="str">
        <f>IFERROR(VLOOKUP(E422,'(新)ﾍﾞﾝﾀﾞｰ小型'!$A$3:$K$241,5,0), "")</f>
        <v/>
      </c>
      <c r="E422" s="14"/>
      <c r="F422" s="18" t="str">
        <f>IFERROR(VLOOKUP(E422,'(新)ﾍﾞﾝﾀﾞｰ小型'!$A$3:$K$241,8,0), "")</f>
        <v/>
      </c>
      <c r="G422" s="7" t="str">
        <f>IFERROR(VLOOKUP(E422,'(旧)ﾍﾞﾝﾀﾞｰ小型'!$A$3:$K$310,10,0),"")</f>
        <v/>
      </c>
      <c r="H422" s="12" t="s">
        <v>60</v>
      </c>
      <c r="I422" s="17" t="str">
        <f>IFERROR(VLOOKUP(E422,'(新)ﾍﾞﾝﾀﾞｰ小型'!$A$3:$K$241,10,0),"")</f>
        <v/>
      </c>
    </row>
    <row r="423" spans="2:9" x14ac:dyDescent="0.15">
      <c r="B423" s="17" t="str">
        <f>IFERROR(VLOOKUP(E423,'(新)ﾍﾞﾝﾀﾞｰ小型'!$A$3:$K$241,2,0), "")</f>
        <v/>
      </c>
      <c r="C423" s="17" t="str">
        <f>IFERROR(VLOOKUP(E423,'(新)ﾍﾞﾝﾀﾞｰ小型'!$A$3:$K$241,4,0), "")</f>
        <v/>
      </c>
      <c r="D423" s="17" t="str">
        <f>IFERROR(VLOOKUP(E423,'(新)ﾍﾞﾝﾀﾞｰ小型'!$A$3:$K$241,5,0), "")</f>
        <v/>
      </c>
      <c r="E423" s="14"/>
      <c r="F423" s="18" t="str">
        <f>IFERROR(VLOOKUP(E423,'(新)ﾍﾞﾝﾀﾞｰ小型'!$A$3:$K$241,8,0), "")</f>
        <v/>
      </c>
      <c r="G423" s="7" t="str">
        <f>IFERROR(VLOOKUP(E423,'(旧)ﾍﾞﾝﾀﾞｰ小型'!$A$3:$K$310,10,0),"")</f>
        <v/>
      </c>
      <c r="H423" s="12" t="s">
        <v>60</v>
      </c>
      <c r="I423" s="17" t="str">
        <f>IFERROR(VLOOKUP(E423,'(新)ﾍﾞﾝﾀﾞｰ小型'!$A$3:$K$241,10,0),"")</f>
        <v/>
      </c>
    </row>
    <row r="424" spans="2:9" x14ac:dyDescent="0.15">
      <c r="B424" s="17" t="str">
        <f>IFERROR(VLOOKUP(E424,'(新)ﾍﾞﾝﾀﾞｰ小型'!$A$3:$K$241,2,0), "")</f>
        <v/>
      </c>
      <c r="C424" s="17" t="str">
        <f>IFERROR(VLOOKUP(E424,'(新)ﾍﾞﾝﾀﾞｰ小型'!$A$3:$K$241,4,0), "")</f>
        <v/>
      </c>
      <c r="D424" s="17" t="str">
        <f>IFERROR(VLOOKUP(E424,'(新)ﾍﾞﾝﾀﾞｰ小型'!$A$3:$K$241,5,0), "")</f>
        <v/>
      </c>
      <c r="E424" s="14"/>
      <c r="F424" s="18" t="str">
        <f>IFERROR(VLOOKUP(E424,'(新)ﾍﾞﾝﾀﾞｰ小型'!$A$3:$K$241,8,0), "")</f>
        <v/>
      </c>
      <c r="G424" s="7" t="str">
        <f>IFERROR(VLOOKUP(E424,'(旧)ﾍﾞﾝﾀﾞｰ小型'!$A$3:$K$310,10,0),"")</f>
        <v/>
      </c>
      <c r="H424" s="12" t="s">
        <v>60</v>
      </c>
      <c r="I424" s="17" t="str">
        <f>IFERROR(VLOOKUP(E424,'(新)ﾍﾞﾝﾀﾞｰ小型'!$A$3:$K$241,10,0),"")</f>
        <v/>
      </c>
    </row>
    <row r="425" spans="2:9" x14ac:dyDescent="0.15">
      <c r="B425" s="17" t="str">
        <f>IFERROR(VLOOKUP(E425,'(新)ﾍﾞﾝﾀﾞｰ小型'!$A$3:$K$241,2,0), "")</f>
        <v/>
      </c>
      <c r="C425" s="17" t="str">
        <f>IFERROR(VLOOKUP(E425,'(新)ﾍﾞﾝﾀﾞｰ小型'!$A$3:$K$241,4,0), "")</f>
        <v/>
      </c>
      <c r="D425" s="17" t="str">
        <f>IFERROR(VLOOKUP(E425,'(新)ﾍﾞﾝﾀﾞｰ小型'!$A$3:$K$241,5,0), "")</f>
        <v/>
      </c>
      <c r="E425" s="14"/>
      <c r="F425" s="18" t="str">
        <f>IFERROR(VLOOKUP(E425,'(新)ﾍﾞﾝﾀﾞｰ小型'!$A$3:$K$241,8,0), "")</f>
        <v/>
      </c>
      <c r="G425" s="7" t="str">
        <f>IFERROR(VLOOKUP(E425,'(旧)ﾍﾞﾝﾀﾞｰ小型'!$A$3:$K$310,10,0),"")</f>
        <v/>
      </c>
      <c r="H425" s="12" t="s">
        <v>60</v>
      </c>
      <c r="I425" s="17" t="str">
        <f>IFERROR(VLOOKUP(E425,'(新)ﾍﾞﾝﾀﾞｰ小型'!$A$3:$K$241,10,0),"")</f>
        <v/>
      </c>
    </row>
    <row r="426" spans="2:9" x14ac:dyDescent="0.15">
      <c r="B426" s="17" t="str">
        <f>IFERROR(VLOOKUP(E426,'(新)ﾍﾞﾝﾀﾞｰ小型'!$A$3:$K$241,2,0), "")</f>
        <v/>
      </c>
      <c r="C426" s="17" t="str">
        <f>IFERROR(VLOOKUP(E426,'(新)ﾍﾞﾝﾀﾞｰ小型'!$A$3:$K$241,4,0), "")</f>
        <v/>
      </c>
      <c r="D426" s="17" t="str">
        <f>IFERROR(VLOOKUP(E426,'(新)ﾍﾞﾝﾀﾞｰ小型'!$A$3:$K$241,5,0), "")</f>
        <v/>
      </c>
      <c r="E426" s="14"/>
      <c r="F426" s="18" t="str">
        <f>IFERROR(VLOOKUP(E426,'(新)ﾍﾞﾝﾀﾞｰ小型'!$A$3:$K$241,8,0), "")</f>
        <v/>
      </c>
      <c r="G426" s="7" t="str">
        <f>IFERROR(VLOOKUP(E426,'(旧)ﾍﾞﾝﾀﾞｰ小型'!$A$3:$K$310,10,0),"")</f>
        <v/>
      </c>
      <c r="H426" s="12" t="s">
        <v>60</v>
      </c>
      <c r="I426" s="17" t="str">
        <f>IFERROR(VLOOKUP(E426,'(新)ﾍﾞﾝﾀﾞｰ小型'!$A$3:$K$241,10,0),"")</f>
        <v/>
      </c>
    </row>
    <row r="427" spans="2:9" x14ac:dyDescent="0.15">
      <c r="B427" s="17" t="str">
        <f>IFERROR(VLOOKUP(E427,'(新)ﾍﾞﾝﾀﾞｰ小型'!$A$3:$K$241,2,0), "")</f>
        <v/>
      </c>
      <c r="C427" s="17" t="str">
        <f>IFERROR(VLOOKUP(E427,'(新)ﾍﾞﾝﾀﾞｰ小型'!$A$3:$K$241,4,0), "")</f>
        <v/>
      </c>
      <c r="D427" s="17" t="str">
        <f>IFERROR(VLOOKUP(E427,'(新)ﾍﾞﾝﾀﾞｰ小型'!$A$3:$K$241,5,0), "")</f>
        <v/>
      </c>
      <c r="E427" s="14"/>
      <c r="F427" s="18" t="str">
        <f>IFERROR(VLOOKUP(E427,'(新)ﾍﾞﾝﾀﾞｰ小型'!$A$3:$K$241,8,0), "")</f>
        <v/>
      </c>
      <c r="G427" s="7" t="str">
        <f>IFERROR(VLOOKUP(E427,'(旧)ﾍﾞﾝﾀﾞｰ小型'!$A$3:$K$310,10,0),"")</f>
        <v/>
      </c>
      <c r="H427" s="12" t="s">
        <v>60</v>
      </c>
      <c r="I427" s="17" t="str">
        <f>IFERROR(VLOOKUP(E427,'(新)ﾍﾞﾝﾀﾞｰ小型'!$A$3:$K$241,10,0),"")</f>
        <v/>
      </c>
    </row>
    <row r="428" spans="2:9" x14ac:dyDescent="0.15">
      <c r="B428" s="17" t="str">
        <f>IFERROR(VLOOKUP(E428,'(新)ﾍﾞﾝﾀﾞｰ小型'!$A$3:$K$241,2,0), "")</f>
        <v/>
      </c>
      <c r="C428" s="17" t="str">
        <f>IFERROR(VLOOKUP(E428,'(新)ﾍﾞﾝﾀﾞｰ小型'!$A$3:$K$241,4,0), "")</f>
        <v/>
      </c>
      <c r="D428" s="17" t="str">
        <f>IFERROR(VLOOKUP(E428,'(新)ﾍﾞﾝﾀﾞｰ小型'!$A$3:$K$241,5,0), "")</f>
        <v/>
      </c>
      <c r="E428" s="14"/>
      <c r="F428" s="18" t="str">
        <f>IFERROR(VLOOKUP(E428,'(新)ﾍﾞﾝﾀﾞｰ小型'!$A$3:$K$241,8,0), "")</f>
        <v/>
      </c>
      <c r="G428" s="7" t="str">
        <f>IFERROR(VLOOKUP(E428,'(旧)ﾍﾞﾝﾀﾞｰ小型'!$A$3:$K$310,10,0),"")</f>
        <v/>
      </c>
      <c r="H428" s="12" t="s">
        <v>60</v>
      </c>
      <c r="I428" s="17" t="str">
        <f>IFERROR(VLOOKUP(E428,'(新)ﾍﾞﾝﾀﾞｰ小型'!$A$3:$K$241,10,0),"")</f>
        <v/>
      </c>
    </row>
    <row r="429" spans="2:9" x14ac:dyDescent="0.15">
      <c r="B429" s="17" t="str">
        <f>IFERROR(VLOOKUP(E429,'(新)ﾍﾞﾝﾀﾞｰ小型'!$A$3:$K$241,2,0), "")</f>
        <v/>
      </c>
      <c r="C429" s="17" t="str">
        <f>IFERROR(VLOOKUP(E429,'(新)ﾍﾞﾝﾀﾞｰ小型'!$A$3:$K$241,4,0), "")</f>
        <v/>
      </c>
      <c r="D429" s="17" t="str">
        <f>IFERROR(VLOOKUP(E429,'(新)ﾍﾞﾝﾀﾞｰ小型'!$A$3:$K$241,5,0), "")</f>
        <v/>
      </c>
      <c r="E429" s="14"/>
      <c r="F429" s="18" t="str">
        <f>IFERROR(VLOOKUP(E429,'(新)ﾍﾞﾝﾀﾞｰ小型'!$A$3:$K$241,8,0), "")</f>
        <v/>
      </c>
      <c r="G429" s="7" t="str">
        <f>IFERROR(VLOOKUP(E429,'(旧)ﾍﾞﾝﾀﾞｰ小型'!$A$3:$K$310,10,0),"")</f>
        <v/>
      </c>
      <c r="H429" s="12" t="s">
        <v>60</v>
      </c>
      <c r="I429" s="17" t="str">
        <f>IFERROR(VLOOKUP(E429,'(新)ﾍﾞﾝﾀﾞｰ小型'!$A$3:$K$241,10,0),"")</f>
        <v/>
      </c>
    </row>
    <row r="430" spans="2:9" x14ac:dyDescent="0.15">
      <c r="B430" s="17" t="str">
        <f>IFERROR(VLOOKUP(E430,'(新)ﾍﾞﾝﾀﾞｰ小型'!$A$3:$K$241,2,0), "")</f>
        <v/>
      </c>
      <c r="C430" s="17" t="str">
        <f>IFERROR(VLOOKUP(E430,'(新)ﾍﾞﾝﾀﾞｰ小型'!$A$3:$K$241,4,0), "")</f>
        <v/>
      </c>
      <c r="D430" s="17" t="str">
        <f>IFERROR(VLOOKUP(E430,'(新)ﾍﾞﾝﾀﾞｰ小型'!$A$3:$K$241,5,0), "")</f>
        <v/>
      </c>
      <c r="E430" s="14"/>
      <c r="F430" s="18" t="str">
        <f>IFERROR(VLOOKUP(E430,'(新)ﾍﾞﾝﾀﾞｰ小型'!$A$3:$K$241,8,0), "")</f>
        <v/>
      </c>
      <c r="G430" s="7" t="str">
        <f>IFERROR(VLOOKUP(E430,'(旧)ﾍﾞﾝﾀﾞｰ小型'!$A$3:$K$310,10,0),"")</f>
        <v/>
      </c>
      <c r="H430" s="12" t="s">
        <v>60</v>
      </c>
      <c r="I430" s="17" t="str">
        <f>IFERROR(VLOOKUP(E430,'(新)ﾍﾞﾝﾀﾞｰ小型'!$A$3:$K$241,10,0),"")</f>
        <v/>
      </c>
    </row>
    <row r="431" spans="2:9" x14ac:dyDescent="0.15">
      <c r="B431" s="17" t="str">
        <f>IFERROR(VLOOKUP(E431,'(新)ﾍﾞﾝﾀﾞｰ小型'!$A$3:$K$241,2,0), "")</f>
        <v/>
      </c>
      <c r="C431" s="17" t="str">
        <f>IFERROR(VLOOKUP(E431,'(新)ﾍﾞﾝﾀﾞｰ小型'!$A$3:$K$241,4,0), "")</f>
        <v/>
      </c>
      <c r="D431" s="17" t="str">
        <f>IFERROR(VLOOKUP(E431,'(新)ﾍﾞﾝﾀﾞｰ小型'!$A$3:$K$241,5,0), "")</f>
        <v/>
      </c>
      <c r="E431" s="14"/>
      <c r="F431" s="18" t="str">
        <f>IFERROR(VLOOKUP(E431,'(新)ﾍﾞﾝﾀﾞｰ小型'!$A$3:$K$241,8,0), "")</f>
        <v/>
      </c>
      <c r="G431" s="7" t="str">
        <f>IFERROR(VLOOKUP(E431,'(旧)ﾍﾞﾝﾀﾞｰ小型'!$A$3:$K$310,10,0),"")</f>
        <v/>
      </c>
      <c r="H431" s="12" t="s">
        <v>60</v>
      </c>
      <c r="I431" s="17" t="str">
        <f>IFERROR(VLOOKUP(E431,'(新)ﾍﾞﾝﾀﾞｰ小型'!$A$3:$K$241,10,0),"")</f>
        <v/>
      </c>
    </row>
    <row r="432" spans="2:9" x14ac:dyDescent="0.15">
      <c r="B432" s="17" t="str">
        <f>IFERROR(VLOOKUP(E432,'(新)ﾍﾞﾝﾀﾞｰ小型'!$A$3:$K$241,2,0), "")</f>
        <v/>
      </c>
      <c r="C432" s="17" t="str">
        <f>IFERROR(VLOOKUP(E432,'(新)ﾍﾞﾝﾀﾞｰ小型'!$A$3:$K$241,4,0), "")</f>
        <v/>
      </c>
      <c r="D432" s="17" t="str">
        <f>IFERROR(VLOOKUP(E432,'(新)ﾍﾞﾝﾀﾞｰ小型'!$A$3:$K$241,5,0), "")</f>
        <v/>
      </c>
      <c r="E432" s="14"/>
      <c r="F432" s="18" t="str">
        <f>IFERROR(VLOOKUP(E432,'(新)ﾍﾞﾝﾀﾞｰ小型'!$A$3:$K$241,8,0), "")</f>
        <v/>
      </c>
      <c r="G432" s="7" t="str">
        <f>IFERROR(VLOOKUP(E432,'(旧)ﾍﾞﾝﾀﾞｰ小型'!$A$3:$K$310,10,0),"")</f>
        <v/>
      </c>
      <c r="H432" s="12" t="s">
        <v>60</v>
      </c>
      <c r="I432" s="17" t="str">
        <f>IFERROR(VLOOKUP(E432,'(新)ﾍﾞﾝﾀﾞｰ小型'!$A$3:$K$241,10,0),"")</f>
        <v/>
      </c>
    </row>
    <row r="433" spans="2:9" x14ac:dyDescent="0.15">
      <c r="B433" s="17" t="str">
        <f>IFERROR(VLOOKUP(E433,'(新)ﾍﾞﾝﾀﾞｰ小型'!$A$3:$K$241,2,0), "")</f>
        <v/>
      </c>
      <c r="C433" s="17" t="str">
        <f>IFERROR(VLOOKUP(E433,'(新)ﾍﾞﾝﾀﾞｰ小型'!$A$3:$K$241,4,0), "")</f>
        <v/>
      </c>
      <c r="D433" s="17" t="str">
        <f>IFERROR(VLOOKUP(E433,'(新)ﾍﾞﾝﾀﾞｰ小型'!$A$3:$K$241,5,0), "")</f>
        <v/>
      </c>
      <c r="E433" s="14"/>
      <c r="F433" s="18" t="str">
        <f>IFERROR(VLOOKUP(E433,'(新)ﾍﾞﾝﾀﾞｰ小型'!$A$3:$K$241,8,0), "")</f>
        <v/>
      </c>
      <c r="G433" s="7" t="str">
        <f>IFERROR(VLOOKUP(E433,'(旧)ﾍﾞﾝﾀﾞｰ小型'!$A$3:$K$310,10,0),"")</f>
        <v/>
      </c>
      <c r="H433" s="12" t="s">
        <v>60</v>
      </c>
      <c r="I433" s="17" t="str">
        <f>IFERROR(VLOOKUP(E433,'(新)ﾍﾞﾝﾀﾞｰ小型'!$A$3:$K$241,10,0),"")</f>
        <v/>
      </c>
    </row>
    <row r="434" spans="2:9" x14ac:dyDescent="0.15">
      <c r="B434" s="17" t="str">
        <f>IFERROR(VLOOKUP(E434,'(新)ﾍﾞﾝﾀﾞｰ小型'!$A$3:$K$241,2,0), "")</f>
        <v/>
      </c>
      <c r="C434" s="17" t="str">
        <f>IFERROR(VLOOKUP(E434,'(新)ﾍﾞﾝﾀﾞｰ小型'!$A$3:$K$241,4,0), "")</f>
        <v/>
      </c>
      <c r="D434" s="17" t="str">
        <f>IFERROR(VLOOKUP(E434,'(新)ﾍﾞﾝﾀﾞｰ小型'!$A$3:$K$241,5,0), "")</f>
        <v/>
      </c>
      <c r="E434" s="14"/>
      <c r="F434" s="18" t="str">
        <f>IFERROR(VLOOKUP(E434,'(新)ﾍﾞﾝﾀﾞｰ小型'!$A$3:$K$241,8,0), "")</f>
        <v/>
      </c>
      <c r="G434" s="7" t="str">
        <f>IFERROR(VLOOKUP(E434,'(旧)ﾍﾞﾝﾀﾞｰ小型'!$A$3:$K$310,10,0),"")</f>
        <v/>
      </c>
      <c r="H434" s="12" t="s">
        <v>60</v>
      </c>
      <c r="I434" s="17" t="str">
        <f>IFERROR(VLOOKUP(E434,'(新)ﾍﾞﾝﾀﾞｰ小型'!$A$3:$K$241,10,0),"")</f>
        <v/>
      </c>
    </row>
    <row r="435" spans="2:9" x14ac:dyDescent="0.15">
      <c r="B435" s="17" t="str">
        <f>IFERROR(VLOOKUP(E435,'(新)ﾍﾞﾝﾀﾞｰ小型'!$A$3:$K$241,2,0), "")</f>
        <v/>
      </c>
      <c r="C435" s="17" t="str">
        <f>IFERROR(VLOOKUP(E435,'(新)ﾍﾞﾝﾀﾞｰ小型'!$A$3:$K$241,4,0), "")</f>
        <v/>
      </c>
      <c r="D435" s="17" t="str">
        <f>IFERROR(VLOOKUP(E435,'(新)ﾍﾞﾝﾀﾞｰ小型'!$A$3:$K$241,5,0), "")</f>
        <v/>
      </c>
      <c r="E435" s="14"/>
      <c r="F435" s="18" t="str">
        <f>IFERROR(VLOOKUP(E435,'(新)ﾍﾞﾝﾀﾞｰ小型'!$A$3:$K$241,8,0), "")</f>
        <v/>
      </c>
      <c r="G435" s="7" t="str">
        <f>IFERROR(VLOOKUP(E435,'(旧)ﾍﾞﾝﾀﾞｰ小型'!$A$3:$K$310,10,0),"")</f>
        <v/>
      </c>
      <c r="H435" s="12" t="s">
        <v>60</v>
      </c>
      <c r="I435" s="17" t="str">
        <f>IFERROR(VLOOKUP(E435,'(新)ﾍﾞﾝﾀﾞｰ小型'!$A$3:$K$241,10,0),"")</f>
        <v/>
      </c>
    </row>
    <row r="436" spans="2:9" x14ac:dyDescent="0.15">
      <c r="B436" s="17" t="str">
        <f>IFERROR(VLOOKUP(E436,'(新)ﾍﾞﾝﾀﾞｰ小型'!$A$3:$K$241,2,0), "")</f>
        <v/>
      </c>
      <c r="C436" s="17" t="str">
        <f>IFERROR(VLOOKUP(E436,'(新)ﾍﾞﾝﾀﾞｰ小型'!$A$3:$K$241,4,0), "")</f>
        <v/>
      </c>
      <c r="D436" s="17" t="str">
        <f>IFERROR(VLOOKUP(E436,'(新)ﾍﾞﾝﾀﾞｰ小型'!$A$3:$K$241,5,0), "")</f>
        <v/>
      </c>
      <c r="E436" s="14"/>
      <c r="F436" s="18" t="str">
        <f>IFERROR(VLOOKUP(E436,'(新)ﾍﾞﾝﾀﾞｰ小型'!$A$3:$K$241,8,0), "")</f>
        <v/>
      </c>
      <c r="G436" s="7" t="str">
        <f>IFERROR(VLOOKUP(E436,'(旧)ﾍﾞﾝﾀﾞｰ小型'!$A$3:$K$310,10,0),"")</f>
        <v/>
      </c>
      <c r="H436" s="12" t="s">
        <v>60</v>
      </c>
      <c r="I436" s="17" t="str">
        <f>IFERROR(VLOOKUP(E436,'(新)ﾍﾞﾝﾀﾞｰ小型'!$A$3:$K$241,10,0),"")</f>
        <v/>
      </c>
    </row>
    <row r="437" spans="2:9" x14ac:dyDescent="0.15">
      <c r="B437" s="17" t="str">
        <f>IFERROR(VLOOKUP(E437,'(新)ﾍﾞﾝﾀﾞｰ小型'!$A$3:$K$241,2,0), "")</f>
        <v/>
      </c>
      <c r="C437" s="17" t="str">
        <f>IFERROR(VLOOKUP(E437,'(新)ﾍﾞﾝﾀﾞｰ小型'!$A$3:$K$241,4,0), "")</f>
        <v/>
      </c>
      <c r="D437" s="17" t="str">
        <f>IFERROR(VLOOKUP(E437,'(新)ﾍﾞﾝﾀﾞｰ小型'!$A$3:$K$241,5,0), "")</f>
        <v/>
      </c>
      <c r="E437" s="14"/>
      <c r="F437" s="18" t="str">
        <f>IFERROR(VLOOKUP(E437,'(新)ﾍﾞﾝﾀﾞｰ小型'!$A$3:$K$241,8,0), "")</f>
        <v/>
      </c>
      <c r="G437" s="7" t="str">
        <f>IFERROR(VLOOKUP(E437,'(旧)ﾍﾞﾝﾀﾞｰ小型'!$A$3:$K$310,10,0),"")</f>
        <v/>
      </c>
      <c r="H437" s="12" t="s">
        <v>60</v>
      </c>
      <c r="I437" s="17" t="str">
        <f>IFERROR(VLOOKUP(E437,'(新)ﾍﾞﾝﾀﾞｰ小型'!$A$3:$K$241,10,0),"")</f>
        <v/>
      </c>
    </row>
    <row r="438" spans="2:9" x14ac:dyDescent="0.15">
      <c r="B438" s="17" t="str">
        <f>IFERROR(VLOOKUP(E438,'(新)ﾍﾞﾝﾀﾞｰ小型'!$A$3:$K$241,2,0), "")</f>
        <v/>
      </c>
      <c r="C438" s="17" t="str">
        <f>IFERROR(VLOOKUP(E438,'(新)ﾍﾞﾝﾀﾞｰ小型'!$A$3:$K$241,4,0), "")</f>
        <v/>
      </c>
      <c r="D438" s="17" t="str">
        <f>IFERROR(VLOOKUP(E438,'(新)ﾍﾞﾝﾀﾞｰ小型'!$A$3:$K$241,5,0), "")</f>
        <v/>
      </c>
      <c r="E438" s="14"/>
      <c r="F438" s="18" t="str">
        <f>IFERROR(VLOOKUP(E438,'(新)ﾍﾞﾝﾀﾞｰ小型'!$A$3:$K$241,8,0), "")</f>
        <v/>
      </c>
      <c r="G438" s="7" t="str">
        <f>IFERROR(VLOOKUP(E438,'(旧)ﾍﾞﾝﾀﾞｰ小型'!$A$3:$K$310,10,0),"")</f>
        <v/>
      </c>
      <c r="H438" s="12" t="s">
        <v>60</v>
      </c>
      <c r="I438" s="17" t="str">
        <f>IFERROR(VLOOKUP(E438,'(新)ﾍﾞﾝﾀﾞｰ小型'!$A$3:$K$241,10,0),"")</f>
        <v/>
      </c>
    </row>
    <row r="439" spans="2:9" x14ac:dyDescent="0.15">
      <c r="B439" s="17" t="str">
        <f>IFERROR(VLOOKUP(E439,'(新)ﾍﾞﾝﾀﾞｰ小型'!$A$3:$K$241,2,0), "")</f>
        <v/>
      </c>
      <c r="C439" s="17" t="str">
        <f>IFERROR(VLOOKUP(E439,'(新)ﾍﾞﾝﾀﾞｰ小型'!$A$3:$K$241,4,0), "")</f>
        <v/>
      </c>
      <c r="D439" s="17" t="str">
        <f>IFERROR(VLOOKUP(E439,'(新)ﾍﾞﾝﾀﾞｰ小型'!$A$3:$K$241,5,0), "")</f>
        <v/>
      </c>
      <c r="E439" s="14"/>
      <c r="F439" s="18" t="str">
        <f>IFERROR(VLOOKUP(E439,'(新)ﾍﾞﾝﾀﾞｰ小型'!$A$3:$K$241,8,0), "")</f>
        <v/>
      </c>
      <c r="G439" s="7" t="str">
        <f>IFERROR(VLOOKUP(E439,'(旧)ﾍﾞﾝﾀﾞｰ小型'!$A$3:$K$310,10,0),"")</f>
        <v/>
      </c>
      <c r="H439" s="12" t="s">
        <v>60</v>
      </c>
      <c r="I439" s="17" t="str">
        <f>IFERROR(VLOOKUP(E439,'(新)ﾍﾞﾝﾀﾞｰ小型'!$A$3:$K$241,10,0),"")</f>
        <v/>
      </c>
    </row>
    <row r="440" spans="2:9" x14ac:dyDescent="0.15">
      <c r="B440" s="17" t="str">
        <f>IFERROR(VLOOKUP(E440,'(新)ﾍﾞﾝﾀﾞｰ小型'!$A$3:$K$241,2,0), "")</f>
        <v/>
      </c>
      <c r="C440" s="17" t="str">
        <f>IFERROR(VLOOKUP(E440,'(新)ﾍﾞﾝﾀﾞｰ小型'!$A$3:$K$241,4,0), "")</f>
        <v/>
      </c>
      <c r="D440" s="17" t="str">
        <f>IFERROR(VLOOKUP(E440,'(新)ﾍﾞﾝﾀﾞｰ小型'!$A$3:$K$241,5,0), "")</f>
        <v/>
      </c>
      <c r="E440" s="14"/>
      <c r="F440" s="18" t="str">
        <f>IFERROR(VLOOKUP(E440,'(新)ﾍﾞﾝﾀﾞｰ小型'!$A$3:$K$241,8,0), "")</f>
        <v/>
      </c>
      <c r="G440" s="7" t="str">
        <f>IFERROR(VLOOKUP(E440,'(旧)ﾍﾞﾝﾀﾞｰ小型'!$A$3:$K$310,10,0),"")</f>
        <v/>
      </c>
      <c r="H440" s="12" t="s">
        <v>60</v>
      </c>
      <c r="I440" s="17" t="str">
        <f>IFERROR(VLOOKUP(E440,'(新)ﾍﾞﾝﾀﾞｰ小型'!$A$3:$K$241,10,0),"")</f>
        <v/>
      </c>
    </row>
    <row r="441" spans="2:9" x14ac:dyDescent="0.15">
      <c r="B441" s="17" t="str">
        <f>IFERROR(VLOOKUP(E441,'(新)ﾍﾞﾝﾀﾞｰ小型'!$A$3:$K$241,2,0), "")</f>
        <v/>
      </c>
      <c r="C441" s="17" t="str">
        <f>IFERROR(VLOOKUP(E441,'(新)ﾍﾞﾝﾀﾞｰ小型'!$A$3:$K$241,4,0), "")</f>
        <v/>
      </c>
      <c r="D441" s="17" t="str">
        <f>IFERROR(VLOOKUP(E441,'(新)ﾍﾞﾝﾀﾞｰ小型'!$A$3:$K$241,5,0), "")</f>
        <v/>
      </c>
      <c r="E441" s="14"/>
      <c r="F441" s="18" t="str">
        <f>IFERROR(VLOOKUP(E441,'(新)ﾍﾞﾝﾀﾞｰ小型'!$A$3:$K$241,8,0), "")</f>
        <v/>
      </c>
      <c r="G441" s="7" t="str">
        <f>IFERROR(VLOOKUP(E441,'(旧)ﾍﾞﾝﾀﾞｰ小型'!$A$3:$K$310,10,0),"")</f>
        <v/>
      </c>
      <c r="H441" s="12" t="s">
        <v>60</v>
      </c>
      <c r="I441" s="17" t="str">
        <f>IFERROR(VLOOKUP(E441,'(新)ﾍﾞﾝﾀﾞｰ小型'!$A$3:$K$241,10,0),"")</f>
        <v/>
      </c>
    </row>
    <row r="442" spans="2:9" x14ac:dyDescent="0.15">
      <c r="B442" s="17" t="str">
        <f>IFERROR(VLOOKUP(E442,'(新)ﾍﾞﾝﾀﾞｰ小型'!$A$3:$K$241,2,0), "")</f>
        <v/>
      </c>
      <c r="C442" s="17" t="str">
        <f>IFERROR(VLOOKUP(E442,'(新)ﾍﾞﾝﾀﾞｰ小型'!$A$3:$K$241,4,0), "")</f>
        <v/>
      </c>
      <c r="D442" s="17" t="str">
        <f>IFERROR(VLOOKUP(E442,'(新)ﾍﾞﾝﾀﾞｰ小型'!$A$3:$K$241,5,0), "")</f>
        <v/>
      </c>
      <c r="E442" s="14"/>
      <c r="F442" s="18" t="str">
        <f>IFERROR(VLOOKUP(E442,'(新)ﾍﾞﾝﾀﾞｰ小型'!$A$3:$K$241,8,0), "")</f>
        <v/>
      </c>
      <c r="G442" s="7" t="str">
        <f>IFERROR(VLOOKUP(E442,'(旧)ﾍﾞﾝﾀﾞｰ小型'!$A$3:$K$310,10,0),"")</f>
        <v/>
      </c>
      <c r="H442" s="12" t="s">
        <v>60</v>
      </c>
      <c r="I442" s="17" t="str">
        <f>IFERROR(VLOOKUP(E442,'(新)ﾍﾞﾝﾀﾞｰ小型'!$A$3:$K$241,10,0),"")</f>
        <v/>
      </c>
    </row>
    <row r="443" spans="2:9" x14ac:dyDescent="0.15">
      <c r="B443" s="17" t="str">
        <f>IFERROR(VLOOKUP(E443,'(新)ﾍﾞﾝﾀﾞｰ小型'!$A$3:$K$241,2,0), "")</f>
        <v/>
      </c>
      <c r="C443" s="17" t="str">
        <f>IFERROR(VLOOKUP(E443,'(新)ﾍﾞﾝﾀﾞｰ小型'!$A$3:$K$241,4,0), "")</f>
        <v/>
      </c>
      <c r="D443" s="17" t="str">
        <f>IFERROR(VLOOKUP(E443,'(新)ﾍﾞﾝﾀﾞｰ小型'!$A$3:$K$241,5,0), "")</f>
        <v/>
      </c>
      <c r="E443" s="14"/>
      <c r="F443" s="18" t="str">
        <f>IFERROR(VLOOKUP(E443,'(新)ﾍﾞﾝﾀﾞｰ小型'!$A$3:$K$241,8,0), "")</f>
        <v/>
      </c>
      <c r="G443" s="7" t="str">
        <f>IFERROR(VLOOKUP(E443,'(旧)ﾍﾞﾝﾀﾞｰ小型'!$A$3:$K$310,10,0),"")</f>
        <v/>
      </c>
      <c r="H443" s="12" t="s">
        <v>60</v>
      </c>
      <c r="I443" s="17" t="str">
        <f>IFERROR(VLOOKUP(E443,'(新)ﾍﾞﾝﾀﾞｰ小型'!$A$3:$K$241,10,0),"")</f>
        <v/>
      </c>
    </row>
    <row r="444" spans="2:9" x14ac:dyDescent="0.15">
      <c r="B444" s="17" t="str">
        <f>IFERROR(VLOOKUP(E444,'(新)ﾍﾞﾝﾀﾞｰ小型'!$A$3:$K$241,2,0), "")</f>
        <v/>
      </c>
      <c r="C444" s="17" t="str">
        <f>IFERROR(VLOOKUP(E444,'(新)ﾍﾞﾝﾀﾞｰ小型'!$A$3:$K$241,4,0), "")</f>
        <v/>
      </c>
      <c r="D444" s="17" t="str">
        <f>IFERROR(VLOOKUP(E444,'(新)ﾍﾞﾝﾀﾞｰ小型'!$A$3:$K$241,5,0), "")</f>
        <v/>
      </c>
      <c r="E444" s="14"/>
      <c r="F444" s="18" t="str">
        <f>IFERROR(VLOOKUP(E444,'(新)ﾍﾞﾝﾀﾞｰ小型'!$A$3:$K$241,8,0), "")</f>
        <v/>
      </c>
      <c r="G444" s="7" t="str">
        <f>IFERROR(VLOOKUP(E444,'(旧)ﾍﾞﾝﾀﾞｰ小型'!$A$3:$K$310,10,0),"")</f>
        <v/>
      </c>
      <c r="H444" s="12" t="s">
        <v>60</v>
      </c>
      <c r="I444" s="17" t="str">
        <f>IFERROR(VLOOKUP(E444,'(新)ﾍﾞﾝﾀﾞｰ小型'!$A$3:$K$241,10,0),"")</f>
        <v/>
      </c>
    </row>
    <row r="445" spans="2:9" x14ac:dyDescent="0.15">
      <c r="B445" s="17" t="str">
        <f>IFERROR(VLOOKUP(E445,'(新)ﾍﾞﾝﾀﾞｰ小型'!$A$3:$K$241,2,0), "")</f>
        <v/>
      </c>
      <c r="C445" s="17" t="str">
        <f>IFERROR(VLOOKUP(E445,'(新)ﾍﾞﾝﾀﾞｰ小型'!$A$3:$K$241,4,0), "")</f>
        <v/>
      </c>
      <c r="D445" s="17" t="str">
        <f>IFERROR(VLOOKUP(E445,'(新)ﾍﾞﾝﾀﾞｰ小型'!$A$3:$K$241,5,0), "")</f>
        <v/>
      </c>
      <c r="E445" s="14"/>
      <c r="F445" s="18" t="str">
        <f>IFERROR(VLOOKUP(E445,'(新)ﾍﾞﾝﾀﾞｰ小型'!$A$3:$K$241,8,0), "")</f>
        <v/>
      </c>
      <c r="G445" s="7" t="str">
        <f>IFERROR(VLOOKUP(E445,'(旧)ﾍﾞﾝﾀﾞｰ小型'!$A$3:$K$310,10,0),"")</f>
        <v/>
      </c>
      <c r="H445" s="12" t="s">
        <v>60</v>
      </c>
      <c r="I445" s="17" t="str">
        <f>IFERROR(VLOOKUP(E445,'(新)ﾍﾞﾝﾀﾞｰ小型'!$A$3:$K$241,10,0),"")</f>
        <v/>
      </c>
    </row>
    <row r="446" spans="2:9" x14ac:dyDescent="0.15">
      <c r="B446" s="17" t="str">
        <f>IFERROR(VLOOKUP(E446,'(新)ﾍﾞﾝﾀﾞｰ小型'!$A$3:$K$241,2,0), "")</f>
        <v/>
      </c>
      <c r="C446" s="17" t="str">
        <f>IFERROR(VLOOKUP(E446,'(新)ﾍﾞﾝﾀﾞｰ小型'!$A$3:$K$241,4,0), "")</f>
        <v/>
      </c>
      <c r="D446" s="17" t="str">
        <f>IFERROR(VLOOKUP(E446,'(新)ﾍﾞﾝﾀﾞｰ小型'!$A$3:$K$241,5,0), "")</f>
        <v/>
      </c>
      <c r="E446" s="14"/>
      <c r="F446" s="18" t="str">
        <f>IFERROR(VLOOKUP(E446,'(新)ﾍﾞﾝﾀﾞｰ小型'!$A$3:$K$241,8,0), "")</f>
        <v/>
      </c>
      <c r="G446" s="7" t="str">
        <f>IFERROR(VLOOKUP(E446,'(旧)ﾍﾞﾝﾀﾞｰ小型'!$A$3:$K$310,10,0),"")</f>
        <v/>
      </c>
      <c r="H446" s="12" t="s">
        <v>60</v>
      </c>
      <c r="I446" s="17" t="str">
        <f>IFERROR(VLOOKUP(E446,'(新)ﾍﾞﾝﾀﾞｰ小型'!$A$3:$K$241,10,0),"")</f>
        <v/>
      </c>
    </row>
    <row r="447" spans="2:9" x14ac:dyDescent="0.15">
      <c r="B447" s="17" t="str">
        <f>IFERROR(VLOOKUP(E447,'(新)ﾍﾞﾝﾀﾞｰ小型'!$A$3:$K$241,2,0), "")</f>
        <v/>
      </c>
      <c r="C447" s="17" t="str">
        <f>IFERROR(VLOOKUP(E447,'(新)ﾍﾞﾝﾀﾞｰ小型'!$A$3:$K$241,4,0), "")</f>
        <v/>
      </c>
      <c r="D447" s="17" t="str">
        <f>IFERROR(VLOOKUP(E447,'(新)ﾍﾞﾝﾀﾞｰ小型'!$A$3:$K$241,5,0), "")</f>
        <v/>
      </c>
      <c r="E447" s="14"/>
      <c r="F447" s="18" t="str">
        <f>IFERROR(VLOOKUP(E447,'(新)ﾍﾞﾝﾀﾞｰ小型'!$A$3:$K$241,8,0), "")</f>
        <v/>
      </c>
      <c r="G447" s="7" t="str">
        <f>IFERROR(VLOOKUP(E447,'(旧)ﾍﾞﾝﾀﾞｰ小型'!$A$3:$K$310,10,0),"")</f>
        <v/>
      </c>
      <c r="H447" s="12" t="s">
        <v>60</v>
      </c>
      <c r="I447" s="17" t="str">
        <f>IFERROR(VLOOKUP(E447,'(新)ﾍﾞﾝﾀﾞｰ小型'!$A$3:$K$241,10,0),"")</f>
        <v/>
      </c>
    </row>
    <row r="448" spans="2:9" x14ac:dyDescent="0.15">
      <c r="B448" s="17" t="str">
        <f>IFERROR(VLOOKUP(E448,'(新)ﾍﾞﾝﾀﾞｰ小型'!$A$3:$K$241,2,0), "")</f>
        <v/>
      </c>
      <c r="C448" s="17" t="str">
        <f>IFERROR(VLOOKUP(E448,'(新)ﾍﾞﾝﾀﾞｰ小型'!$A$3:$K$241,4,0), "")</f>
        <v/>
      </c>
      <c r="D448" s="17" t="str">
        <f>IFERROR(VLOOKUP(E448,'(新)ﾍﾞﾝﾀﾞｰ小型'!$A$3:$K$241,5,0), "")</f>
        <v/>
      </c>
      <c r="E448" s="14"/>
      <c r="F448" s="18" t="str">
        <f>IFERROR(VLOOKUP(E448,'(新)ﾍﾞﾝﾀﾞｰ小型'!$A$3:$K$241,8,0), "")</f>
        <v/>
      </c>
      <c r="G448" s="7" t="str">
        <f>IFERROR(VLOOKUP(E448,'(旧)ﾍﾞﾝﾀﾞｰ小型'!$A$3:$K$310,10,0),"")</f>
        <v/>
      </c>
      <c r="H448" s="12" t="s">
        <v>60</v>
      </c>
      <c r="I448" s="17" t="str">
        <f>IFERROR(VLOOKUP(E448,'(新)ﾍﾞﾝﾀﾞｰ小型'!$A$3:$K$241,10,0),"")</f>
        <v/>
      </c>
    </row>
    <row r="449" spans="2:9" x14ac:dyDescent="0.15">
      <c r="B449" s="17" t="str">
        <f>IFERROR(VLOOKUP(E449,'(新)ﾍﾞﾝﾀﾞｰ小型'!$A$3:$K$241,2,0), "")</f>
        <v/>
      </c>
      <c r="C449" s="17" t="str">
        <f>IFERROR(VLOOKUP(E449,'(新)ﾍﾞﾝﾀﾞｰ小型'!$A$3:$K$241,4,0), "")</f>
        <v/>
      </c>
      <c r="D449" s="17" t="str">
        <f>IFERROR(VLOOKUP(E449,'(新)ﾍﾞﾝﾀﾞｰ小型'!$A$3:$K$241,5,0), "")</f>
        <v/>
      </c>
      <c r="E449" s="14"/>
      <c r="F449" s="18" t="str">
        <f>IFERROR(VLOOKUP(E449,'(新)ﾍﾞﾝﾀﾞｰ小型'!$A$3:$K$241,8,0), "")</f>
        <v/>
      </c>
      <c r="G449" s="7" t="str">
        <f>IFERROR(VLOOKUP(E449,'(旧)ﾍﾞﾝﾀﾞｰ小型'!$A$3:$K$310,10,0),"")</f>
        <v/>
      </c>
      <c r="H449" s="12" t="s">
        <v>60</v>
      </c>
      <c r="I449" s="17" t="str">
        <f>IFERROR(VLOOKUP(E449,'(新)ﾍﾞﾝﾀﾞｰ小型'!$A$3:$K$241,10,0),"")</f>
        <v/>
      </c>
    </row>
    <row r="450" spans="2:9" x14ac:dyDescent="0.15">
      <c r="B450" s="17" t="str">
        <f>IFERROR(VLOOKUP(E450,'(新)ﾍﾞﾝﾀﾞｰ小型'!$A$3:$K$241,2,0), "")</f>
        <v/>
      </c>
      <c r="C450" s="17" t="str">
        <f>IFERROR(VLOOKUP(E450,'(新)ﾍﾞﾝﾀﾞｰ小型'!$A$3:$K$241,4,0), "")</f>
        <v/>
      </c>
      <c r="D450" s="17" t="str">
        <f>IFERROR(VLOOKUP(E450,'(新)ﾍﾞﾝﾀﾞｰ小型'!$A$3:$K$241,5,0), "")</f>
        <v/>
      </c>
      <c r="E450" s="14"/>
      <c r="F450" s="18" t="str">
        <f>IFERROR(VLOOKUP(E450,'(新)ﾍﾞﾝﾀﾞｰ小型'!$A$3:$K$241,8,0), "")</f>
        <v/>
      </c>
      <c r="G450" s="7" t="str">
        <f>IFERROR(VLOOKUP(E450,'(旧)ﾍﾞﾝﾀﾞｰ小型'!$A$3:$K$310,10,0),"")</f>
        <v/>
      </c>
      <c r="H450" s="12" t="s">
        <v>60</v>
      </c>
      <c r="I450" s="17" t="str">
        <f>IFERROR(VLOOKUP(E450,'(新)ﾍﾞﾝﾀﾞｰ小型'!$A$3:$K$241,10,0),"")</f>
        <v/>
      </c>
    </row>
    <row r="451" spans="2:9" x14ac:dyDescent="0.15">
      <c r="B451" s="17" t="str">
        <f>IFERROR(VLOOKUP(E451,'(新)ﾍﾞﾝﾀﾞｰ小型'!$A$3:$K$241,2,0), "")</f>
        <v/>
      </c>
      <c r="C451" s="17" t="str">
        <f>IFERROR(VLOOKUP(E451,'(新)ﾍﾞﾝﾀﾞｰ小型'!$A$3:$K$241,4,0), "")</f>
        <v/>
      </c>
      <c r="D451" s="17" t="str">
        <f>IFERROR(VLOOKUP(E451,'(新)ﾍﾞﾝﾀﾞｰ小型'!$A$3:$K$241,5,0), "")</f>
        <v/>
      </c>
      <c r="E451" s="14"/>
      <c r="F451" s="18" t="str">
        <f>IFERROR(VLOOKUP(E451,'(新)ﾍﾞﾝﾀﾞｰ小型'!$A$3:$K$241,8,0), "")</f>
        <v/>
      </c>
      <c r="G451" s="7" t="str">
        <f>IFERROR(VLOOKUP(E451,'(旧)ﾍﾞﾝﾀﾞｰ小型'!$A$3:$K$310,10,0),"")</f>
        <v/>
      </c>
      <c r="H451" s="12" t="s">
        <v>60</v>
      </c>
      <c r="I451" s="17" t="str">
        <f>IFERROR(VLOOKUP(E451,'(新)ﾍﾞﾝﾀﾞｰ小型'!$A$3:$K$241,10,0),"")</f>
        <v/>
      </c>
    </row>
    <row r="452" spans="2:9" x14ac:dyDescent="0.15">
      <c r="B452" s="17" t="str">
        <f>IFERROR(VLOOKUP(E452,'(新)ﾍﾞﾝﾀﾞｰ小型'!$A$3:$K$241,2,0), "")</f>
        <v/>
      </c>
      <c r="C452" s="17" t="str">
        <f>IFERROR(VLOOKUP(E452,'(新)ﾍﾞﾝﾀﾞｰ小型'!$A$3:$K$241,4,0), "")</f>
        <v/>
      </c>
      <c r="D452" s="17" t="str">
        <f>IFERROR(VLOOKUP(E452,'(新)ﾍﾞﾝﾀﾞｰ小型'!$A$3:$K$241,5,0), "")</f>
        <v/>
      </c>
      <c r="E452" s="14"/>
      <c r="F452" s="18" t="str">
        <f>IFERROR(VLOOKUP(E452,'(新)ﾍﾞﾝﾀﾞｰ小型'!$A$3:$K$241,8,0), "")</f>
        <v/>
      </c>
      <c r="G452" s="7" t="str">
        <f>IFERROR(VLOOKUP(E452,'(旧)ﾍﾞﾝﾀﾞｰ小型'!$A$3:$K$310,10,0),"")</f>
        <v/>
      </c>
      <c r="H452" s="12" t="s">
        <v>60</v>
      </c>
      <c r="I452" s="17" t="str">
        <f>IFERROR(VLOOKUP(E452,'(新)ﾍﾞﾝﾀﾞｰ小型'!$A$3:$K$241,10,0),"")</f>
        <v/>
      </c>
    </row>
    <row r="453" spans="2:9" x14ac:dyDescent="0.15">
      <c r="B453" s="17" t="str">
        <f>IFERROR(VLOOKUP(E453,'(新)ﾍﾞﾝﾀﾞｰ小型'!$A$3:$K$241,2,0), "")</f>
        <v/>
      </c>
      <c r="C453" s="17" t="str">
        <f>IFERROR(VLOOKUP(E453,'(新)ﾍﾞﾝﾀﾞｰ小型'!$A$3:$K$241,4,0), "")</f>
        <v/>
      </c>
      <c r="D453" s="17" t="str">
        <f>IFERROR(VLOOKUP(E453,'(新)ﾍﾞﾝﾀﾞｰ小型'!$A$3:$K$241,5,0), "")</f>
        <v/>
      </c>
      <c r="E453" s="14"/>
      <c r="F453" s="18" t="str">
        <f>IFERROR(VLOOKUP(E453,'(新)ﾍﾞﾝﾀﾞｰ小型'!$A$3:$K$241,8,0), "")</f>
        <v/>
      </c>
      <c r="G453" s="7" t="str">
        <f>IFERROR(VLOOKUP(E453,'(旧)ﾍﾞﾝﾀﾞｰ小型'!$A$3:$K$310,10,0),"")</f>
        <v/>
      </c>
      <c r="H453" s="12" t="s">
        <v>60</v>
      </c>
      <c r="I453" s="17" t="str">
        <f>IFERROR(VLOOKUP(E453,'(新)ﾍﾞﾝﾀﾞｰ小型'!$A$3:$K$241,10,0),"")</f>
        <v/>
      </c>
    </row>
    <row r="454" spans="2:9" x14ac:dyDescent="0.15">
      <c r="B454" s="17" t="str">
        <f>IFERROR(VLOOKUP(E454,'(新)ﾍﾞﾝﾀﾞｰ小型'!$A$3:$K$241,2,0), "")</f>
        <v/>
      </c>
      <c r="C454" s="17" t="str">
        <f>IFERROR(VLOOKUP(E454,'(新)ﾍﾞﾝﾀﾞｰ小型'!$A$3:$K$241,4,0), "")</f>
        <v/>
      </c>
      <c r="D454" s="17" t="str">
        <f>IFERROR(VLOOKUP(E454,'(新)ﾍﾞﾝﾀﾞｰ小型'!$A$3:$K$241,5,0), "")</f>
        <v/>
      </c>
      <c r="E454" s="14"/>
      <c r="F454" s="18" t="str">
        <f>IFERROR(VLOOKUP(E454,'(新)ﾍﾞﾝﾀﾞｰ小型'!$A$3:$K$241,8,0), "")</f>
        <v/>
      </c>
      <c r="G454" s="7" t="str">
        <f>IFERROR(VLOOKUP(E454,'(旧)ﾍﾞﾝﾀﾞｰ小型'!$A$3:$K$310,10,0),"")</f>
        <v/>
      </c>
      <c r="H454" s="12" t="s">
        <v>60</v>
      </c>
      <c r="I454" s="17" t="str">
        <f>IFERROR(VLOOKUP(E454,'(新)ﾍﾞﾝﾀﾞｰ小型'!$A$3:$K$241,10,0),"")</f>
        <v/>
      </c>
    </row>
    <row r="455" spans="2:9" x14ac:dyDescent="0.15">
      <c r="B455" s="17" t="str">
        <f>IFERROR(VLOOKUP(E455,'(新)ﾍﾞﾝﾀﾞｰ小型'!$A$3:$K$241,2,0), "")</f>
        <v/>
      </c>
      <c r="C455" s="17" t="str">
        <f>IFERROR(VLOOKUP(E455,'(新)ﾍﾞﾝﾀﾞｰ小型'!$A$3:$K$241,4,0), "")</f>
        <v/>
      </c>
      <c r="D455" s="17" t="str">
        <f>IFERROR(VLOOKUP(E455,'(新)ﾍﾞﾝﾀﾞｰ小型'!$A$3:$K$241,5,0), "")</f>
        <v/>
      </c>
      <c r="E455" s="14"/>
      <c r="F455" s="18" t="str">
        <f>IFERROR(VLOOKUP(E455,'(新)ﾍﾞﾝﾀﾞｰ小型'!$A$3:$K$241,8,0), "")</f>
        <v/>
      </c>
      <c r="G455" s="7" t="str">
        <f>IFERROR(VLOOKUP(E455,'(旧)ﾍﾞﾝﾀﾞｰ小型'!$A$3:$K$310,10,0),"")</f>
        <v/>
      </c>
      <c r="H455" s="12" t="s">
        <v>60</v>
      </c>
      <c r="I455" s="17" t="str">
        <f>IFERROR(VLOOKUP(E455,'(新)ﾍﾞﾝﾀﾞｰ小型'!$A$3:$K$241,10,0),"")</f>
        <v/>
      </c>
    </row>
    <row r="456" spans="2:9" x14ac:dyDescent="0.15">
      <c r="B456" s="17" t="str">
        <f>IFERROR(VLOOKUP(E456,'(新)ﾍﾞﾝﾀﾞｰ小型'!$A$3:$K$241,2,0), "")</f>
        <v/>
      </c>
      <c r="C456" s="17" t="str">
        <f>IFERROR(VLOOKUP(E456,'(新)ﾍﾞﾝﾀﾞｰ小型'!$A$3:$K$241,4,0), "")</f>
        <v/>
      </c>
      <c r="D456" s="17" t="str">
        <f>IFERROR(VLOOKUP(E456,'(新)ﾍﾞﾝﾀﾞｰ小型'!$A$3:$K$241,5,0), "")</f>
        <v/>
      </c>
      <c r="E456" s="14"/>
      <c r="F456" s="18" t="str">
        <f>IFERROR(VLOOKUP(E456,'(新)ﾍﾞﾝﾀﾞｰ小型'!$A$3:$K$241,8,0), "")</f>
        <v/>
      </c>
      <c r="G456" s="7" t="str">
        <f>IFERROR(VLOOKUP(E456,'(旧)ﾍﾞﾝﾀﾞｰ小型'!$A$3:$K$310,10,0),"")</f>
        <v/>
      </c>
      <c r="H456" s="12" t="s">
        <v>60</v>
      </c>
      <c r="I456" s="17" t="str">
        <f>IFERROR(VLOOKUP(E456,'(新)ﾍﾞﾝﾀﾞｰ小型'!$A$3:$K$241,10,0),"")</f>
        <v/>
      </c>
    </row>
    <row r="457" spans="2:9" x14ac:dyDescent="0.15">
      <c r="B457" s="17" t="str">
        <f>IFERROR(VLOOKUP(E457,'(新)ﾍﾞﾝﾀﾞｰ小型'!$A$3:$K$241,2,0), "")</f>
        <v/>
      </c>
      <c r="C457" s="17" t="str">
        <f>IFERROR(VLOOKUP(E457,'(新)ﾍﾞﾝﾀﾞｰ小型'!$A$3:$K$241,4,0), "")</f>
        <v/>
      </c>
      <c r="D457" s="17" t="str">
        <f>IFERROR(VLOOKUP(E457,'(新)ﾍﾞﾝﾀﾞｰ小型'!$A$3:$K$241,5,0), "")</f>
        <v/>
      </c>
      <c r="E457" s="14"/>
      <c r="F457" s="18" t="str">
        <f>IFERROR(VLOOKUP(E457,'(新)ﾍﾞﾝﾀﾞｰ小型'!$A$3:$K$241,8,0), "")</f>
        <v/>
      </c>
      <c r="G457" s="7" t="str">
        <f>IFERROR(VLOOKUP(E457,'(旧)ﾍﾞﾝﾀﾞｰ小型'!$A$3:$K$310,10,0),"")</f>
        <v/>
      </c>
      <c r="H457" s="12" t="s">
        <v>60</v>
      </c>
      <c r="I457" s="17" t="str">
        <f>IFERROR(VLOOKUP(E457,'(新)ﾍﾞﾝﾀﾞｰ小型'!$A$3:$K$241,10,0),"")</f>
        <v/>
      </c>
    </row>
    <row r="458" spans="2:9" x14ac:dyDescent="0.15">
      <c r="B458" s="17" t="str">
        <f>IFERROR(VLOOKUP(E458,'(新)ﾍﾞﾝﾀﾞｰ小型'!$A$3:$K$241,2,0), "")</f>
        <v/>
      </c>
      <c r="C458" s="17" t="str">
        <f>IFERROR(VLOOKUP(E458,'(新)ﾍﾞﾝﾀﾞｰ小型'!$A$3:$K$241,4,0), "")</f>
        <v/>
      </c>
      <c r="D458" s="17" t="str">
        <f>IFERROR(VLOOKUP(E458,'(新)ﾍﾞﾝﾀﾞｰ小型'!$A$3:$K$241,5,0), "")</f>
        <v/>
      </c>
      <c r="E458" s="14"/>
      <c r="F458" s="18" t="str">
        <f>IFERROR(VLOOKUP(E458,'(新)ﾍﾞﾝﾀﾞｰ小型'!$A$3:$K$241,8,0), "")</f>
        <v/>
      </c>
      <c r="G458" s="7" t="str">
        <f>IFERROR(VLOOKUP(E458,'(旧)ﾍﾞﾝﾀﾞｰ小型'!$A$3:$K$310,10,0),"")</f>
        <v/>
      </c>
      <c r="H458" s="12" t="s">
        <v>60</v>
      </c>
      <c r="I458" s="17" t="str">
        <f>IFERROR(VLOOKUP(E458,'(新)ﾍﾞﾝﾀﾞｰ小型'!$A$3:$K$241,10,0),"")</f>
        <v/>
      </c>
    </row>
    <row r="459" spans="2:9" x14ac:dyDescent="0.15">
      <c r="B459" s="17" t="str">
        <f>IFERROR(VLOOKUP(E459,'(新)ﾍﾞﾝﾀﾞｰ小型'!$A$3:$K$241,2,0), "")</f>
        <v/>
      </c>
      <c r="C459" s="17" t="str">
        <f>IFERROR(VLOOKUP(E459,'(新)ﾍﾞﾝﾀﾞｰ小型'!$A$3:$K$241,4,0), "")</f>
        <v/>
      </c>
      <c r="D459" s="17" t="str">
        <f>IFERROR(VLOOKUP(E459,'(新)ﾍﾞﾝﾀﾞｰ小型'!$A$3:$K$241,5,0), "")</f>
        <v/>
      </c>
      <c r="E459" s="14"/>
      <c r="F459" s="18" t="str">
        <f>IFERROR(VLOOKUP(E459,'(新)ﾍﾞﾝﾀﾞｰ小型'!$A$3:$K$241,8,0), "")</f>
        <v/>
      </c>
      <c r="G459" s="7" t="str">
        <f>IFERROR(VLOOKUP(E459,'(旧)ﾍﾞﾝﾀﾞｰ小型'!$A$3:$K$310,10,0),"")</f>
        <v/>
      </c>
      <c r="H459" s="12" t="s">
        <v>60</v>
      </c>
      <c r="I459" s="17" t="str">
        <f>IFERROR(VLOOKUP(E459,'(新)ﾍﾞﾝﾀﾞｰ小型'!$A$3:$K$241,10,0),"")</f>
        <v/>
      </c>
    </row>
    <row r="460" spans="2:9" x14ac:dyDescent="0.15">
      <c r="B460" s="17" t="str">
        <f>IFERROR(VLOOKUP(E460,'(新)ﾍﾞﾝﾀﾞｰ小型'!$A$3:$K$241,2,0), "")</f>
        <v/>
      </c>
      <c r="C460" s="17" t="str">
        <f>IFERROR(VLOOKUP(E460,'(新)ﾍﾞﾝﾀﾞｰ小型'!$A$3:$K$241,4,0), "")</f>
        <v/>
      </c>
      <c r="D460" s="17" t="str">
        <f>IFERROR(VLOOKUP(E460,'(新)ﾍﾞﾝﾀﾞｰ小型'!$A$3:$K$241,5,0), "")</f>
        <v/>
      </c>
      <c r="E460" s="14"/>
      <c r="F460" s="18" t="str">
        <f>IFERROR(VLOOKUP(E460,'(新)ﾍﾞﾝﾀﾞｰ小型'!$A$3:$K$241,8,0), "")</f>
        <v/>
      </c>
      <c r="G460" s="7" t="str">
        <f>IFERROR(VLOOKUP(E460,'(旧)ﾍﾞﾝﾀﾞｰ小型'!$A$3:$K$310,10,0),"")</f>
        <v/>
      </c>
      <c r="H460" s="12" t="s">
        <v>60</v>
      </c>
      <c r="I460" s="17" t="str">
        <f>IFERROR(VLOOKUP(E460,'(新)ﾍﾞﾝﾀﾞｰ小型'!$A$3:$K$241,10,0),"")</f>
        <v/>
      </c>
    </row>
    <row r="461" spans="2:9" x14ac:dyDescent="0.15">
      <c r="B461" s="17" t="str">
        <f>IFERROR(VLOOKUP(E461,'(新)ﾍﾞﾝﾀﾞｰ小型'!$A$3:$K$241,2,0), "")</f>
        <v/>
      </c>
      <c r="C461" s="17" t="str">
        <f>IFERROR(VLOOKUP(E461,'(新)ﾍﾞﾝﾀﾞｰ小型'!$A$3:$K$241,4,0), "")</f>
        <v/>
      </c>
      <c r="D461" s="17" t="str">
        <f>IFERROR(VLOOKUP(E461,'(新)ﾍﾞﾝﾀﾞｰ小型'!$A$3:$K$241,5,0), "")</f>
        <v/>
      </c>
      <c r="E461" s="14"/>
      <c r="F461" s="18" t="str">
        <f>IFERROR(VLOOKUP(E461,'(新)ﾍﾞﾝﾀﾞｰ小型'!$A$3:$K$241,8,0), "")</f>
        <v/>
      </c>
      <c r="G461" s="7" t="str">
        <f>IFERROR(VLOOKUP(E461,'(旧)ﾍﾞﾝﾀﾞｰ小型'!$A$3:$K$310,10,0),"")</f>
        <v/>
      </c>
      <c r="H461" s="12" t="s">
        <v>60</v>
      </c>
      <c r="I461" s="17" t="str">
        <f>IFERROR(VLOOKUP(E461,'(新)ﾍﾞﾝﾀﾞｰ小型'!$A$3:$K$241,10,0),"")</f>
        <v/>
      </c>
    </row>
    <row r="462" spans="2:9" x14ac:dyDescent="0.15">
      <c r="B462" s="17" t="str">
        <f>IFERROR(VLOOKUP(E462,'(新)ﾍﾞﾝﾀﾞｰ小型'!$A$3:$K$241,2,0), "")</f>
        <v/>
      </c>
      <c r="C462" s="17" t="str">
        <f>IFERROR(VLOOKUP(E462,'(新)ﾍﾞﾝﾀﾞｰ小型'!$A$3:$K$241,4,0), "")</f>
        <v/>
      </c>
      <c r="D462" s="17" t="str">
        <f>IFERROR(VLOOKUP(E462,'(新)ﾍﾞﾝﾀﾞｰ小型'!$A$3:$K$241,5,0), "")</f>
        <v/>
      </c>
      <c r="E462" s="14"/>
      <c r="F462" s="18" t="str">
        <f>IFERROR(VLOOKUP(E462,'(新)ﾍﾞﾝﾀﾞｰ小型'!$A$3:$K$241,8,0), "")</f>
        <v/>
      </c>
      <c r="G462" s="7" t="str">
        <f>IFERROR(VLOOKUP(E462,'(旧)ﾍﾞﾝﾀﾞｰ小型'!$A$3:$K$310,10,0),"")</f>
        <v/>
      </c>
      <c r="H462" s="12" t="s">
        <v>60</v>
      </c>
      <c r="I462" s="17" t="str">
        <f>IFERROR(VLOOKUP(E462,'(新)ﾍﾞﾝﾀﾞｰ小型'!$A$3:$K$241,10,0),"")</f>
        <v/>
      </c>
    </row>
    <row r="463" spans="2:9" x14ac:dyDescent="0.15">
      <c r="B463" s="17" t="str">
        <f>IFERROR(VLOOKUP(E463,'(新)ﾍﾞﾝﾀﾞｰ小型'!$A$3:$K$241,2,0), "")</f>
        <v/>
      </c>
      <c r="C463" s="17" t="str">
        <f>IFERROR(VLOOKUP(E463,'(新)ﾍﾞﾝﾀﾞｰ小型'!$A$3:$K$241,4,0), "")</f>
        <v/>
      </c>
      <c r="D463" s="17" t="str">
        <f>IFERROR(VLOOKUP(E463,'(新)ﾍﾞﾝﾀﾞｰ小型'!$A$3:$K$241,5,0), "")</f>
        <v/>
      </c>
      <c r="E463" s="14"/>
      <c r="F463" s="18" t="str">
        <f>IFERROR(VLOOKUP(E463,'(新)ﾍﾞﾝﾀﾞｰ小型'!$A$3:$K$241,8,0), "")</f>
        <v/>
      </c>
      <c r="G463" s="7" t="str">
        <f>IFERROR(VLOOKUP(E463,'(旧)ﾍﾞﾝﾀﾞｰ小型'!$A$3:$K$310,10,0),"")</f>
        <v/>
      </c>
      <c r="H463" s="12" t="s">
        <v>60</v>
      </c>
      <c r="I463" s="17" t="str">
        <f>IFERROR(VLOOKUP(E463,'(新)ﾍﾞﾝﾀﾞｰ小型'!$A$3:$K$241,10,0),"")</f>
        <v/>
      </c>
    </row>
    <row r="464" spans="2:9" x14ac:dyDescent="0.15">
      <c r="B464" s="17" t="str">
        <f>IFERROR(VLOOKUP(E464,'(新)ﾍﾞﾝﾀﾞｰ小型'!$A$3:$K$241,2,0), "")</f>
        <v/>
      </c>
      <c r="C464" s="17" t="str">
        <f>IFERROR(VLOOKUP(E464,'(新)ﾍﾞﾝﾀﾞｰ小型'!$A$3:$K$241,4,0), "")</f>
        <v/>
      </c>
      <c r="D464" s="17" t="str">
        <f>IFERROR(VLOOKUP(E464,'(新)ﾍﾞﾝﾀﾞｰ小型'!$A$3:$K$241,5,0), "")</f>
        <v/>
      </c>
      <c r="E464" s="14"/>
      <c r="F464" s="18" t="str">
        <f>IFERROR(VLOOKUP(E464,'(新)ﾍﾞﾝﾀﾞｰ小型'!$A$3:$K$241,8,0), "")</f>
        <v/>
      </c>
      <c r="G464" s="7" t="str">
        <f>IFERROR(VLOOKUP(E464,'(旧)ﾍﾞﾝﾀﾞｰ小型'!$A$3:$K$310,10,0),"")</f>
        <v/>
      </c>
      <c r="H464" s="12" t="s">
        <v>60</v>
      </c>
      <c r="I464" s="17" t="str">
        <f>IFERROR(VLOOKUP(E464,'(新)ﾍﾞﾝﾀﾞｰ小型'!$A$3:$K$241,10,0),"")</f>
        <v/>
      </c>
    </row>
    <row r="465" spans="2:9" x14ac:dyDescent="0.15">
      <c r="B465" s="17" t="str">
        <f>IFERROR(VLOOKUP(E465,'(新)ﾍﾞﾝﾀﾞｰ小型'!$A$3:$K$241,2,0), "")</f>
        <v/>
      </c>
      <c r="C465" s="17" t="str">
        <f>IFERROR(VLOOKUP(E465,'(新)ﾍﾞﾝﾀﾞｰ小型'!$A$3:$K$241,4,0), "")</f>
        <v/>
      </c>
      <c r="D465" s="17" t="str">
        <f>IFERROR(VLOOKUP(E465,'(新)ﾍﾞﾝﾀﾞｰ小型'!$A$3:$K$241,5,0), "")</f>
        <v/>
      </c>
      <c r="E465" s="14"/>
      <c r="F465" s="18" t="str">
        <f>IFERROR(VLOOKUP(E465,'(新)ﾍﾞﾝﾀﾞｰ小型'!$A$3:$K$241,8,0), "")</f>
        <v/>
      </c>
      <c r="G465" s="7" t="str">
        <f>IFERROR(VLOOKUP(E465,'(旧)ﾍﾞﾝﾀﾞｰ小型'!$A$3:$K$310,10,0),"")</f>
        <v/>
      </c>
      <c r="H465" s="12" t="s">
        <v>60</v>
      </c>
      <c r="I465" s="17" t="str">
        <f>IFERROR(VLOOKUP(E465,'(新)ﾍﾞﾝﾀﾞｰ小型'!$A$3:$K$241,10,0),"")</f>
        <v/>
      </c>
    </row>
    <row r="466" spans="2:9" x14ac:dyDescent="0.15">
      <c r="B466" s="17" t="str">
        <f>IFERROR(VLOOKUP(E466,'(新)ﾍﾞﾝﾀﾞｰ小型'!$A$3:$K$241,2,0), "")</f>
        <v/>
      </c>
      <c r="C466" s="17" t="str">
        <f>IFERROR(VLOOKUP(E466,'(新)ﾍﾞﾝﾀﾞｰ小型'!$A$3:$K$241,4,0), "")</f>
        <v/>
      </c>
      <c r="D466" s="17" t="str">
        <f>IFERROR(VLOOKUP(E466,'(新)ﾍﾞﾝﾀﾞｰ小型'!$A$3:$K$241,5,0), "")</f>
        <v/>
      </c>
      <c r="E466" s="14"/>
      <c r="F466" s="18" t="str">
        <f>IFERROR(VLOOKUP(E466,'(新)ﾍﾞﾝﾀﾞｰ小型'!$A$3:$K$241,8,0), "")</f>
        <v/>
      </c>
      <c r="G466" s="7" t="str">
        <f>IFERROR(VLOOKUP(E466,'(旧)ﾍﾞﾝﾀﾞｰ小型'!$A$3:$K$310,10,0),"")</f>
        <v/>
      </c>
      <c r="H466" s="12" t="s">
        <v>60</v>
      </c>
      <c r="I466" s="17" t="str">
        <f>IFERROR(VLOOKUP(E466,'(新)ﾍﾞﾝﾀﾞｰ小型'!$A$3:$K$241,10,0),"")</f>
        <v/>
      </c>
    </row>
    <row r="467" spans="2:9" x14ac:dyDescent="0.15">
      <c r="B467" s="17" t="str">
        <f>IFERROR(VLOOKUP(E467,'(新)ﾍﾞﾝﾀﾞｰ小型'!$A$3:$K$241,2,0), "")</f>
        <v/>
      </c>
      <c r="C467" s="17" t="str">
        <f>IFERROR(VLOOKUP(E467,'(新)ﾍﾞﾝﾀﾞｰ小型'!$A$3:$K$241,4,0), "")</f>
        <v/>
      </c>
      <c r="D467" s="17" t="str">
        <f>IFERROR(VLOOKUP(E467,'(新)ﾍﾞﾝﾀﾞｰ小型'!$A$3:$K$241,5,0), "")</f>
        <v/>
      </c>
      <c r="E467" s="14"/>
      <c r="F467" s="18" t="str">
        <f>IFERROR(VLOOKUP(E467,'(新)ﾍﾞﾝﾀﾞｰ小型'!$A$3:$K$241,8,0), "")</f>
        <v/>
      </c>
      <c r="G467" s="7" t="str">
        <f>IFERROR(VLOOKUP(E467,'(旧)ﾍﾞﾝﾀﾞｰ小型'!$A$3:$K$310,10,0),"")</f>
        <v/>
      </c>
      <c r="H467" s="12" t="s">
        <v>60</v>
      </c>
      <c r="I467" s="17" t="str">
        <f>IFERROR(VLOOKUP(E467,'(新)ﾍﾞﾝﾀﾞｰ小型'!$A$3:$K$241,10,0),"")</f>
        <v/>
      </c>
    </row>
    <row r="468" spans="2:9" x14ac:dyDescent="0.15">
      <c r="B468" s="17" t="str">
        <f>IFERROR(VLOOKUP(E468,'(新)ﾍﾞﾝﾀﾞｰ小型'!$A$3:$K$241,2,0), "")</f>
        <v/>
      </c>
      <c r="C468" s="17" t="str">
        <f>IFERROR(VLOOKUP(E468,'(新)ﾍﾞﾝﾀﾞｰ小型'!$A$3:$K$241,4,0), "")</f>
        <v/>
      </c>
      <c r="D468" s="17" t="str">
        <f>IFERROR(VLOOKUP(E468,'(新)ﾍﾞﾝﾀﾞｰ小型'!$A$3:$K$241,5,0), "")</f>
        <v/>
      </c>
      <c r="E468" s="14"/>
      <c r="F468" s="18" t="str">
        <f>IFERROR(VLOOKUP(E468,'(新)ﾍﾞﾝﾀﾞｰ小型'!$A$3:$K$241,8,0), "")</f>
        <v/>
      </c>
      <c r="G468" s="7" t="str">
        <f>IFERROR(VLOOKUP(E468,'(旧)ﾍﾞﾝﾀﾞｰ小型'!$A$3:$K$310,10,0),"")</f>
        <v/>
      </c>
      <c r="H468" s="12" t="s">
        <v>60</v>
      </c>
      <c r="I468" s="17" t="str">
        <f>IFERROR(VLOOKUP(E468,'(新)ﾍﾞﾝﾀﾞｰ小型'!$A$3:$K$241,10,0),"")</f>
        <v/>
      </c>
    </row>
    <row r="469" spans="2:9" x14ac:dyDescent="0.15">
      <c r="B469" s="17" t="str">
        <f>IFERROR(VLOOKUP(E469,'(新)ﾍﾞﾝﾀﾞｰ小型'!$A$3:$K$241,2,0), "")</f>
        <v/>
      </c>
      <c r="C469" s="17" t="str">
        <f>IFERROR(VLOOKUP(E469,'(新)ﾍﾞﾝﾀﾞｰ小型'!$A$3:$K$241,4,0), "")</f>
        <v/>
      </c>
      <c r="D469" s="17" t="str">
        <f>IFERROR(VLOOKUP(E469,'(新)ﾍﾞﾝﾀﾞｰ小型'!$A$3:$K$241,5,0), "")</f>
        <v/>
      </c>
      <c r="E469" s="14"/>
      <c r="F469" s="18" t="str">
        <f>IFERROR(VLOOKUP(E469,'(新)ﾍﾞﾝﾀﾞｰ小型'!$A$3:$K$241,8,0), "")</f>
        <v/>
      </c>
      <c r="G469" s="7" t="str">
        <f>IFERROR(VLOOKUP(E469,'(旧)ﾍﾞﾝﾀﾞｰ小型'!$A$3:$K$310,10,0),"")</f>
        <v/>
      </c>
      <c r="H469" s="12" t="s">
        <v>60</v>
      </c>
      <c r="I469" s="17" t="str">
        <f>IFERROR(VLOOKUP(E469,'(新)ﾍﾞﾝﾀﾞｰ小型'!$A$3:$K$241,10,0),"")</f>
        <v/>
      </c>
    </row>
    <row r="470" spans="2:9" x14ac:dyDescent="0.15">
      <c r="B470" s="17" t="str">
        <f>IFERROR(VLOOKUP(E470,'(新)ﾍﾞﾝﾀﾞｰ小型'!$A$3:$K$241,2,0), "")</f>
        <v/>
      </c>
      <c r="C470" s="17" t="str">
        <f>IFERROR(VLOOKUP(E470,'(新)ﾍﾞﾝﾀﾞｰ小型'!$A$3:$K$241,4,0), "")</f>
        <v/>
      </c>
      <c r="D470" s="17" t="str">
        <f>IFERROR(VLOOKUP(E470,'(新)ﾍﾞﾝﾀﾞｰ小型'!$A$3:$K$241,5,0), "")</f>
        <v/>
      </c>
      <c r="E470" s="14"/>
      <c r="F470" s="18" t="str">
        <f>IFERROR(VLOOKUP(E470,'(新)ﾍﾞﾝﾀﾞｰ小型'!$A$3:$K$241,8,0), "")</f>
        <v/>
      </c>
      <c r="G470" s="7" t="str">
        <f>IFERROR(VLOOKUP(E470,'(旧)ﾍﾞﾝﾀﾞｰ小型'!$A$3:$K$310,10,0),"")</f>
        <v/>
      </c>
      <c r="H470" s="12" t="s">
        <v>60</v>
      </c>
      <c r="I470" s="17" t="str">
        <f>IFERROR(VLOOKUP(E470,'(新)ﾍﾞﾝﾀﾞｰ小型'!$A$3:$K$241,10,0),"")</f>
        <v/>
      </c>
    </row>
    <row r="471" spans="2:9" x14ac:dyDescent="0.15">
      <c r="B471" s="17" t="str">
        <f>IFERROR(VLOOKUP(E471,'(新)ﾍﾞﾝﾀﾞｰ小型'!$A$3:$K$241,2,0), "")</f>
        <v/>
      </c>
      <c r="C471" s="17" t="str">
        <f>IFERROR(VLOOKUP(E471,'(新)ﾍﾞﾝﾀﾞｰ小型'!$A$3:$K$241,4,0), "")</f>
        <v/>
      </c>
      <c r="D471" s="17" t="str">
        <f>IFERROR(VLOOKUP(E471,'(新)ﾍﾞﾝﾀﾞｰ小型'!$A$3:$K$241,5,0), "")</f>
        <v/>
      </c>
      <c r="E471" s="14"/>
      <c r="F471" s="18" t="str">
        <f>IFERROR(VLOOKUP(E471,'(新)ﾍﾞﾝﾀﾞｰ小型'!$A$3:$K$241,8,0), "")</f>
        <v/>
      </c>
      <c r="G471" s="7" t="str">
        <f>IFERROR(VLOOKUP(E471,'(旧)ﾍﾞﾝﾀﾞｰ小型'!$A$3:$K$310,10,0),"")</f>
        <v/>
      </c>
      <c r="H471" s="12" t="s">
        <v>60</v>
      </c>
      <c r="I471" s="17" t="str">
        <f>IFERROR(VLOOKUP(E471,'(新)ﾍﾞﾝﾀﾞｰ小型'!$A$3:$K$241,10,0),"")</f>
        <v/>
      </c>
    </row>
    <row r="472" spans="2:9" x14ac:dyDescent="0.15">
      <c r="B472" s="17" t="str">
        <f>IFERROR(VLOOKUP(E472,'(新)ﾍﾞﾝﾀﾞｰ小型'!$A$3:$K$241,2,0), "")</f>
        <v/>
      </c>
      <c r="C472" s="17" t="str">
        <f>IFERROR(VLOOKUP(E472,'(新)ﾍﾞﾝﾀﾞｰ小型'!$A$3:$K$241,4,0), "")</f>
        <v/>
      </c>
      <c r="D472" s="17" t="str">
        <f>IFERROR(VLOOKUP(E472,'(新)ﾍﾞﾝﾀﾞｰ小型'!$A$3:$K$241,5,0), "")</f>
        <v/>
      </c>
      <c r="E472" s="14"/>
      <c r="F472" s="18" t="str">
        <f>IFERROR(VLOOKUP(E472,'(新)ﾍﾞﾝﾀﾞｰ小型'!$A$3:$K$241,8,0), "")</f>
        <v/>
      </c>
      <c r="G472" s="7" t="str">
        <f>IFERROR(VLOOKUP(E472,'(旧)ﾍﾞﾝﾀﾞｰ小型'!$A$3:$K$310,10,0),"")</f>
        <v/>
      </c>
      <c r="H472" s="12" t="s">
        <v>60</v>
      </c>
      <c r="I472" s="17" t="str">
        <f>IFERROR(VLOOKUP(E472,'(新)ﾍﾞﾝﾀﾞｰ小型'!$A$3:$K$241,10,0),"")</f>
        <v/>
      </c>
    </row>
    <row r="473" spans="2:9" x14ac:dyDescent="0.15">
      <c r="B473" s="17" t="str">
        <f>IFERROR(VLOOKUP(E473,'(新)ﾍﾞﾝﾀﾞｰ小型'!$A$3:$K$241,2,0), "")</f>
        <v/>
      </c>
      <c r="C473" s="17" t="str">
        <f>IFERROR(VLOOKUP(E473,'(新)ﾍﾞﾝﾀﾞｰ小型'!$A$3:$K$241,4,0), "")</f>
        <v/>
      </c>
      <c r="D473" s="17" t="str">
        <f>IFERROR(VLOOKUP(E473,'(新)ﾍﾞﾝﾀﾞｰ小型'!$A$3:$K$241,5,0), "")</f>
        <v/>
      </c>
      <c r="E473" s="14"/>
      <c r="F473" s="18" t="str">
        <f>IFERROR(VLOOKUP(E473,'(新)ﾍﾞﾝﾀﾞｰ小型'!$A$3:$K$241,8,0), "")</f>
        <v/>
      </c>
      <c r="G473" s="7" t="str">
        <f>IFERROR(VLOOKUP(E473,'(旧)ﾍﾞﾝﾀﾞｰ小型'!$A$3:$K$310,10,0),"")</f>
        <v/>
      </c>
      <c r="H473" s="12" t="s">
        <v>60</v>
      </c>
      <c r="I473" s="17" t="str">
        <f>IFERROR(VLOOKUP(E473,'(新)ﾍﾞﾝﾀﾞｰ小型'!$A$3:$K$241,10,0),"")</f>
        <v/>
      </c>
    </row>
    <row r="474" spans="2:9" x14ac:dyDescent="0.15">
      <c r="B474" s="17" t="str">
        <f>IFERROR(VLOOKUP(E474,'(新)ﾍﾞﾝﾀﾞｰ小型'!$A$3:$K$241,2,0), "")</f>
        <v/>
      </c>
      <c r="C474" s="17" t="str">
        <f>IFERROR(VLOOKUP(E474,'(新)ﾍﾞﾝﾀﾞｰ小型'!$A$3:$K$241,4,0), "")</f>
        <v/>
      </c>
      <c r="D474" s="17" t="str">
        <f>IFERROR(VLOOKUP(E474,'(新)ﾍﾞﾝﾀﾞｰ小型'!$A$3:$K$241,5,0), "")</f>
        <v/>
      </c>
      <c r="E474" s="14"/>
      <c r="F474" s="18" t="str">
        <f>IFERROR(VLOOKUP(E474,'(新)ﾍﾞﾝﾀﾞｰ小型'!$A$3:$K$241,8,0), "")</f>
        <v/>
      </c>
      <c r="G474" s="7" t="str">
        <f>IFERROR(VLOOKUP(E474,'(旧)ﾍﾞﾝﾀﾞｰ小型'!$A$3:$K$310,10,0),"")</f>
        <v/>
      </c>
      <c r="H474" s="12" t="s">
        <v>60</v>
      </c>
      <c r="I474" s="17" t="str">
        <f>IFERROR(VLOOKUP(E474,'(新)ﾍﾞﾝﾀﾞｰ小型'!$A$3:$K$241,10,0),"")</f>
        <v/>
      </c>
    </row>
    <row r="475" spans="2:9" x14ac:dyDescent="0.15">
      <c r="B475" s="17" t="str">
        <f>IFERROR(VLOOKUP(E475,'(新)ﾍﾞﾝﾀﾞｰ小型'!$A$3:$K$241,2,0), "")</f>
        <v/>
      </c>
      <c r="C475" s="17" t="str">
        <f>IFERROR(VLOOKUP(E475,'(新)ﾍﾞﾝﾀﾞｰ小型'!$A$3:$K$241,4,0), "")</f>
        <v/>
      </c>
      <c r="D475" s="17" t="str">
        <f>IFERROR(VLOOKUP(E475,'(新)ﾍﾞﾝﾀﾞｰ小型'!$A$3:$K$241,5,0), "")</f>
        <v/>
      </c>
      <c r="E475" s="14"/>
      <c r="F475" s="18" t="str">
        <f>IFERROR(VLOOKUP(E475,'(新)ﾍﾞﾝﾀﾞｰ小型'!$A$3:$K$241,8,0), "")</f>
        <v/>
      </c>
      <c r="G475" s="7" t="str">
        <f>IFERROR(VLOOKUP(E475,'(旧)ﾍﾞﾝﾀﾞｰ小型'!$A$3:$K$310,10,0),"")</f>
        <v/>
      </c>
      <c r="H475" s="12" t="s">
        <v>60</v>
      </c>
      <c r="I475" s="17" t="str">
        <f>IFERROR(VLOOKUP(E475,'(新)ﾍﾞﾝﾀﾞｰ小型'!$A$3:$K$241,10,0),"")</f>
        <v/>
      </c>
    </row>
    <row r="476" spans="2:9" x14ac:dyDescent="0.15">
      <c r="B476" s="17" t="str">
        <f>IFERROR(VLOOKUP(E476,'(新)ﾍﾞﾝﾀﾞｰ小型'!$A$3:$K$241,2,0), "")</f>
        <v/>
      </c>
      <c r="C476" s="17" t="str">
        <f>IFERROR(VLOOKUP(E476,'(新)ﾍﾞﾝﾀﾞｰ小型'!$A$3:$K$241,4,0), "")</f>
        <v/>
      </c>
      <c r="D476" s="17" t="str">
        <f>IFERROR(VLOOKUP(E476,'(新)ﾍﾞﾝﾀﾞｰ小型'!$A$3:$K$241,5,0), "")</f>
        <v/>
      </c>
      <c r="E476" s="14"/>
      <c r="F476" s="18" t="str">
        <f>IFERROR(VLOOKUP(E476,'(新)ﾍﾞﾝﾀﾞｰ小型'!$A$3:$K$241,8,0), "")</f>
        <v/>
      </c>
      <c r="G476" s="7" t="str">
        <f>IFERROR(VLOOKUP(E476,'(旧)ﾍﾞﾝﾀﾞｰ小型'!$A$3:$K$310,10,0),"")</f>
        <v/>
      </c>
      <c r="H476" s="12" t="s">
        <v>60</v>
      </c>
      <c r="I476" s="17" t="str">
        <f>IFERROR(VLOOKUP(E476,'(新)ﾍﾞﾝﾀﾞｰ小型'!$A$3:$K$241,10,0),"")</f>
        <v/>
      </c>
    </row>
    <row r="477" spans="2:9" x14ac:dyDescent="0.15">
      <c r="B477" s="17" t="str">
        <f>IFERROR(VLOOKUP(E477,'(新)ﾍﾞﾝﾀﾞｰ小型'!$A$3:$K$241,2,0), "")</f>
        <v/>
      </c>
      <c r="C477" s="17" t="str">
        <f>IFERROR(VLOOKUP(E477,'(新)ﾍﾞﾝﾀﾞｰ小型'!$A$3:$K$241,4,0), "")</f>
        <v/>
      </c>
      <c r="D477" s="17" t="str">
        <f>IFERROR(VLOOKUP(E477,'(新)ﾍﾞﾝﾀﾞｰ小型'!$A$3:$K$241,5,0), "")</f>
        <v/>
      </c>
      <c r="E477" s="14"/>
      <c r="F477" s="18" t="str">
        <f>IFERROR(VLOOKUP(E477,'(新)ﾍﾞﾝﾀﾞｰ小型'!$A$3:$K$241,8,0), "")</f>
        <v/>
      </c>
      <c r="G477" s="7" t="str">
        <f>IFERROR(VLOOKUP(E477,'(旧)ﾍﾞﾝﾀﾞｰ小型'!$A$3:$K$310,10,0),"")</f>
        <v/>
      </c>
      <c r="H477" s="12" t="s">
        <v>60</v>
      </c>
      <c r="I477" s="17" t="str">
        <f>IFERROR(VLOOKUP(E477,'(新)ﾍﾞﾝﾀﾞｰ小型'!$A$3:$K$241,10,0),"")</f>
        <v/>
      </c>
    </row>
    <row r="478" spans="2:9" x14ac:dyDescent="0.15">
      <c r="B478" s="17" t="str">
        <f>IFERROR(VLOOKUP(E478,'(新)ﾍﾞﾝﾀﾞｰ小型'!$A$3:$K$241,2,0), "")</f>
        <v/>
      </c>
      <c r="C478" s="17" t="str">
        <f>IFERROR(VLOOKUP(E478,'(新)ﾍﾞﾝﾀﾞｰ小型'!$A$3:$K$241,4,0), "")</f>
        <v/>
      </c>
      <c r="D478" s="17" t="str">
        <f>IFERROR(VLOOKUP(E478,'(新)ﾍﾞﾝﾀﾞｰ小型'!$A$3:$K$241,5,0), "")</f>
        <v/>
      </c>
      <c r="E478" s="14"/>
      <c r="F478" s="18" t="str">
        <f>IFERROR(VLOOKUP(E478,'(新)ﾍﾞﾝﾀﾞｰ小型'!$A$3:$K$241,8,0), "")</f>
        <v/>
      </c>
      <c r="G478" s="7" t="str">
        <f>IFERROR(VLOOKUP(E478,'(旧)ﾍﾞﾝﾀﾞｰ小型'!$A$3:$K$310,10,0),"")</f>
        <v/>
      </c>
      <c r="H478" s="12" t="s">
        <v>60</v>
      </c>
      <c r="I478" s="17" t="str">
        <f>IFERROR(VLOOKUP(E478,'(新)ﾍﾞﾝﾀﾞｰ小型'!$A$3:$K$241,10,0),"")</f>
        <v/>
      </c>
    </row>
    <row r="479" spans="2:9" x14ac:dyDescent="0.15">
      <c r="B479" s="17" t="str">
        <f>IFERROR(VLOOKUP(E479,'(新)ﾍﾞﾝﾀﾞｰ小型'!$A$3:$K$241,2,0), "")</f>
        <v/>
      </c>
      <c r="C479" s="17" t="str">
        <f>IFERROR(VLOOKUP(E479,'(新)ﾍﾞﾝﾀﾞｰ小型'!$A$3:$K$241,4,0), "")</f>
        <v/>
      </c>
      <c r="D479" s="17" t="str">
        <f>IFERROR(VLOOKUP(E479,'(新)ﾍﾞﾝﾀﾞｰ小型'!$A$3:$K$241,5,0), "")</f>
        <v/>
      </c>
      <c r="E479" s="14"/>
      <c r="F479" s="18" t="str">
        <f>IFERROR(VLOOKUP(E479,'(新)ﾍﾞﾝﾀﾞｰ小型'!$A$3:$K$241,8,0), "")</f>
        <v/>
      </c>
      <c r="G479" s="7" t="str">
        <f>IFERROR(VLOOKUP(E479,'(旧)ﾍﾞﾝﾀﾞｰ小型'!$A$3:$K$310,10,0),"")</f>
        <v/>
      </c>
      <c r="H479" s="12" t="s">
        <v>60</v>
      </c>
      <c r="I479" s="17" t="str">
        <f>IFERROR(VLOOKUP(E479,'(新)ﾍﾞﾝﾀﾞｰ小型'!$A$3:$K$241,10,0),"")</f>
        <v/>
      </c>
    </row>
    <row r="480" spans="2:9" x14ac:dyDescent="0.15">
      <c r="B480" s="17" t="str">
        <f>IFERROR(VLOOKUP(E480,'(新)ﾍﾞﾝﾀﾞｰ小型'!$A$3:$K$241,2,0), "")</f>
        <v/>
      </c>
      <c r="C480" s="17" t="str">
        <f>IFERROR(VLOOKUP(E480,'(新)ﾍﾞﾝﾀﾞｰ小型'!$A$3:$K$241,4,0), "")</f>
        <v/>
      </c>
      <c r="D480" s="17" t="str">
        <f>IFERROR(VLOOKUP(E480,'(新)ﾍﾞﾝﾀﾞｰ小型'!$A$3:$K$241,5,0), "")</f>
        <v/>
      </c>
      <c r="E480" s="14"/>
      <c r="F480" s="18" t="str">
        <f>IFERROR(VLOOKUP(E480,'(新)ﾍﾞﾝﾀﾞｰ小型'!$A$3:$K$241,8,0), "")</f>
        <v/>
      </c>
      <c r="G480" s="7" t="str">
        <f>IFERROR(VLOOKUP(E480,'(旧)ﾍﾞﾝﾀﾞｰ小型'!$A$3:$K$310,10,0),"")</f>
        <v/>
      </c>
      <c r="H480" s="12" t="s">
        <v>60</v>
      </c>
      <c r="I480" s="17" t="str">
        <f>IFERROR(VLOOKUP(E480,'(新)ﾍﾞﾝﾀﾞｰ小型'!$A$3:$K$241,10,0),"")</f>
        <v/>
      </c>
    </row>
    <row r="481" spans="2:9" x14ac:dyDescent="0.15">
      <c r="B481" s="17" t="str">
        <f>IFERROR(VLOOKUP(E481,'(新)ﾍﾞﾝﾀﾞｰ小型'!$A$3:$K$241,2,0), "")</f>
        <v/>
      </c>
      <c r="C481" s="17" t="str">
        <f>IFERROR(VLOOKUP(E481,'(新)ﾍﾞﾝﾀﾞｰ小型'!$A$3:$K$241,4,0), "")</f>
        <v/>
      </c>
      <c r="D481" s="17" t="str">
        <f>IFERROR(VLOOKUP(E481,'(新)ﾍﾞﾝﾀﾞｰ小型'!$A$3:$K$241,5,0), "")</f>
        <v/>
      </c>
      <c r="E481" s="14"/>
      <c r="F481" s="18" t="str">
        <f>IFERROR(VLOOKUP(E481,'(新)ﾍﾞﾝﾀﾞｰ小型'!$A$3:$K$241,8,0), "")</f>
        <v/>
      </c>
      <c r="G481" s="7" t="str">
        <f>IFERROR(VLOOKUP(E481,'(旧)ﾍﾞﾝﾀﾞｰ小型'!$A$3:$K$310,10,0),"")</f>
        <v/>
      </c>
      <c r="H481" s="12" t="s">
        <v>60</v>
      </c>
      <c r="I481" s="17" t="str">
        <f>IFERROR(VLOOKUP(E481,'(新)ﾍﾞﾝﾀﾞｰ小型'!$A$3:$K$241,10,0),"")</f>
        <v/>
      </c>
    </row>
    <row r="482" spans="2:9" x14ac:dyDescent="0.15">
      <c r="B482" s="17" t="str">
        <f>IFERROR(VLOOKUP(E482,'(新)ﾍﾞﾝﾀﾞｰ小型'!$A$3:$K$241,2,0), "")</f>
        <v/>
      </c>
      <c r="C482" s="17" t="str">
        <f>IFERROR(VLOOKUP(E482,'(新)ﾍﾞﾝﾀﾞｰ小型'!$A$3:$K$241,4,0), "")</f>
        <v/>
      </c>
      <c r="D482" s="17" t="str">
        <f>IFERROR(VLOOKUP(E482,'(新)ﾍﾞﾝﾀﾞｰ小型'!$A$3:$K$241,5,0), "")</f>
        <v/>
      </c>
      <c r="E482" s="14"/>
      <c r="F482" s="18" t="str">
        <f>IFERROR(VLOOKUP(E482,'(新)ﾍﾞﾝﾀﾞｰ小型'!$A$3:$K$241,8,0), "")</f>
        <v/>
      </c>
      <c r="G482" s="7" t="str">
        <f>IFERROR(VLOOKUP(E482,'(旧)ﾍﾞﾝﾀﾞｰ小型'!$A$3:$K$310,10,0),"")</f>
        <v/>
      </c>
      <c r="H482" s="12" t="s">
        <v>60</v>
      </c>
      <c r="I482" s="17" t="str">
        <f>IFERROR(VLOOKUP(E482,'(新)ﾍﾞﾝﾀﾞｰ小型'!$A$3:$K$241,10,0),"")</f>
        <v/>
      </c>
    </row>
    <row r="483" spans="2:9" x14ac:dyDescent="0.15">
      <c r="B483" s="17" t="str">
        <f>IFERROR(VLOOKUP(E483,'(新)ﾍﾞﾝﾀﾞｰ小型'!$A$3:$K$241,2,0), "")</f>
        <v/>
      </c>
      <c r="C483" s="17" t="str">
        <f>IFERROR(VLOOKUP(E483,'(新)ﾍﾞﾝﾀﾞｰ小型'!$A$3:$K$241,4,0), "")</f>
        <v/>
      </c>
      <c r="D483" s="17" t="str">
        <f>IFERROR(VLOOKUP(E483,'(新)ﾍﾞﾝﾀﾞｰ小型'!$A$3:$K$241,5,0), "")</f>
        <v/>
      </c>
      <c r="E483" s="14"/>
      <c r="F483" s="18" t="str">
        <f>IFERROR(VLOOKUP(E483,'(新)ﾍﾞﾝﾀﾞｰ小型'!$A$3:$K$241,8,0), "")</f>
        <v/>
      </c>
      <c r="G483" s="7" t="str">
        <f>IFERROR(VLOOKUP(E483,'(旧)ﾍﾞﾝﾀﾞｰ小型'!$A$3:$K$310,10,0),"")</f>
        <v/>
      </c>
      <c r="H483" s="12" t="s">
        <v>60</v>
      </c>
      <c r="I483" s="17" t="str">
        <f>IFERROR(VLOOKUP(E483,'(新)ﾍﾞﾝﾀﾞｰ小型'!$A$3:$K$241,10,0),"")</f>
        <v/>
      </c>
    </row>
    <row r="484" spans="2:9" x14ac:dyDescent="0.15">
      <c r="B484" s="17" t="str">
        <f>IFERROR(VLOOKUP(E484,'(新)ﾍﾞﾝﾀﾞｰ小型'!$A$3:$K$241,2,0), "")</f>
        <v/>
      </c>
      <c r="C484" s="17" t="str">
        <f>IFERROR(VLOOKUP(E484,'(新)ﾍﾞﾝﾀﾞｰ小型'!$A$3:$K$241,4,0), "")</f>
        <v/>
      </c>
      <c r="D484" s="17" t="str">
        <f>IFERROR(VLOOKUP(E484,'(新)ﾍﾞﾝﾀﾞｰ小型'!$A$3:$K$241,5,0), "")</f>
        <v/>
      </c>
      <c r="E484" s="14"/>
      <c r="F484" s="18" t="str">
        <f>IFERROR(VLOOKUP(E484,'(新)ﾍﾞﾝﾀﾞｰ小型'!$A$3:$K$241,8,0), "")</f>
        <v/>
      </c>
      <c r="G484" s="7" t="str">
        <f>IFERROR(VLOOKUP(E484,'(旧)ﾍﾞﾝﾀﾞｰ小型'!$A$3:$K$310,10,0),"")</f>
        <v/>
      </c>
      <c r="H484" s="12" t="s">
        <v>60</v>
      </c>
      <c r="I484" s="17" t="str">
        <f>IFERROR(VLOOKUP(E484,'(新)ﾍﾞﾝﾀﾞｰ小型'!$A$3:$K$241,10,0),"")</f>
        <v/>
      </c>
    </row>
    <row r="485" spans="2:9" x14ac:dyDescent="0.15">
      <c r="B485" s="17" t="str">
        <f>IFERROR(VLOOKUP(E485,'(新)ﾍﾞﾝﾀﾞｰ小型'!$A$3:$K$241,2,0), "")</f>
        <v/>
      </c>
      <c r="C485" s="17" t="str">
        <f>IFERROR(VLOOKUP(E485,'(新)ﾍﾞﾝﾀﾞｰ小型'!$A$3:$K$241,4,0), "")</f>
        <v/>
      </c>
      <c r="D485" s="17" t="str">
        <f>IFERROR(VLOOKUP(E485,'(新)ﾍﾞﾝﾀﾞｰ小型'!$A$3:$K$241,5,0), "")</f>
        <v/>
      </c>
      <c r="E485" s="14"/>
      <c r="F485" s="18" t="str">
        <f>IFERROR(VLOOKUP(E485,'(新)ﾍﾞﾝﾀﾞｰ小型'!$A$3:$K$241,8,0), "")</f>
        <v/>
      </c>
      <c r="G485" s="7" t="str">
        <f>IFERROR(VLOOKUP(E485,'(旧)ﾍﾞﾝﾀﾞｰ小型'!$A$3:$K$310,10,0),"")</f>
        <v/>
      </c>
      <c r="H485" s="12" t="s">
        <v>60</v>
      </c>
      <c r="I485" s="17" t="str">
        <f>IFERROR(VLOOKUP(E485,'(新)ﾍﾞﾝﾀﾞｰ小型'!$A$3:$K$241,10,0),"")</f>
        <v/>
      </c>
    </row>
    <row r="486" spans="2:9" x14ac:dyDescent="0.15">
      <c r="B486" s="17" t="str">
        <f>IFERROR(VLOOKUP(E486,'(新)ﾍﾞﾝﾀﾞｰ小型'!$A$3:$K$241,2,0), "")</f>
        <v/>
      </c>
      <c r="C486" s="17" t="str">
        <f>IFERROR(VLOOKUP(E486,'(新)ﾍﾞﾝﾀﾞｰ小型'!$A$3:$K$241,4,0), "")</f>
        <v/>
      </c>
      <c r="D486" s="17" t="str">
        <f>IFERROR(VLOOKUP(E486,'(新)ﾍﾞﾝﾀﾞｰ小型'!$A$3:$K$241,5,0), "")</f>
        <v/>
      </c>
      <c r="E486" s="14"/>
      <c r="F486" s="18" t="str">
        <f>IFERROR(VLOOKUP(E486,'(新)ﾍﾞﾝﾀﾞｰ小型'!$A$3:$K$241,8,0), "")</f>
        <v/>
      </c>
      <c r="G486" s="7" t="str">
        <f>IFERROR(VLOOKUP(E486,'(旧)ﾍﾞﾝﾀﾞｰ小型'!$A$3:$K$310,10,0),"")</f>
        <v/>
      </c>
      <c r="H486" s="12" t="s">
        <v>60</v>
      </c>
      <c r="I486" s="17" t="str">
        <f>IFERROR(VLOOKUP(E486,'(新)ﾍﾞﾝﾀﾞｰ小型'!$A$3:$K$241,10,0),"")</f>
        <v/>
      </c>
    </row>
    <row r="487" spans="2:9" x14ac:dyDescent="0.15">
      <c r="B487" s="17" t="str">
        <f>IFERROR(VLOOKUP(E487,'(新)ﾍﾞﾝﾀﾞｰ小型'!$A$3:$K$241,2,0), "")</f>
        <v/>
      </c>
      <c r="C487" s="17" t="str">
        <f>IFERROR(VLOOKUP(E487,'(新)ﾍﾞﾝﾀﾞｰ小型'!$A$3:$K$241,4,0), "")</f>
        <v/>
      </c>
      <c r="D487" s="17" t="str">
        <f>IFERROR(VLOOKUP(E487,'(新)ﾍﾞﾝﾀﾞｰ小型'!$A$3:$K$241,5,0), "")</f>
        <v/>
      </c>
      <c r="E487" s="14"/>
      <c r="F487" s="18" t="str">
        <f>IFERROR(VLOOKUP(E487,'(新)ﾍﾞﾝﾀﾞｰ小型'!$A$3:$K$241,8,0), "")</f>
        <v/>
      </c>
      <c r="G487" s="7" t="str">
        <f>IFERROR(VLOOKUP(E487,'(旧)ﾍﾞﾝﾀﾞｰ小型'!$A$3:$K$310,10,0),"")</f>
        <v/>
      </c>
      <c r="H487" s="12" t="s">
        <v>60</v>
      </c>
      <c r="I487" s="17" t="str">
        <f>IFERROR(VLOOKUP(E487,'(新)ﾍﾞﾝﾀﾞｰ小型'!$A$3:$K$241,10,0),"")</f>
        <v/>
      </c>
    </row>
    <row r="488" spans="2:9" x14ac:dyDescent="0.15">
      <c r="B488" s="17" t="str">
        <f>IFERROR(VLOOKUP(E488,'(新)ﾍﾞﾝﾀﾞｰ小型'!$A$3:$K$241,2,0), "")</f>
        <v/>
      </c>
      <c r="C488" s="17" t="str">
        <f>IFERROR(VLOOKUP(E488,'(新)ﾍﾞﾝﾀﾞｰ小型'!$A$3:$K$241,4,0), "")</f>
        <v/>
      </c>
      <c r="D488" s="17" t="str">
        <f>IFERROR(VLOOKUP(E488,'(新)ﾍﾞﾝﾀﾞｰ小型'!$A$3:$K$241,5,0), "")</f>
        <v/>
      </c>
      <c r="E488" s="14"/>
      <c r="F488" s="18" t="str">
        <f>IFERROR(VLOOKUP(E488,'(新)ﾍﾞﾝﾀﾞｰ小型'!$A$3:$K$241,8,0), "")</f>
        <v/>
      </c>
      <c r="G488" s="7" t="str">
        <f>IFERROR(VLOOKUP(E488,'(旧)ﾍﾞﾝﾀﾞｰ小型'!$A$3:$K$310,10,0),"")</f>
        <v/>
      </c>
      <c r="H488" s="12" t="s">
        <v>60</v>
      </c>
      <c r="I488" s="17" t="str">
        <f>IFERROR(VLOOKUP(E488,'(新)ﾍﾞﾝﾀﾞｰ小型'!$A$3:$K$241,10,0),"")</f>
        <v/>
      </c>
    </row>
    <row r="489" spans="2:9" x14ac:dyDescent="0.15">
      <c r="B489" s="17" t="str">
        <f>IFERROR(VLOOKUP(E489,'(新)ﾍﾞﾝﾀﾞｰ小型'!$A$3:$K$241,2,0), "")</f>
        <v/>
      </c>
      <c r="C489" s="17" t="str">
        <f>IFERROR(VLOOKUP(E489,'(新)ﾍﾞﾝﾀﾞｰ小型'!$A$3:$K$241,4,0), "")</f>
        <v/>
      </c>
      <c r="D489" s="17" t="str">
        <f>IFERROR(VLOOKUP(E489,'(新)ﾍﾞﾝﾀﾞｰ小型'!$A$3:$K$241,5,0), "")</f>
        <v/>
      </c>
      <c r="E489" s="14"/>
      <c r="F489" s="18" t="str">
        <f>IFERROR(VLOOKUP(E489,'(新)ﾍﾞﾝﾀﾞｰ小型'!$A$3:$K$241,8,0), "")</f>
        <v/>
      </c>
      <c r="G489" s="7" t="str">
        <f>IFERROR(VLOOKUP(E489,'(旧)ﾍﾞﾝﾀﾞｰ小型'!$A$3:$K$310,10,0),"")</f>
        <v/>
      </c>
      <c r="H489" s="12" t="s">
        <v>60</v>
      </c>
      <c r="I489" s="17" t="str">
        <f>IFERROR(VLOOKUP(E489,'(新)ﾍﾞﾝﾀﾞｰ小型'!$A$3:$K$241,10,0),"")</f>
        <v/>
      </c>
    </row>
    <row r="490" spans="2:9" x14ac:dyDescent="0.15">
      <c r="B490" s="17" t="str">
        <f>IFERROR(VLOOKUP(E490,'(新)ﾍﾞﾝﾀﾞｰ小型'!$A$3:$K$241,2,0), "")</f>
        <v/>
      </c>
      <c r="C490" s="17" t="str">
        <f>IFERROR(VLOOKUP(E490,'(新)ﾍﾞﾝﾀﾞｰ小型'!$A$3:$K$241,4,0), "")</f>
        <v/>
      </c>
      <c r="D490" s="17" t="str">
        <f>IFERROR(VLOOKUP(E490,'(新)ﾍﾞﾝﾀﾞｰ小型'!$A$3:$K$241,5,0), "")</f>
        <v/>
      </c>
      <c r="E490" s="14"/>
      <c r="F490" s="18" t="str">
        <f>IFERROR(VLOOKUP(E490,'(新)ﾍﾞﾝﾀﾞｰ小型'!$A$3:$K$241,8,0), "")</f>
        <v/>
      </c>
      <c r="G490" s="7" t="str">
        <f>IFERROR(VLOOKUP(E490,'(旧)ﾍﾞﾝﾀﾞｰ小型'!$A$3:$K$310,10,0),"")</f>
        <v/>
      </c>
      <c r="H490" s="12" t="s">
        <v>60</v>
      </c>
      <c r="I490" s="17" t="str">
        <f>IFERROR(VLOOKUP(E490,'(新)ﾍﾞﾝﾀﾞｰ小型'!$A$3:$K$241,10,0),"")</f>
        <v/>
      </c>
    </row>
    <row r="491" spans="2:9" x14ac:dyDescent="0.15">
      <c r="B491" s="17" t="str">
        <f>IFERROR(VLOOKUP(E491,'(新)ﾍﾞﾝﾀﾞｰ小型'!$A$3:$K$241,2,0), "")</f>
        <v/>
      </c>
      <c r="C491" s="17" t="str">
        <f>IFERROR(VLOOKUP(E491,'(新)ﾍﾞﾝﾀﾞｰ小型'!$A$3:$K$241,4,0), "")</f>
        <v/>
      </c>
      <c r="D491" s="17" t="str">
        <f>IFERROR(VLOOKUP(E491,'(新)ﾍﾞﾝﾀﾞｰ小型'!$A$3:$K$241,5,0), "")</f>
        <v/>
      </c>
      <c r="E491" s="14"/>
      <c r="F491" s="18" t="str">
        <f>IFERROR(VLOOKUP(E491,'(新)ﾍﾞﾝﾀﾞｰ小型'!$A$3:$K$241,8,0), "")</f>
        <v/>
      </c>
      <c r="G491" s="7" t="str">
        <f>IFERROR(VLOOKUP(E491,'(旧)ﾍﾞﾝﾀﾞｰ小型'!$A$3:$K$310,10,0),"")</f>
        <v/>
      </c>
      <c r="H491" s="12" t="s">
        <v>60</v>
      </c>
      <c r="I491" s="17" t="str">
        <f>IFERROR(VLOOKUP(E491,'(新)ﾍﾞﾝﾀﾞｰ小型'!$A$3:$K$241,10,0),"")</f>
        <v/>
      </c>
    </row>
    <row r="492" spans="2:9" x14ac:dyDescent="0.15">
      <c r="B492" s="17" t="str">
        <f>IFERROR(VLOOKUP(E492,'(新)ﾍﾞﾝﾀﾞｰ小型'!$A$3:$K$241,2,0), "")</f>
        <v/>
      </c>
      <c r="C492" s="17" t="str">
        <f>IFERROR(VLOOKUP(E492,'(新)ﾍﾞﾝﾀﾞｰ小型'!$A$3:$K$241,4,0), "")</f>
        <v/>
      </c>
      <c r="D492" s="17" t="str">
        <f>IFERROR(VLOOKUP(E492,'(新)ﾍﾞﾝﾀﾞｰ小型'!$A$3:$K$241,5,0), "")</f>
        <v/>
      </c>
      <c r="E492" s="14"/>
      <c r="F492" s="18" t="str">
        <f>IFERROR(VLOOKUP(E492,'(新)ﾍﾞﾝﾀﾞｰ小型'!$A$3:$K$241,8,0), "")</f>
        <v/>
      </c>
      <c r="G492" s="7" t="str">
        <f>IFERROR(VLOOKUP(E492,'(旧)ﾍﾞﾝﾀﾞｰ小型'!$A$3:$K$310,10,0),"")</f>
        <v/>
      </c>
      <c r="H492" s="12" t="s">
        <v>60</v>
      </c>
      <c r="I492" s="17" t="str">
        <f>IFERROR(VLOOKUP(E492,'(新)ﾍﾞﾝﾀﾞｰ小型'!$A$3:$K$241,10,0),"")</f>
        <v/>
      </c>
    </row>
    <row r="493" spans="2:9" x14ac:dyDescent="0.15">
      <c r="B493" s="17" t="str">
        <f>IFERROR(VLOOKUP(E493,'(新)ﾍﾞﾝﾀﾞｰ小型'!$A$3:$K$241,2,0), "")</f>
        <v/>
      </c>
      <c r="C493" s="17" t="str">
        <f>IFERROR(VLOOKUP(E493,'(新)ﾍﾞﾝﾀﾞｰ小型'!$A$3:$K$241,4,0), "")</f>
        <v/>
      </c>
      <c r="D493" s="17" t="str">
        <f>IFERROR(VLOOKUP(E493,'(新)ﾍﾞﾝﾀﾞｰ小型'!$A$3:$K$241,5,0), "")</f>
        <v/>
      </c>
      <c r="E493" s="14"/>
      <c r="F493" s="18" t="str">
        <f>IFERROR(VLOOKUP(E493,'(新)ﾍﾞﾝﾀﾞｰ小型'!$A$3:$K$241,8,0), "")</f>
        <v/>
      </c>
      <c r="G493" s="7" t="str">
        <f>IFERROR(VLOOKUP(E493,'(旧)ﾍﾞﾝﾀﾞｰ小型'!$A$3:$K$310,10,0),"")</f>
        <v/>
      </c>
      <c r="H493" s="12" t="s">
        <v>60</v>
      </c>
      <c r="I493" s="17" t="str">
        <f>IFERROR(VLOOKUP(E493,'(新)ﾍﾞﾝﾀﾞｰ小型'!$A$3:$K$241,10,0),"")</f>
        <v/>
      </c>
    </row>
    <row r="494" spans="2:9" x14ac:dyDescent="0.15">
      <c r="B494" s="17" t="str">
        <f>IFERROR(VLOOKUP(E494,'(新)ﾍﾞﾝﾀﾞｰ小型'!$A$3:$K$241,2,0), "")</f>
        <v/>
      </c>
      <c r="C494" s="17" t="str">
        <f>IFERROR(VLOOKUP(E494,'(新)ﾍﾞﾝﾀﾞｰ小型'!$A$3:$K$241,4,0), "")</f>
        <v/>
      </c>
      <c r="D494" s="17" t="str">
        <f>IFERROR(VLOOKUP(E494,'(新)ﾍﾞﾝﾀﾞｰ小型'!$A$3:$K$241,5,0), "")</f>
        <v/>
      </c>
      <c r="E494" s="14"/>
      <c r="F494" s="18" t="str">
        <f>IFERROR(VLOOKUP(E494,'(新)ﾍﾞﾝﾀﾞｰ小型'!$A$3:$K$241,8,0), "")</f>
        <v/>
      </c>
      <c r="G494" s="7" t="str">
        <f>IFERROR(VLOOKUP(E494,'(旧)ﾍﾞﾝﾀﾞｰ小型'!$A$3:$K$310,10,0),"")</f>
        <v/>
      </c>
      <c r="H494" s="12" t="s">
        <v>60</v>
      </c>
      <c r="I494" s="17" t="str">
        <f>IFERROR(VLOOKUP(E494,'(新)ﾍﾞﾝﾀﾞｰ小型'!$A$3:$K$241,10,0),"")</f>
        <v/>
      </c>
    </row>
    <row r="495" spans="2:9" x14ac:dyDescent="0.15">
      <c r="B495" s="17" t="str">
        <f>IFERROR(VLOOKUP(E495,'(新)ﾍﾞﾝﾀﾞｰ小型'!$A$3:$K$241,2,0), "")</f>
        <v/>
      </c>
      <c r="C495" s="17" t="str">
        <f>IFERROR(VLOOKUP(E495,'(新)ﾍﾞﾝﾀﾞｰ小型'!$A$3:$K$241,4,0), "")</f>
        <v/>
      </c>
      <c r="D495" s="17" t="str">
        <f>IFERROR(VLOOKUP(E495,'(新)ﾍﾞﾝﾀﾞｰ小型'!$A$3:$K$241,5,0), "")</f>
        <v/>
      </c>
      <c r="E495" s="14"/>
      <c r="F495" s="18" t="str">
        <f>IFERROR(VLOOKUP(E495,'(新)ﾍﾞﾝﾀﾞｰ小型'!$A$3:$K$241,8,0), "")</f>
        <v/>
      </c>
      <c r="G495" s="7" t="str">
        <f>IFERROR(VLOOKUP(E495,'(旧)ﾍﾞﾝﾀﾞｰ小型'!$A$3:$K$310,10,0),"")</f>
        <v/>
      </c>
      <c r="H495" s="12" t="s">
        <v>60</v>
      </c>
      <c r="I495" s="17" t="str">
        <f>IFERROR(VLOOKUP(E495,'(新)ﾍﾞﾝﾀﾞｰ小型'!$A$3:$K$241,10,0),"")</f>
        <v/>
      </c>
    </row>
    <row r="496" spans="2:9" x14ac:dyDescent="0.15">
      <c r="B496" s="17" t="str">
        <f>IFERROR(VLOOKUP(E496,'(新)ﾍﾞﾝﾀﾞｰ小型'!$A$3:$K$241,2,0), "")</f>
        <v/>
      </c>
      <c r="C496" s="17" t="str">
        <f>IFERROR(VLOOKUP(E496,'(新)ﾍﾞﾝﾀﾞｰ小型'!$A$3:$K$241,4,0), "")</f>
        <v/>
      </c>
      <c r="D496" s="17" t="str">
        <f>IFERROR(VLOOKUP(E496,'(新)ﾍﾞﾝﾀﾞｰ小型'!$A$3:$K$241,5,0), "")</f>
        <v/>
      </c>
      <c r="E496" s="14"/>
      <c r="F496" s="18" t="str">
        <f>IFERROR(VLOOKUP(E496,'(新)ﾍﾞﾝﾀﾞｰ小型'!$A$3:$K$241,8,0), "")</f>
        <v/>
      </c>
      <c r="G496" s="7" t="str">
        <f>IFERROR(VLOOKUP(E496,'(旧)ﾍﾞﾝﾀﾞｰ小型'!$A$3:$K$310,10,0),"")</f>
        <v/>
      </c>
      <c r="H496" s="12" t="s">
        <v>60</v>
      </c>
      <c r="I496" s="17" t="str">
        <f>IFERROR(VLOOKUP(E496,'(新)ﾍﾞﾝﾀﾞｰ小型'!$A$3:$K$241,10,0),"")</f>
        <v/>
      </c>
    </row>
    <row r="497" spans="2:9" x14ac:dyDescent="0.15">
      <c r="B497" s="17" t="str">
        <f>IFERROR(VLOOKUP(E497,'(新)ﾍﾞﾝﾀﾞｰ小型'!$A$3:$K$241,2,0), "")</f>
        <v/>
      </c>
      <c r="C497" s="17" t="str">
        <f>IFERROR(VLOOKUP(E497,'(新)ﾍﾞﾝﾀﾞｰ小型'!$A$3:$K$241,4,0), "")</f>
        <v/>
      </c>
      <c r="D497" s="17" t="str">
        <f>IFERROR(VLOOKUP(E497,'(新)ﾍﾞﾝﾀﾞｰ小型'!$A$3:$K$241,5,0), "")</f>
        <v/>
      </c>
      <c r="E497" s="14"/>
      <c r="F497" s="18" t="str">
        <f>IFERROR(VLOOKUP(E497,'(新)ﾍﾞﾝﾀﾞｰ小型'!$A$3:$K$241,8,0), "")</f>
        <v/>
      </c>
      <c r="G497" s="7" t="str">
        <f>IFERROR(VLOOKUP(E497,'(旧)ﾍﾞﾝﾀﾞｰ小型'!$A$3:$K$310,10,0),"")</f>
        <v/>
      </c>
      <c r="H497" s="12" t="s">
        <v>60</v>
      </c>
      <c r="I497" s="17" t="str">
        <f>IFERROR(VLOOKUP(E497,'(新)ﾍﾞﾝﾀﾞｰ小型'!$A$3:$K$241,10,0),"")</f>
        <v/>
      </c>
    </row>
    <row r="498" spans="2:9" x14ac:dyDescent="0.15">
      <c r="B498" s="17" t="str">
        <f>IFERROR(VLOOKUP(E498,'(新)ﾍﾞﾝﾀﾞｰ小型'!$A$3:$K$241,2,0), "")</f>
        <v/>
      </c>
      <c r="C498" s="17" t="str">
        <f>IFERROR(VLOOKUP(E498,'(新)ﾍﾞﾝﾀﾞｰ小型'!$A$3:$K$241,4,0), "")</f>
        <v/>
      </c>
      <c r="D498" s="17" t="str">
        <f>IFERROR(VLOOKUP(E498,'(新)ﾍﾞﾝﾀﾞｰ小型'!$A$3:$K$241,5,0), "")</f>
        <v/>
      </c>
      <c r="E498" s="14"/>
      <c r="F498" s="18" t="str">
        <f>IFERROR(VLOOKUP(E498,'(新)ﾍﾞﾝﾀﾞｰ小型'!$A$3:$K$241,8,0), "")</f>
        <v/>
      </c>
      <c r="G498" s="7" t="str">
        <f>IFERROR(VLOOKUP(E498,'(旧)ﾍﾞﾝﾀﾞｰ小型'!$A$3:$K$310,10,0),"")</f>
        <v/>
      </c>
      <c r="H498" s="12" t="s">
        <v>60</v>
      </c>
      <c r="I498" s="17" t="str">
        <f>IFERROR(VLOOKUP(E498,'(新)ﾍﾞﾝﾀﾞｰ小型'!$A$3:$K$241,10,0),"")</f>
        <v/>
      </c>
    </row>
    <row r="499" spans="2:9" x14ac:dyDescent="0.15">
      <c r="B499" s="17" t="str">
        <f>IFERROR(VLOOKUP(E499,'(新)ﾍﾞﾝﾀﾞｰ小型'!$A$3:$K$241,2,0), "")</f>
        <v/>
      </c>
      <c r="C499" s="17" t="str">
        <f>IFERROR(VLOOKUP(E499,'(新)ﾍﾞﾝﾀﾞｰ小型'!$A$3:$K$241,4,0), "")</f>
        <v/>
      </c>
      <c r="D499" s="17" t="str">
        <f>IFERROR(VLOOKUP(E499,'(新)ﾍﾞﾝﾀﾞｰ小型'!$A$3:$K$241,5,0), "")</f>
        <v/>
      </c>
      <c r="E499" s="14"/>
      <c r="F499" s="18" t="str">
        <f>IFERROR(VLOOKUP(E499,'(新)ﾍﾞﾝﾀﾞｰ小型'!$A$3:$K$241,8,0), "")</f>
        <v/>
      </c>
      <c r="G499" s="7" t="str">
        <f>IFERROR(VLOOKUP(E499,'(旧)ﾍﾞﾝﾀﾞｰ小型'!$A$3:$K$310,10,0),"")</f>
        <v/>
      </c>
      <c r="H499" s="12" t="s">
        <v>60</v>
      </c>
      <c r="I499" s="17" t="str">
        <f>IFERROR(VLOOKUP(E499,'(新)ﾍﾞﾝﾀﾞｰ小型'!$A$3:$K$241,10,0),"")</f>
        <v/>
      </c>
    </row>
    <row r="500" spans="2:9" x14ac:dyDescent="0.15">
      <c r="B500" s="17" t="str">
        <f>IFERROR(VLOOKUP(E500,'(新)ﾍﾞﾝﾀﾞｰ小型'!$A$3:$K$241,2,0), "")</f>
        <v/>
      </c>
      <c r="C500" s="17" t="str">
        <f>IFERROR(VLOOKUP(E500,'(新)ﾍﾞﾝﾀﾞｰ小型'!$A$3:$K$241,4,0), "")</f>
        <v/>
      </c>
      <c r="D500" s="17" t="str">
        <f>IFERROR(VLOOKUP(E500,'(新)ﾍﾞﾝﾀﾞｰ小型'!$A$3:$K$241,5,0), "")</f>
        <v/>
      </c>
      <c r="E500" s="14"/>
      <c r="F500" s="18" t="str">
        <f>IFERROR(VLOOKUP(E500,'(新)ﾍﾞﾝﾀﾞｰ小型'!$A$3:$K$241,8,0), "")</f>
        <v/>
      </c>
      <c r="G500" s="7" t="str">
        <f>IFERROR(VLOOKUP(E500,'(旧)ﾍﾞﾝﾀﾞｰ小型'!$A$3:$K$310,10,0),"")</f>
        <v/>
      </c>
      <c r="H500" s="12" t="s">
        <v>60</v>
      </c>
      <c r="I500" s="17" t="str">
        <f>IFERROR(VLOOKUP(E500,'(新)ﾍﾞﾝﾀﾞｰ小型'!$A$3:$K$241,10,0),"")</f>
        <v/>
      </c>
    </row>
    <row r="501" spans="2:9" x14ac:dyDescent="0.15">
      <c r="B501" s="17" t="str">
        <f>IFERROR(VLOOKUP(E501,'(新)ﾍﾞﾝﾀﾞｰ小型'!$A$3:$K$241,2,0), "")</f>
        <v/>
      </c>
      <c r="C501" s="17" t="str">
        <f>IFERROR(VLOOKUP(E501,'(新)ﾍﾞﾝﾀﾞｰ小型'!$A$3:$K$241,4,0), "")</f>
        <v/>
      </c>
      <c r="D501" s="17" t="str">
        <f>IFERROR(VLOOKUP(E501,'(新)ﾍﾞﾝﾀﾞｰ小型'!$A$3:$K$241,5,0), "")</f>
        <v/>
      </c>
      <c r="E501" s="14"/>
      <c r="F501" s="18" t="str">
        <f>IFERROR(VLOOKUP(E501,'(新)ﾍﾞﾝﾀﾞｰ小型'!$A$3:$K$241,8,0), "")</f>
        <v/>
      </c>
      <c r="G501" s="7" t="str">
        <f>IFERROR(VLOOKUP(E501,'(旧)ﾍﾞﾝﾀﾞｰ小型'!$A$3:$K$310,10,0),"")</f>
        <v/>
      </c>
      <c r="H501" s="12" t="s">
        <v>60</v>
      </c>
      <c r="I501" s="17" t="str">
        <f>IFERROR(VLOOKUP(E501,'(新)ﾍﾞﾝﾀﾞｰ小型'!$A$3:$K$241,10,0),"")</f>
        <v/>
      </c>
    </row>
    <row r="502" spans="2:9" x14ac:dyDescent="0.15">
      <c r="B502" s="17" t="str">
        <f>IFERROR(VLOOKUP(E502,'(新)ﾍﾞﾝﾀﾞｰ小型'!$A$3:$K$241,2,0), "")</f>
        <v/>
      </c>
      <c r="C502" s="17" t="str">
        <f>IFERROR(VLOOKUP(E502,'(新)ﾍﾞﾝﾀﾞｰ小型'!$A$3:$K$241,4,0), "")</f>
        <v/>
      </c>
      <c r="D502" s="17" t="str">
        <f>IFERROR(VLOOKUP(E502,'(新)ﾍﾞﾝﾀﾞｰ小型'!$A$3:$K$241,5,0), "")</f>
        <v/>
      </c>
      <c r="E502" s="14"/>
      <c r="F502" s="18" t="str">
        <f>IFERROR(VLOOKUP(E502,'(新)ﾍﾞﾝﾀﾞｰ小型'!$A$3:$K$241,8,0), "")</f>
        <v/>
      </c>
      <c r="G502" s="7" t="str">
        <f>IFERROR(VLOOKUP(E502,'(旧)ﾍﾞﾝﾀﾞｰ小型'!$A$3:$K$310,10,0),"")</f>
        <v/>
      </c>
      <c r="H502" s="12" t="s">
        <v>60</v>
      </c>
      <c r="I502" s="17" t="str">
        <f>IFERROR(VLOOKUP(E502,'(新)ﾍﾞﾝﾀﾞｰ小型'!$A$3:$K$241,10,0),"")</f>
        <v/>
      </c>
    </row>
    <row r="503" spans="2:9" x14ac:dyDescent="0.15">
      <c r="B503" s="17" t="str">
        <f>IFERROR(VLOOKUP(E503,'(新)ﾍﾞﾝﾀﾞｰ小型'!$A$3:$K$241,2,0), "")</f>
        <v/>
      </c>
      <c r="C503" s="17" t="str">
        <f>IFERROR(VLOOKUP(E503,'(新)ﾍﾞﾝﾀﾞｰ小型'!$A$3:$K$241,4,0), "")</f>
        <v/>
      </c>
      <c r="D503" s="17" t="str">
        <f>IFERROR(VLOOKUP(E503,'(新)ﾍﾞﾝﾀﾞｰ小型'!$A$3:$K$241,5,0), "")</f>
        <v/>
      </c>
      <c r="E503" s="14"/>
      <c r="F503" s="18" t="str">
        <f>IFERROR(VLOOKUP(E503,'(新)ﾍﾞﾝﾀﾞｰ小型'!$A$3:$K$241,8,0), "")</f>
        <v/>
      </c>
      <c r="G503" s="7" t="str">
        <f>IFERROR(VLOOKUP(E503,'(旧)ﾍﾞﾝﾀﾞｰ小型'!$A$3:$K$310,10,0),"")</f>
        <v/>
      </c>
      <c r="H503" s="12" t="s">
        <v>60</v>
      </c>
      <c r="I503" s="17" t="str">
        <f>IFERROR(VLOOKUP(E503,'(新)ﾍﾞﾝﾀﾞｰ小型'!$A$3:$K$241,10,0),"")</f>
        <v/>
      </c>
    </row>
    <row r="504" spans="2:9" x14ac:dyDescent="0.15">
      <c r="B504" s="17" t="str">
        <f>IFERROR(VLOOKUP(E504,'(新)ﾍﾞﾝﾀﾞｰ小型'!$A$3:$K$241,2,0), "")</f>
        <v/>
      </c>
      <c r="C504" s="17" t="str">
        <f>IFERROR(VLOOKUP(E504,'(新)ﾍﾞﾝﾀﾞｰ小型'!$A$3:$K$241,4,0), "")</f>
        <v/>
      </c>
      <c r="D504" s="17" t="str">
        <f>IFERROR(VLOOKUP(E504,'(新)ﾍﾞﾝﾀﾞｰ小型'!$A$3:$K$241,5,0), "")</f>
        <v/>
      </c>
      <c r="E504" s="14"/>
      <c r="F504" s="18" t="str">
        <f>IFERROR(VLOOKUP(E504,'(新)ﾍﾞﾝﾀﾞｰ小型'!$A$3:$K$241,8,0), "")</f>
        <v/>
      </c>
      <c r="G504" s="7" t="str">
        <f>IFERROR(VLOOKUP(E504,'(旧)ﾍﾞﾝﾀﾞｰ小型'!$A$3:$K$310,10,0),"")</f>
        <v/>
      </c>
      <c r="H504" s="12" t="s">
        <v>60</v>
      </c>
      <c r="I504" s="17" t="str">
        <f>IFERROR(VLOOKUP(E504,'(新)ﾍﾞﾝﾀﾞｰ小型'!$A$3:$K$241,10,0),"")</f>
        <v/>
      </c>
    </row>
    <row r="505" spans="2:9" x14ac:dyDescent="0.15">
      <c r="B505" s="17" t="str">
        <f>IFERROR(VLOOKUP(E505,'(新)ﾍﾞﾝﾀﾞｰ小型'!$A$3:$K$241,2,0), "")</f>
        <v/>
      </c>
      <c r="C505" s="17" t="str">
        <f>IFERROR(VLOOKUP(E505,'(新)ﾍﾞﾝﾀﾞｰ小型'!$A$3:$K$241,4,0), "")</f>
        <v/>
      </c>
      <c r="D505" s="17" t="str">
        <f>IFERROR(VLOOKUP(E505,'(新)ﾍﾞﾝﾀﾞｰ小型'!$A$3:$K$241,5,0), "")</f>
        <v/>
      </c>
      <c r="E505" s="14"/>
      <c r="F505" s="18" t="str">
        <f>IFERROR(VLOOKUP(E505,'(新)ﾍﾞﾝﾀﾞｰ小型'!$A$3:$K$241,8,0), "")</f>
        <v/>
      </c>
      <c r="G505" s="7" t="str">
        <f>IFERROR(VLOOKUP(E505,'(旧)ﾍﾞﾝﾀﾞｰ小型'!$A$3:$K$310,10,0),"")</f>
        <v/>
      </c>
      <c r="H505" s="12" t="s">
        <v>60</v>
      </c>
      <c r="I505" s="17" t="str">
        <f>IFERROR(VLOOKUP(E505,'(新)ﾍﾞﾝﾀﾞｰ小型'!$A$3:$K$241,10,0),"")</f>
        <v/>
      </c>
    </row>
    <row r="506" spans="2:9" x14ac:dyDescent="0.15">
      <c r="B506" s="17" t="str">
        <f>IFERROR(VLOOKUP(E506,'(新)ﾍﾞﾝﾀﾞｰ小型'!$A$3:$K$241,2,0), "")</f>
        <v/>
      </c>
      <c r="C506" s="17" t="str">
        <f>IFERROR(VLOOKUP(E506,'(新)ﾍﾞﾝﾀﾞｰ小型'!$A$3:$K$241,4,0), "")</f>
        <v/>
      </c>
      <c r="D506" s="17" t="str">
        <f>IFERROR(VLOOKUP(E506,'(新)ﾍﾞﾝﾀﾞｰ小型'!$A$3:$K$241,5,0), "")</f>
        <v/>
      </c>
      <c r="E506" s="14"/>
      <c r="F506" s="18" t="str">
        <f>IFERROR(VLOOKUP(E506,'(新)ﾍﾞﾝﾀﾞｰ小型'!$A$3:$K$241,8,0), "")</f>
        <v/>
      </c>
      <c r="G506" s="7" t="str">
        <f>IFERROR(VLOOKUP(E506,'(旧)ﾍﾞﾝﾀﾞｰ小型'!$A$3:$K$310,10,0),"")</f>
        <v/>
      </c>
      <c r="H506" s="12" t="s">
        <v>60</v>
      </c>
      <c r="I506" s="17" t="str">
        <f>IFERROR(VLOOKUP(E506,'(新)ﾍﾞﾝﾀﾞｰ小型'!$A$3:$K$241,10,0),"")</f>
        <v/>
      </c>
    </row>
    <row r="507" spans="2:9" x14ac:dyDescent="0.15">
      <c r="B507" s="17" t="str">
        <f>IFERROR(VLOOKUP(E507,'(新)ﾍﾞﾝﾀﾞｰ小型'!$A$3:$K$241,2,0), "")</f>
        <v/>
      </c>
      <c r="C507" s="17" t="str">
        <f>IFERROR(VLOOKUP(E507,'(新)ﾍﾞﾝﾀﾞｰ小型'!$A$3:$K$241,4,0), "")</f>
        <v/>
      </c>
      <c r="D507" s="17" t="str">
        <f>IFERROR(VLOOKUP(E507,'(新)ﾍﾞﾝﾀﾞｰ小型'!$A$3:$K$241,5,0), "")</f>
        <v/>
      </c>
      <c r="E507" s="14"/>
      <c r="F507" s="18" t="str">
        <f>IFERROR(VLOOKUP(E507,'(新)ﾍﾞﾝﾀﾞｰ小型'!$A$3:$K$241,8,0), "")</f>
        <v/>
      </c>
      <c r="G507" s="7" t="str">
        <f>IFERROR(VLOOKUP(E507,'(旧)ﾍﾞﾝﾀﾞｰ小型'!$A$3:$K$310,10,0),"")</f>
        <v/>
      </c>
      <c r="H507" s="12" t="s">
        <v>60</v>
      </c>
      <c r="I507" s="17" t="str">
        <f>IFERROR(VLOOKUP(E507,'(新)ﾍﾞﾝﾀﾞｰ小型'!$A$3:$K$241,10,0),"")</f>
        <v/>
      </c>
    </row>
    <row r="508" spans="2:9" x14ac:dyDescent="0.15">
      <c r="B508" s="17" t="str">
        <f>IFERROR(VLOOKUP(E508,'(新)ﾍﾞﾝﾀﾞｰ小型'!$A$3:$K$241,2,0), "")</f>
        <v/>
      </c>
      <c r="C508" s="17" t="str">
        <f>IFERROR(VLOOKUP(E508,'(新)ﾍﾞﾝﾀﾞｰ小型'!$A$3:$K$241,4,0), "")</f>
        <v/>
      </c>
      <c r="D508" s="17" t="str">
        <f>IFERROR(VLOOKUP(E508,'(新)ﾍﾞﾝﾀﾞｰ小型'!$A$3:$K$241,5,0), "")</f>
        <v/>
      </c>
      <c r="E508" s="14"/>
      <c r="F508" s="18" t="str">
        <f>IFERROR(VLOOKUP(E508,'(新)ﾍﾞﾝﾀﾞｰ小型'!$A$3:$K$241,8,0), "")</f>
        <v/>
      </c>
      <c r="G508" s="7" t="str">
        <f>IFERROR(VLOOKUP(E508,'(旧)ﾍﾞﾝﾀﾞｰ小型'!$A$3:$K$310,10,0),"")</f>
        <v/>
      </c>
      <c r="H508" s="12" t="s">
        <v>60</v>
      </c>
      <c r="I508" s="17" t="str">
        <f>IFERROR(VLOOKUP(E508,'(新)ﾍﾞﾝﾀﾞｰ小型'!$A$3:$K$241,10,0),"")</f>
        <v/>
      </c>
    </row>
    <row r="509" spans="2:9" x14ac:dyDescent="0.15">
      <c r="B509" s="17" t="str">
        <f>IFERROR(VLOOKUP(E509,'(新)ﾍﾞﾝﾀﾞｰ小型'!$A$3:$K$241,2,0), "")</f>
        <v/>
      </c>
      <c r="C509" s="17" t="str">
        <f>IFERROR(VLOOKUP(E509,'(新)ﾍﾞﾝﾀﾞｰ小型'!$A$3:$K$241,4,0), "")</f>
        <v/>
      </c>
      <c r="D509" s="17" t="str">
        <f>IFERROR(VLOOKUP(E509,'(新)ﾍﾞﾝﾀﾞｰ小型'!$A$3:$K$241,5,0), "")</f>
        <v/>
      </c>
      <c r="E509" s="14"/>
      <c r="F509" s="18" t="str">
        <f>IFERROR(VLOOKUP(E509,'(新)ﾍﾞﾝﾀﾞｰ小型'!$A$3:$K$241,8,0), "")</f>
        <v/>
      </c>
      <c r="G509" s="7" t="str">
        <f>IFERROR(VLOOKUP(E509,'(旧)ﾍﾞﾝﾀﾞｰ小型'!$A$3:$K$310,10,0),"")</f>
        <v/>
      </c>
      <c r="H509" s="12" t="s">
        <v>60</v>
      </c>
      <c r="I509" s="17" t="str">
        <f>IFERROR(VLOOKUP(E509,'(新)ﾍﾞﾝﾀﾞｰ小型'!$A$3:$K$241,10,0),"")</f>
        <v/>
      </c>
    </row>
    <row r="510" spans="2:9" x14ac:dyDescent="0.15">
      <c r="B510" s="17" t="str">
        <f>IFERROR(VLOOKUP(E510,'(新)ﾍﾞﾝﾀﾞｰ小型'!$A$3:$K$241,2,0), "")</f>
        <v/>
      </c>
      <c r="C510" s="17" t="str">
        <f>IFERROR(VLOOKUP(E510,'(新)ﾍﾞﾝﾀﾞｰ小型'!$A$3:$K$241,4,0), "")</f>
        <v/>
      </c>
      <c r="D510" s="17" t="str">
        <f>IFERROR(VLOOKUP(E510,'(新)ﾍﾞﾝﾀﾞｰ小型'!$A$3:$K$241,5,0), "")</f>
        <v/>
      </c>
      <c r="E510" s="14"/>
      <c r="F510" s="18" t="str">
        <f>IFERROR(VLOOKUP(E510,'(新)ﾍﾞﾝﾀﾞｰ小型'!$A$3:$K$241,8,0), "")</f>
        <v/>
      </c>
      <c r="G510" s="7" t="str">
        <f>IFERROR(VLOOKUP(E510,'(旧)ﾍﾞﾝﾀﾞｰ小型'!$A$3:$K$310,10,0),"")</f>
        <v/>
      </c>
      <c r="H510" s="12" t="s">
        <v>60</v>
      </c>
      <c r="I510" s="17" t="str">
        <f>IFERROR(VLOOKUP(E510,'(新)ﾍﾞﾝﾀﾞｰ小型'!$A$3:$K$241,10,0),"")</f>
        <v/>
      </c>
    </row>
    <row r="511" spans="2:9" x14ac:dyDescent="0.15">
      <c r="B511" s="17" t="str">
        <f>IFERROR(VLOOKUP(E511,'(新)ﾍﾞﾝﾀﾞｰ小型'!$A$3:$K$241,2,0), "")</f>
        <v/>
      </c>
      <c r="C511" s="17" t="str">
        <f>IFERROR(VLOOKUP(E511,'(新)ﾍﾞﾝﾀﾞｰ小型'!$A$3:$K$241,4,0), "")</f>
        <v/>
      </c>
      <c r="D511" s="17" t="str">
        <f>IFERROR(VLOOKUP(E511,'(新)ﾍﾞﾝﾀﾞｰ小型'!$A$3:$K$241,5,0), "")</f>
        <v/>
      </c>
      <c r="E511" s="14"/>
      <c r="F511" s="18" t="str">
        <f>IFERROR(VLOOKUP(E511,'(新)ﾍﾞﾝﾀﾞｰ小型'!$A$3:$K$241,8,0), "")</f>
        <v/>
      </c>
      <c r="G511" s="7" t="str">
        <f>IFERROR(VLOOKUP(E511,'(旧)ﾍﾞﾝﾀﾞｰ小型'!$A$3:$K$310,10,0),"")</f>
        <v/>
      </c>
      <c r="H511" s="12" t="s">
        <v>60</v>
      </c>
      <c r="I511" s="17" t="str">
        <f>IFERROR(VLOOKUP(E511,'(新)ﾍﾞﾝﾀﾞｰ小型'!$A$3:$K$241,10,0),"")</f>
        <v/>
      </c>
    </row>
    <row r="512" spans="2:9" x14ac:dyDescent="0.15">
      <c r="B512" s="17" t="str">
        <f>IFERROR(VLOOKUP(E512,'(新)ﾍﾞﾝﾀﾞｰ小型'!$A$3:$K$241,2,0), "")</f>
        <v/>
      </c>
      <c r="C512" s="17" t="str">
        <f>IFERROR(VLOOKUP(E512,'(新)ﾍﾞﾝﾀﾞｰ小型'!$A$3:$K$241,4,0), "")</f>
        <v/>
      </c>
      <c r="D512" s="17" t="str">
        <f>IFERROR(VLOOKUP(E512,'(新)ﾍﾞﾝﾀﾞｰ小型'!$A$3:$K$241,5,0), "")</f>
        <v/>
      </c>
      <c r="E512" s="14"/>
      <c r="F512" s="18" t="str">
        <f>IFERROR(VLOOKUP(E512,'(新)ﾍﾞﾝﾀﾞｰ小型'!$A$3:$K$241,8,0), "")</f>
        <v/>
      </c>
      <c r="G512" s="7" t="str">
        <f>IFERROR(VLOOKUP(E512,'(旧)ﾍﾞﾝﾀﾞｰ小型'!$A$3:$K$310,10,0),"")</f>
        <v/>
      </c>
      <c r="H512" s="12" t="s">
        <v>60</v>
      </c>
      <c r="I512" s="17" t="str">
        <f>IFERROR(VLOOKUP(E512,'(新)ﾍﾞﾝﾀﾞｰ小型'!$A$3:$K$241,10,0),"")</f>
        <v/>
      </c>
    </row>
    <row r="513" spans="2:9" x14ac:dyDescent="0.15">
      <c r="B513" s="17" t="str">
        <f>IFERROR(VLOOKUP(E513,'(新)ﾍﾞﾝﾀﾞｰ小型'!$A$3:$K$241,2,0), "")</f>
        <v/>
      </c>
      <c r="C513" s="17" t="str">
        <f>IFERROR(VLOOKUP(E513,'(新)ﾍﾞﾝﾀﾞｰ小型'!$A$3:$K$241,4,0), "")</f>
        <v/>
      </c>
      <c r="D513" s="17" t="str">
        <f>IFERROR(VLOOKUP(E513,'(新)ﾍﾞﾝﾀﾞｰ小型'!$A$3:$K$241,5,0), "")</f>
        <v/>
      </c>
      <c r="E513" s="14"/>
      <c r="F513" s="18" t="str">
        <f>IFERROR(VLOOKUP(E513,'(新)ﾍﾞﾝﾀﾞｰ小型'!$A$3:$K$241,8,0), "")</f>
        <v/>
      </c>
      <c r="G513" s="7" t="str">
        <f>IFERROR(VLOOKUP(E513,'(旧)ﾍﾞﾝﾀﾞｰ小型'!$A$3:$K$310,10,0),"")</f>
        <v/>
      </c>
      <c r="H513" s="12" t="s">
        <v>60</v>
      </c>
      <c r="I513" s="17" t="str">
        <f>IFERROR(VLOOKUP(E513,'(新)ﾍﾞﾝﾀﾞｰ小型'!$A$3:$K$241,10,0),"")</f>
        <v/>
      </c>
    </row>
    <row r="514" spans="2:9" x14ac:dyDescent="0.15">
      <c r="B514" s="17" t="str">
        <f>IFERROR(VLOOKUP(E514,'(新)ﾍﾞﾝﾀﾞｰ小型'!$A$3:$K$241,2,0), "")</f>
        <v/>
      </c>
      <c r="C514" s="17" t="str">
        <f>IFERROR(VLOOKUP(E514,'(新)ﾍﾞﾝﾀﾞｰ小型'!$A$3:$K$241,4,0), "")</f>
        <v/>
      </c>
      <c r="D514" s="17" t="str">
        <f>IFERROR(VLOOKUP(E514,'(新)ﾍﾞﾝﾀﾞｰ小型'!$A$3:$K$241,5,0), "")</f>
        <v/>
      </c>
      <c r="E514" s="14"/>
      <c r="F514" s="18" t="str">
        <f>IFERROR(VLOOKUP(E514,'(新)ﾍﾞﾝﾀﾞｰ小型'!$A$3:$K$241,8,0), "")</f>
        <v/>
      </c>
      <c r="G514" s="7" t="str">
        <f>IFERROR(VLOOKUP(E514,'(旧)ﾍﾞﾝﾀﾞｰ小型'!$A$3:$K$310,10,0),"")</f>
        <v/>
      </c>
      <c r="H514" s="12" t="s">
        <v>60</v>
      </c>
      <c r="I514" s="17" t="str">
        <f>IFERROR(VLOOKUP(E514,'(新)ﾍﾞﾝﾀﾞｰ小型'!$A$3:$K$241,10,0),"")</f>
        <v/>
      </c>
    </row>
    <row r="515" spans="2:9" x14ac:dyDescent="0.15">
      <c r="B515" s="17" t="str">
        <f>IFERROR(VLOOKUP(E515,'(新)ﾍﾞﾝﾀﾞｰ小型'!$A$3:$K$241,2,0), "")</f>
        <v/>
      </c>
      <c r="C515" s="17" t="str">
        <f>IFERROR(VLOOKUP(E515,'(新)ﾍﾞﾝﾀﾞｰ小型'!$A$3:$K$241,4,0), "")</f>
        <v/>
      </c>
      <c r="D515" s="17" t="str">
        <f>IFERROR(VLOOKUP(E515,'(新)ﾍﾞﾝﾀﾞｰ小型'!$A$3:$K$241,5,0), "")</f>
        <v/>
      </c>
      <c r="E515" s="14"/>
      <c r="F515" s="18" t="str">
        <f>IFERROR(VLOOKUP(E515,'(新)ﾍﾞﾝﾀﾞｰ小型'!$A$3:$K$241,8,0), "")</f>
        <v/>
      </c>
      <c r="G515" s="7" t="str">
        <f>IFERROR(VLOOKUP(E515,'(旧)ﾍﾞﾝﾀﾞｰ小型'!$A$3:$K$310,10,0),"")</f>
        <v/>
      </c>
      <c r="H515" s="12" t="s">
        <v>60</v>
      </c>
      <c r="I515" s="17" t="str">
        <f>IFERROR(VLOOKUP(E515,'(新)ﾍﾞﾝﾀﾞｰ小型'!$A$3:$K$241,10,0),"")</f>
        <v/>
      </c>
    </row>
    <row r="516" spans="2:9" x14ac:dyDescent="0.15">
      <c r="B516" s="17" t="str">
        <f>IFERROR(VLOOKUP(E516,'(新)ﾍﾞﾝﾀﾞｰ小型'!$A$3:$K$241,2,0), "")</f>
        <v/>
      </c>
      <c r="C516" s="17" t="str">
        <f>IFERROR(VLOOKUP(E516,'(新)ﾍﾞﾝﾀﾞｰ小型'!$A$3:$K$241,4,0), "")</f>
        <v/>
      </c>
      <c r="D516" s="17" t="str">
        <f>IFERROR(VLOOKUP(E516,'(新)ﾍﾞﾝﾀﾞｰ小型'!$A$3:$K$241,5,0), "")</f>
        <v/>
      </c>
      <c r="E516" s="14"/>
      <c r="F516" s="18" t="str">
        <f>IFERROR(VLOOKUP(E516,'(新)ﾍﾞﾝﾀﾞｰ小型'!$A$3:$K$241,8,0), "")</f>
        <v/>
      </c>
      <c r="G516" s="7" t="str">
        <f>IFERROR(VLOOKUP(E516,'(旧)ﾍﾞﾝﾀﾞｰ小型'!$A$3:$K$310,10,0),"")</f>
        <v/>
      </c>
      <c r="H516" s="12" t="s">
        <v>60</v>
      </c>
      <c r="I516" s="17" t="str">
        <f>IFERROR(VLOOKUP(E516,'(新)ﾍﾞﾝﾀﾞｰ小型'!$A$3:$K$241,10,0),"")</f>
        <v/>
      </c>
    </row>
    <row r="517" spans="2:9" x14ac:dyDescent="0.15">
      <c r="B517" s="17" t="str">
        <f>IFERROR(VLOOKUP(E517,'(新)ﾍﾞﾝﾀﾞｰ小型'!$A$3:$K$241,2,0), "")</f>
        <v/>
      </c>
      <c r="C517" s="17" t="str">
        <f>IFERROR(VLOOKUP(E517,'(新)ﾍﾞﾝﾀﾞｰ小型'!$A$3:$K$241,4,0), "")</f>
        <v/>
      </c>
      <c r="D517" s="17" t="str">
        <f>IFERROR(VLOOKUP(E517,'(新)ﾍﾞﾝﾀﾞｰ小型'!$A$3:$K$241,5,0), "")</f>
        <v/>
      </c>
      <c r="E517" s="14"/>
      <c r="F517" s="18" t="str">
        <f>IFERROR(VLOOKUP(E517,'(新)ﾍﾞﾝﾀﾞｰ小型'!$A$3:$K$241,8,0), "")</f>
        <v/>
      </c>
      <c r="G517" s="7" t="str">
        <f>IFERROR(VLOOKUP(E517,'(旧)ﾍﾞﾝﾀﾞｰ小型'!$A$3:$K$310,10,0),"")</f>
        <v/>
      </c>
      <c r="H517" s="12" t="s">
        <v>60</v>
      </c>
      <c r="I517" s="17" t="str">
        <f>IFERROR(VLOOKUP(E517,'(新)ﾍﾞﾝﾀﾞｰ小型'!$A$3:$K$241,10,0),"")</f>
        <v/>
      </c>
    </row>
    <row r="518" spans="2:9" x14ac:dyDescent="0.15">
      <c r="B518" s="17" t="str">
        <f>IFERROR(VLOOKUP(E518,'(新)ﾍﾞﾝﾀﾞｰ小型'!$A$3:$K$241,2,0), "")</f>
        <v/>
      </c>
      <c r="C518" s="17" t="str">
        <f>IFERROR(VLOOKUP(E518,'(新)ﾍﾞﾝﾀﾞｰ小型'!$A$3:$K$241,4,0), "")</f>
        <v/>
      </c>
      <c r="D518" s="17" t="str">
        <f>IFERROR(VLOOKUP(E518,'(新)ﾍﾞﾝﾀﾞｰ小型'!$A$3:$K$241,5,0), "")</f>
        <v/>
      </c>
      <c r="E518" s="14"/>
      <c r="F518" s="18" t="str">
        <f>IFERROR(VLOOKUP(E518,'(新)ﾍﾞﾝﾀﾞｰ小型'!$A$3:$K$241,8,0), "")</f>
        <v/>
      </c>
      <c r="G518" s="7" t="str">
        <f>IFERROR(VLOOKUP(E518,'(旧)ﾍﾞﾝﾀﾞｰ小型'!$A$3:$K$310,10,0),"")</f>
        <v/>
      </c>
      <c r="H518" s="12" t="s">
        <v>60</v>
      </c>
      <c r="I518" s="17" t="str">
        <f>IFERROR(VLOOKUP(E518,'(新)ﾍﾞﾝﾀﾞｰ小型'!$A$3:$K$241,10,0),"")</f>
        <v/>
      </c>
    </row>
    <row r="519" spans="2:9" x14ac:dyDescent="0.15">
      <c r="B519" s="17" t="str">
        <f>IFERROR(VLOOKUP(E519,'(新)ﾍﾞﾝﾀﾞｰ小型'!$A$3:$K$241,2,0), "")</f>
        <v/>
      </c>
      <c r="C519" s="17" t="str">
        <f>IFERROR(VLOOKUP(E519,'(新)ﾍﾞﾝﾀﾞｰ小型'!$A$3:$K$241,4,0), "")</f>
        <v/>
      </c>
      <c r="D519" s="17" t="str">
        <f>IFERROR(VLOOKUP(E519,'(新)ﾍﾞﾝﾀﾞｰ小型'!$A$3:$K$241,5,0), "")</f>
        <v/>
      </c>
      <c r="E519" s="14"/>
      <c r="F519" s="18" t="str">
        <f>IFERROR(VLOOKUP(E519,'(新)ﾍﾞﾝﾀﾞｰ小型'!$A$3:$K$241,8,0), "")</f>
        <v/>
      </c>
      <c r="G519" s="7" t="str">
        <f>IFERROR(VLOOKUP(E519,'(旧)ﾍﾞﾝﾀﾞｰ小型'!$A$3:$K$310,10,0),"")</f>
        <v/>
      </c>
      <c r="H519" s="12" t="s">
        <v>60</v>
      </c>
      <c r="I519" s="17" t="str">
        <f>IFERROR(VLOOKUP(E519,'(新)ﾍﾞﾝﾀﾞｰ小型'!$A$3:$K$241,10,0),"")</f>
        <v/>
      </c>
    </row>
    <row r="520" spans="2:9" x14ac:dyDescent="0.15">
      <c r="B520" s="17" t="str">
        <f>IFERROR(VLOOKUP(E520,'(新)ﾍﾞﾝﾀﾞｰ小型'!$A$3:$K$241,2,0), "")</f>
        <v/>
      </c>
      <c r="C520" s="17" t="str">
        <f>IFERROR(VLOOKUP(E520,'(新)ﾍﾞﾝﾀﾞｰ小型'!$A$3:$K$241,4,0), "")</f>
        <v/>
      </c>
      <c r="D520" s="17" t="str">
        <f>IFERROR(VLOOKUP(E520,'(新)ﾍﾞﾝﾀﾞｰ小型'!$A$3:$K$241,5,0), "")</f>
        <v/>
      </c>
      <c r="E520" s="14"/>
      <c r="F520" s="18" t="str">
        <f>IFERROR(VLOOKUP(E520,'(新)ﾍﾞﾝﾀﾞｰ小型'!$A$3:$K$241,8,0), "")</f>
        <v/>
      </c>
      <c r="G520" s="7" t="str">
        <f>IFERROR(VLOOKUP(E520,'(旧)ﾍﾞﾝﾀﾞｰ小型'!$A$3:$K$310,10,0),"")</f>
        <v/>
      </c>
      <c r="H520" s="12" t="s">
        <v>60</v>
      </c>
      <c r="I520" s="17" t="str">
        <f>IFERROR(VLOOKUP(E520,'(新)ﾍﾞﾝﾀﾞｰ小型'!$A$3:$K$241,10,0),"")</f>
        <v/>
      </c>
    </row>
    <row r="521" spans="2:9" x14ac:dyDescent="0.15">
      <c r="B521" s="17" t="str">
        <f>IFERROR(VLOOKUP(E521,'(新)ﾍﾞﾝﾀﾞｰ小型'!$A$3:$K$241,2,0), "")</f>
        <v/>
      </c>
      <c r="C521" s="17" t="str">
        <f>IFERROR(VLOOKUP(E521,'(新)ﾍﾞﾝﾀﾞｰ小型'!$A$3:$K$241,4,0), "")</f>
        <v/>
      </c>
      <c r="D521" s="17" t="str">
        <f>IFERROR(VLOOKUP(E521,'(新)ﾍﾞﾝﾀﾞｰ小型'!$A$3:$K$241,5,0), "")</f>
        <v/>
      </c>
      <c r="E521" s="14"/>
      <c r="F521" s="18" t="str">
        <f>IFERROR(VLOOKUP(E521,'(新)ﾍﾞﾝﾀﾞｰ小型'!$A$3:$K$241,8,0), "")</f>
        <v/>
      </c>
      <c r="G521" s="7" t="str">
        <f>IFERROR(VLOOKUP(E521,'(旧)ﾍﾞﾝﾀﾞｰ小型'!$A$3:$K$310,10,0),"")</f>
        <v/>
      </c>
      <c r="H521" s="12" t="s">
        <v>60</v>
      </c>
      <c r="I521" s="17" t="str">
        <f>IFERROR(VLOOKUP(E521,'(新)ﾍﾞﾝﾀﾞｰ小型'!$A$3:$K$241,10,0),"")</f>
        <v/>
      </c>
    </row>
    <row r="522" spans="2:9" x14ac:dyDescent="0.15">
      <c r="B522" s="17" t="str">
        <f>IFERROR(VLOOKUP(E522,'(新)ﾍﾞﾝﾀﾞｰ小型'!$A$3:$K$241,2,0), "")</f>
        <v/>
      </c>
      <c r="C522" s="17" t="str">
        <f>IFERROR(VLOOKUP(E522,'(新)ﾍﾞﾝﾀﾞｰ小型'!$A$3:$K$241,4,0), "")</f>
        <v/>
      </c>
      <c r="D522" s="17" t="str">
        <f>IFERROR(VLOOKUP(E522,'(新)ﾍﾞﾝﾀﾞｰ小型'!$A$3:$K$241,5,0), "")</f>
        <v/>
      </c>
      <c r="E522" s="14"/>
      <c r="F522" s="18" t="str">
        <f>IFERROR(VLOOKUP(E522,'(新)ﾍﾞﾝﾀﾞｰ小型'!$A$3:$K$241,8,0), "")</f>
        <v/>
      </c>
      <c r="G522" s="7" t="str">
        <f>IFERROR(VLOOKUP(E522,'(旧)ﾍﾞﾝﾀﾞｰ小型'!$A$3:$K$310,10,0),"")</f>
        <v/>
      </c>
      <c r="H522" s="12" t="s">
        <v>60</v>
      </c>
      <c r="I522" s="17" t="str">
        <f>IFERROR(VLOOKUP(E522,'(新)ﾍﾞﾝﾀﾞｰ小型'!$A$3:$K$241,10,0),"")</f>
        <v/>
      </c>
    </row>
    <row r="523" spans="2:9" x14ac:dyDescent="0.15">
      <c r="B523" s="17" t="str">
        <f>IFERROR(VLOOKUP(E523,'(新)ﾍﾞﾝﾀﾞｰ小型'!$A$3:$K$241,2,0), "")</f>
        <v/>
      </c>
      <c r="C523" s="17" t="str">
        <f>IFERROR(VLOOKUP(E523,'(新)ﾍﾞﾝﾀﾞｰ小型'!$A$3:$K$241,4,0), "")</f>
        <v/>
      </c>
      <c r="D523" s="17" t="str">
        <f>IFERROR(VLOOKUP(E523,'(新)ﾍﾞﾝﾀﾞｰ小型'!$A$3:$K$241,5,0), "")</f>
        <v/>
      </c>
      <c r="E523" s="14"/>
      <c r="F523" s="18" t="str">
        <f>IFERROR(VLOOKUP(E523,'(新)ﾍﾞﾝﾀﾞｰ小型'!$A$3:$K$241,8,0), "")</f>
        <v/>
      </c>
      <c r="G523" s="7" t="str">
        <f>IFERROR(VLOOKUP(E523,'(旧)ﾍﾞﾝﾀﾞｰ小型'!$A$3:$K$310,10,0),"")</f>
        <v/>
      </c>
      <c r="H523" s="12" t="s">
        <v>60</v>
      </c>
      <c r="I523" s="17" t="str">
        <f>IFERROR(VLOOKUP(E523,'(新)ﾍﾞﾝﾀﾞｰ小型'!$A$3:$K$241,10,0),"")</f>
        <v/>
      </c>
    </row>
    <row r="524" spans="2:9" x14ac:dyDescent="0.15">
      <c r="B524" s="17" t="str">
        <f>IFERROR(VLOOKUP(E524,'(新)ﾍﾞﾝﾀﾞｰ小型'!$A$3:$K$241,2,0), "")</f>
        <v/>
      </c>
      <c r="C524" s="17" t="str">
        <f>IFERROR(VLOOKUP(E524,'(新)ﾍﾞﾝﾀﾞｰ小型'!$A$3:$K$241,4,0), "")</f>
        <v/>
      </c>
      <c r="D524" s="17" t="str">
        <f>IFERROR(VLOOKUP(E524,'(新)ﾍﾞﾝﾀﾞｰ小型'!$A$3:$K$241,5,0), "")</f>
        <v/>
      </c>
      <c r="E524" s="14"/>
      <c r="F524" s="18" t="str">
        <f>IFERROR(VLOOKUP(E524,'(新)ﾍﾞﾝﾀﾞｰ小型'!$A$3:$K$241,8,0), "")</f>
        <v/>
      </c>
      <c r="G524" s="7" t="str">
        <f>IFERROR(VLOOKUP(E524,'(旧)ﾍﾞﾝﾀﾞｰ小型'!$A$3:$K$310,10,0),"")</f>
        <v/>
      </c>
      <c r="H524" s="12" t="s">
        <v>60</v>
      </c>
      <c r="I524" s="17" t="str">
        <f>IFERROR(VLOOKUP(E524,'(新)ﾍﾞﾝﾀﾞｰ小型'!$A$3:$K$241,10,0),"")</f>
        <v/>
      </c>
    </row>
    <row r="525" spans="2:9" x14ac:dyDescent="0.15">
      <c r="B525" s="17" t="str">
        <f>IFERROR(VLOOKUP(E525,'(新)ﾍﾞﾝﾀﾞｰ小型'!$A$3:$K$241,2,0), "")</f>
        <v/>
      </c>
      <c r="C525" s="17" t="str">
        <f>IFERROR(VLOOKUP(E525,'(新)ﾍﾞﾝﾀﾞｰ小型'!$A$3:$K$241,4,0), "")</f>
        <v/>
      </c>
      <c r="D525" s="17" t="str">
        <f>IFERROR(VLOOKUP(E525,'(新)ﾍﾞﾝﾀﾞｰ小型'!$A$3:$K$241,5,0), "")</f>
        <v/>
      </c>
      <c r="E525" s="14"/>
      <c r="F525" s="18" t="str">
        <f>IFERROR(VLOOKUP(E525,'(新)ﾍﾞﾝﾀﾞｰ小型'!$A$3:$K$241,8,0), "")</f>
        <v/>
      </c>
      <c r="G525" s="7" t="str">
        <f>IFERROR(VLOOKUP(E525,'(旧)ﾍﾞﾝﾀﾞｰ小型'!$A$3:$K$310,10,0),"")</f>
        <v/>
      </c>
      <c r="H525" s="12" t="s">
        <v>60</v>
      </c>
      <c r="I525" s="17" t="str">
        <f>IFERROR(VLOOKUP(E525,'(新)ﾍﾞﾝﾀﾞｰ小型'!$A$3:$K$241,10,0),"")</f>
        <v/>
      </c>
    </row>
    <row r="526" spans="2:9" x14ac:dyDescent="0.15">
      <c r="B526" s="17" t="str">
        <f>IFERROR(VLOOKUP(E526,'(新)ﾍﾞﾝﾀﾞｰ小型'!$A$3:$K$241,2,0), "")</f>
        <v/>
      </c>
      <c r="C526" s="17" t="str">
        <f>IFERROR(VLOOKUP(E526,'(新)ﾍﾞﾝﾀﾞｰ小型'!$A$3:$K$241,4,0), "")</f>
        <v/>
      </c>
      <c r="D526" s="17" t="str">
        <f>IFERROR(VLOOKUP(E526,'(新)ﾍﾞﾝﾀﾞｰ小型'!$A$3:$K$241,5,0), "")</f>
        <v/>
      </c>
      <c r="E526" s="14"/>
      <c r="F526" s="18" t="str">
        <f>IFERROR(VLOOKUP(E526,'(新)ﾍﾞﾝﾀﾞｰ小型'!$A$3:$K$241,8,0), "")</f>
        <v/>
      </c>
      <c r="G526" s="7" t="str">
        <f>IFERROR(VLOOKUP(E526,'(旧)ﾍﾞﾝﾀﾞｰ小型'!$A$3:$K$310,10,0),"")</f>
        <v/>
      </c>
      <c r="H526" s="12" t="s">
        <v>60</v>
      </c>
      <c r="I526" s="17" t="str">
        <f>IFERROR(VLOOKUP(E526,'(新)ﾍﾞﾝﾀﾞｰ小型'!$A$3:$K$241,10,0),"")</f>
        <v/>
      </c>
    </row>
    <row r="527" spans="2:9" x14ac:dyDescent="0.15">
      <c r="B527" s="17" t="str">
        <f>IFERROR(VLOOKUP(E527,'(新)ﾍﾞﾝﾀﾞｰ小型'!$A$3:$K$241,2,0), "")</f>
        <v/>
      </c>
      <c r="C527" s="17" t="str">
        <f>IFERROR(VLOOKUP(E527,'(新)ﾍﾞﾝﾀﾞｰ小型'!$A$3:$K$241,4,0), "")</f>
        <v/>
      </c>
      <c r="D527" s="17" t="str">
        <f>IFERROR(VLOOKUP(E527,'(新)ﾍﾞﾝﾀﾞｰ小型'!$A$3:$K$241,5,0), "")</f>
        <v/>
      </c>
      <c r="E527" s="14"/>
      <c r="F527" s="18" t="str">
        <f>IFERROR(VLOOKUP(E527,'(新)ﾍﾞﾝﾀﾞｰ小型'!$A$3:$K$241,8,0), "")</f>
        <v/>
      </c>
      <c r="G527" s="7" t="str">
        <f>IFERROR(VLOOKUP(E527,'(旧)ﾍﾞﾝﾀﾞｰ小型'!$A$3:$K$310,10,0),"")</f>
        <v/>
      </c>
      <c r="H527" s="12" t="s">
        <v>60</v>
      </c>
      <c r="I527" s="17" t="str">
        <f>IFERROR(VLOOKUP(E527,'(新)ﾍﾞﾝﾀﾞｰ小型'!$A$3:$K$241,10,0),"")</f>
        <v/>
      </c>
    </row>
    <row r="528" spans="2:9" x14ac:dyDescent="0.15">
      <c r="B528" s="17" t="str">
        <f>IFERROR(VLOOKUP(E528,'(新)ﾍﾞﾝﾀﾞｰ小型'!$A$3:$K$241,2,0), "")</f>
        <v/>
      </c>
      <c r="C528" s="17" t="str">
        <f>IFERROR(VLOOKUP(E528,'(新)ﾍﾞﾝﾀﾞｰ小型'!$A$3:$K$241,4,0), "")</f>
        <v/>
      </c>
      <c r="D528" s="17" t="str">
        <f>IFERROR(VLOOKUP(E528,'(新)ﾍﾞﾝﾀﾞｰ小型'!$A$3:$K$241,5,0), "")</f>
        <v/>
      </c>
      <c r="E528" s="14"/>
      <c r="F528" s="18" t="str">
        <f>IFERROR(VLOOKUP(E528,'(新)ﾍﾞﾝﾀﾞｰ小型'!$A$3:$K$241,8,0), "")</f>
        <v/>
      </c>
      <c r="G528" s="7" t="str">
        <f>IFERROR(VLOOKUP(E528,'(旧)ﾍﾞﾝﾀﾞｰ小型'!$A$3:$K$310,10,0),"")</f>
        <v/>
      </c>
      <c r="H528" s="12" t="s">
        <v>60</v>
      </c>
      <c r="I528" s="17" t="str">
        <f>IFERROR(VLOOKUP(E528,'(新)ﾍﾞﾝﾀﾞｰ小型'!$A$3:$K$241,10,0),"")</f>
        <v/>
      </c>
    </row>
    <row r="529" spans="2:9" x14ac:dyDescent="0.15">
      <c r="B529" s="17" t="str">
        <f>IFERROR(VLOOKUP(E529,'(新)ﾍﾞﾝﾀﾞｰ小型'!$A$3:$K$241,2,0), "")</f>
        <v/>
      </c>
      <c r="C529" s="17" t="str">
        <f>IFERROR(VLOOKUP(E529,'(新)ﾍﾞﾝﾀﾞｰ小型'!$A$3:$K$241,4,0), "")</f>
        <v/>
      </c>
      <c r="D529" s="17" t="str">
        <f>IFERROR(VLOOKUP(E529,'(新)ﾍﾞﾝﾀﾞｰ小型'!$A$3:$K$241,5,0), "")</f>
        <v/>
      </c>
      <c r="E529" s="14"/>
      <c r="F529" s="18" t="str">
        <f>IFERROR(VLOOKUP(E529,'(新)ﾍﾞﾝﾀﾞｰ小型'!$A$3:$K$241,8,0), "")</f>
        <v/>
      </c>
      <c r="G529" s="7" t="str">
        <f>IFERROR(VLOOKUP(E529,'(旧)ﾍﾞﾝﾀﾞｰ小型'!$A$3:$K$310,10,0),"")</f>
        <v/>
      </c>
      <c r="H529" s="12" t="s">
        <v>60</v>
      </c>
      <c r="I529" s="17" t="str">
        <f>IFERROR(VLOOKUP(E529,'(新)ﾍﾞﾝﾀﾞｰ小型'!$A$3:$K$241,10,0),"")</f>
        <v/>
      </c>
    </row>
    <row r="530" spans="2:9" x14ac:dyDescent="0.15">
      <c r="B530" s="17" t="str">
        <f>IFERROR(VLOOKUP(E530,'(新)ﾍﾞﾝﾀﾞｰ小型'!$A$3:$K$241,2,0), "")</f>
        <v/>
      </c>
      <c r="C530" s="17" t="str">
        <f>IFERROR(VLOOKUP(E530,'(新)ﾍﾞﾝﾀﾞｰ小型'!$A$3:$K$241,4,0), "")</f>
        <v/>
      </c>
      <c r="D530" s="17" t="str">
        <f>IFERROR(VLOOKUP(E530,'(新)ﾍﾞﾝﾀﾞｰ小型'!$A$3:$K$241,5,0), "")</f>
        <v/>
      </c>
      <c r="E530" s="14"/>
      <c r="F530" s="18" t="str">
        <f>IFERROR(VLOOKUP(E530,'(新)ﾍﾞﾝﾀﾞｰ小型'!$A$3:$K$241,8,0), "")</f>
        <v/>
      </c>
      <c r="G530" s="7" t="str">
        <f>IFERROR(VLOOKUP(E530,'(旧)ﾍﾞﾝﾀﾞｰ小型'!$A$3:$K$310,10,0),"")</f>
        <v/>
      </c>
      <c r="H530" s="12" t="s">
        <v>60</v>
      </c>
      <c r="I530" s="17" t="str">
        <f>IFERROR(VLOOKUP(E530,'(新)ﾍﾞﾝﾀﾞｰ小型'!$A$3:$K$241,10,0),"")</f>
        <v/>
      </c>
    </row>
    <row r="531" spans="2:9" x14ac:dyDescent="0.15">
      <c r="B531" s="17" t="str">
        <f>IFERROR(VLOOKUP(E531,'(新)ﾍﾞﾝﾀﾞｰ小型'!$A$3:$K$241,2,0), "")</f>
        <v/>
      </c>
      <c r="C531" s="17" t="str">
        <f>IFERROR(VLOOKUP(E531,'(新)ﾍﾞﾝﾀﾞｰ小型'!$A$3:$K$241,4,0), "")</f>
        <v/>
      </c>
      <c r="D531" s="17" t="str">
        <f>IFERROR(VLOOKUP(E531,'(新)ﾍﾞﾝﾀﾞｰ小型'!$A$3:$K$241,5,0), "")</f>
        <v/>
      </c>
      <c r="E531" s="14"/>
      <c r="F531" s="18" t="str">
        <f>IFERROR(VLOOKUP(E531,'(新)ﾍﾞﾝﾀﾞｰ小型'!$A$3:$K$241,8,0), "")</f>
        <v/>
      </c>
      <c r="G531" s="7" t="str">
        <f>IFERROR(VLOOKUP(E531,'(旧)ﾍﾞﾝﾀﾞｰ小型'!$A$3:$K$310,10,0),"")</f>
        <v/>
      </c>
      <c r="H531" s="12" t="s">
        <v>60</v>
      </c>
      <c r="I531" s="17" t="str">
        <f>IFERROR(VLOOKUP(E531,'(新)ﾍﾞﾝﾀﾞｰ小型'!$A$3:$K$241,10,0),"")</f>
        <v/>
      </c>
    </row>
    <row r="532" spans="2:9" x14ac:dyDescent="0.15">
      <c r="B532" s="17" t="str">
        <f>IFERROR(VLOOKUP(E532,'(新)ﾍﾞﾝﾀﾞｰ小型'!$A$3:$K$241,2,0), "")</f>
        <v/>
      </c>
      <c r="C532" s="17" t="str">
        <f>IFERROR(VLOOKUP(E532,'(新)ﾍﾞﾝﾀﾞｰ小型'!$A$3:$K$241,4,0), "")</f>
        <v/>
      </c>
      <c r="D532" s="17" t="str">
        <f>IFERROR(VLOOKUP(E532,'(新)ﾍﾞﾝﾀﾞｰ小型'!$A$3:$K$241,5,0), "")</f>
        <v/>
      </c>
      <c r="E532" s="14"/>
      <c r="F532" s="18" t="str">
        <f>IFERROR(VLOOKUP(E532,'(新)ﾍﾞﾝﾀﾞｰ小型'!$A$3:$K$241,8,0), "")</f>
        <v/>
      </c>
      <c r="G532" s="7" t="str">
        <f>IFERROR(VLOOKUP(E532,'(旧)ﾍﾞﾝﾀﾞｰ小型'!$A$3:$K$310,10,0),"")</f>
        <v/>
      </c>
      <c r="H532" s="12" t="s">
        <v>60</v>
      </c>
      <c r="I532" s="17" t="str">
        <f>IFERROR(VLOOKUP(E532,'(新)ﾍﾞﾝﾀﾞｰ小型'!$A$3:$K$241,10,0),"")</f>
        <v/>
      </c>
    </row>
    <row r="533" spans="2:9" x14ac:dyDescent="0.15">
      <c r="B533" s="17" t="str">
        <f>IFERROR(VLOOKUP(E533,'(新)ﾍﾞﾝﾀﾞｰ小型'!$A$3:$K$241,2,0), "")</f>
        <v/>
      </c>
      <c r="C533" s="17" t="str">
        <f>IFERROR(VLOOKUP(E533,'(新)ﾍﾞﾝﾀﾞｰ小型'!$A$3:$K$241,4,0), "")</f>
        <v/>
      </c>
      <c r="D533" s="17" t="str">
        <f>IFERROR(VLOOKUP(E533,'(新)ﾍﾞﾝﾀﾞｰ小型'!$A$3:$K$241,5,0), "")</f>
        <v/>
      </c>
      <c r="E533" s="14"/>
      <c r="F533" s="18" t="str">
        <f>IFERROR(VLOOKUP(E533,'(新)ﾍﾞﾝﾀﾞｰ小型'!$A$3:$K$241,8,0), "")</f>
        <v/>
      </c>
      <c r="G533" s="7" t="str">
        <f>IFERROR(VLOOKUP(E533,'(旧)ﾍﾞﾝﾀﾞｰ小型'!$A$3:$K$310,10,0),"")</f>
        <v/>
      </c>
      <c r="H533" s="12" t="s">
        <v>60</v>
      </c>
      <c r="I533" s="17" t="str">
        <f>IFERROR(VLOOKUP(E533,'(新)ﾍﾞﾝﾀﾞｰ小型'!$A$3:$K$241,10,0),"")</f>
        <v/>
      </c>
    </row>
    <row r="534" spans="2:9" x14ac:dyDescent="0.15">
      <c r="B534" s="17" t="str">
        <f>IFERROR(VLOOKUP(E534,'(新)ﾍﾞﾝﾀﾞｰ小型'!$A$3:$K$241,2,0), "")</f>
        <v/>
      </c>
      <c r="C534" s="17" t="str">
        <f>IFERROR(VLOOKUP(E534,'(新)ﾍﾞﾝﾀﾞｰ小型'!$A$3:$K$241,4,0), "")</f>
        <v/>
      </c>
      <c r="D534" s="17" t="str">
        <f>IFERROR(VLOOKUP(E534,'(新)ﾍﾞﾝﾀﾞｰ小型'!$A$3:$K$241,5,0), "")</f>
        <v/>
      </c>
      <c r="E534" s="13"/>
      <c r="F534" s="18" t="str">
        <f>IFERROR(VLOOKUP(E534,'(新)ﾍﾞﾝﾀﾞｰ小型'!$A$3:$K$241,8,0), "")</f>
        <v/>
      </c>
      <c r="G534" s="7" t="str">
        <f>IFERROR(VLOOKUP(E534,'(旧)ﾍﾞﾝﾀﾞｰ小型'!$A$3:$K$310,10,0),"")</f>
        <v/>
      </c>
      <c r="H534" s="12" t="s">
        <v>60</v>
      </c>
      <c r="I534" s="17" t="str">
        <f>IFERROR(VLOOKUP(E534,'(新)ﾍﾞﾝﾀﾞｰ小型'!$A$3:$K$241,10,0),"")</f>
        <v/>
      </c>
    </row>
    <row r="535" spans="2:9" x14ac:dyDescent="0.15">
      <c r="B535" s="17" t="str">
        <f>IFERROR(VLOOKUP(E535,'(新)ﾍﾞﾝﾀﾞｰ小型'!$A$3:$K$241,2,0), "")</f>
        <v/>
      </c>
      <c r="C535" s="17" t="str">
        <f>IFERROR(VLOOKUP(E535,'(新)ﾍﾞﾝﾀﾞｰ小型'!$A$3:$K$241,4,0), "")</f>
        <v/>
      </c>
      <c r="D535" s="17" t="str">
        <f>IFERROR(VLOOKUP(E535,'(新)ﾍﾞﾝﾀﾞｰ小型'!$A$3:$K$241,5,0), "")</f>
        <v/>
      </c>
      <c r="E535" s="13"/>
      <c r="F535" s="18" t="str">
        <f>IFERROR(VLOOKUP(E535,'(新)ﾍﾞﾝﾀﾞｰ小型'!$A$3:$K$241,8,0), "")</f>
        <v/>
      </c>
      <c r="G535" s="7" t="str">
        <f>IFERROR(VLOOKUP(E535,'(旧)ﾍﾞﾝﾀﾞｰ小型'!$A$3:$K$310,10,0),"")</f>
        <v/>
      </c>
      <c r="H535" s="12" t="s">
        <v>60</v>
      </c>
      <c r="I535" s="17" t="str">
        <f>IFERROR(VLOOKUP(E535,'(新)ﾍﾞﾝﾀﾞｰ小型'!$A$3:$K$241,10,0),"")</f>
        <v/>
      </c>
    </row>
    <row r="536" spans="2:9" x14ac:dyDescent="0.15">
      <c r="B536" s="17" t="str">
        <f>IFERROR(VLOOKUP(E536,'(新)ﾍﾞﾝﾀﾞｰ小型'!$A$3:$K$241,2,0), "")</f>
        <v/>
      </c>
      <c r="C536" s="17" t="str">
        <f>IFERROR(VLOOKUP(E536,'(新)ﾍﾞﾝﾀﾞｰ小型'!$A$3:$K$241,4,0), "")</f>
        <v/>
      </c>
      <c r="D536" s="17" t="str">
        <f>IFERROR(VLOOKUP(E536,'(新)ﾍﾞﾝﾀﾞｰ小型'!$A$3:$K$241,5,0), "")</f>
        <v/>
      </c>
      <c r="E536" s="13"/>
      <c r="F536" s="18" t="str">
        <f>IFERROR(VLOOKUP(E536,'(新)ﾍﾞﾝﾀﾞｰ小型'!$A$3:$K$241,8,0), "")</f>
        <v/>
      </c>
      <c r="G536" s="7" t="str">
        <f>IFERROR(VLOOKUP(E536,'(旧)ﾍﾞﾝﾀﾞｰ小型'!$A$3:$K$310,10,0),"")</f>
        <v/>
      </c>
      <c r="H536" s="12" t="s">
        <v>60</v>
      </c>
      <c r="I536" s="17" t="str">
        <f>IFERROR(VLOOKUP(E536,'(新)ﾍﾞﾝﾀﾞｰ小型'!$A$3:$K$241,10,0),"")</f>
        <v/>
      </c>
    </row>
    <row r="537" spans="2:9" x14ac:dyDescent="0.15">
      <c r="B537" s="17" t="str">
        <f>IFERROR(VLOOKUP(E537,'(新)ﾍﾞﾝﾀﾞｰ小型'!$A$3:$K$241,2,0), "")</f>
        <v/>
      </c>
      <c r="C537" s="17" t="str">
        <f>IFERROR(VLOOKUP(E537,'(新)ﾍﾞﾝﾀﾞｰ小型'!$A$3:$K$241,4,0), "")</f>
        <v/>
      </c>
      <c r="D537" s="17" t="str">
        <f>IFERROR(VLOOKUP(E537,'(新)ﾍﾞﾝﾀﾞｰ小型'!$A$3:$K$241,5,0), "")</f>
        <v/>
      </c>
      <c r="E537" s="13"/>
      <c r="F537" s="18" t="str">
        <f>IFERROR(VLOOKUP(E537,'(新)ﾍﾞﾝﾀﾞｰ小型'!$A$3:$K$241,8,0), "")</f>
        <v/>
      </c>
      <c r="G537" s="7" t="str">
        <f>IFERROR(VLOOKUP(E537,'(旧)ﾍﾞﾝﾀﾞｰ小型'!$A$3:$K$310,10,0),"")</f>
        <v/>
      </c>
      <c r="H537" s="12" t="s">
        <v>60</v>
      </c>
      <c r="I537" s="17" t="str">
        <f>IFERROR(VLOOKUP(E537,'(新)ﾍﾞﾝﾀﾞｰ小型'!$A$3:$K$241,10,0),"")</f>
        <v/>
      </c>
    </row>
    <row r="538" spans="2:9" x14ac:dyDescent="0.15">
      <c r="B538" s="17" t="str">
        <f>IFERROR(VLOOKUP(E538,'(新)ﾍﾞﾝﾀﾞｰ小型'!$A$3:$K$241,2,0), "")</f>
        <v/>
      </c>
      <c r="C538" s="17" t="str">
        <f>IFERROR(VLOOKUP(E538,'(新)ﾍﾞﾝﾀﾞｰ小型'!$A$3:$K$241,4,0), "")</f>
        <v/>
      </c>
      <c r="D538" s="17" t="str">
        <f>IFERROR(VLOOKUP(E538,'(新)ﾍﾞﾝﾀﾞｰ小型'!$A$3:$K$241,5,0), "")</f>
        <v/>
      </c>
      <c r="E538" s="13"/>
      <c r="F538" s="18" t="str">
        <f>IFERROR(VLOOKUP(E538,'(新)ﾍﾞﾝﾀﾞｰ小型'!$A$3:$K$241,8,0), "")</f>
        <v/>
      </c>
      <c r="G538" s="7" t="str">
        <f>IFERROR(VLOOKUP(E538,'(旧)ﾍﾞﾝﾀﾞｰ小型'!$A$3:$K$310,10,0),"")</f>
        <v/>
      </c>
      <c r="H538" s="12" t="s">
        <v>60</v>
      </c>
      <c r="I538" s="17" t="str">
        <f>IFERROR(VLOOKUP(E538,'(新)ﾍﾞﾝﾀﾞｰ小型'!$A$3:$K$241,10,0),"")</f>
        <v/>
      </c>
    </row>
    <row r="539" spans="2:9" x14ac:dyDescent="0.15">
      <c r="B539" s="17" t="str">
        <f>IFERROR(VLOOKUP(E539,'(新)ﾍﾞﾝﾀﾞｰ小型'!$A$3:$K$241,2,0), "")</f>
        <v/>
      </c>
      <c r="C539" s="17" t="str">
        <f>IFERROR(VLOOKUP(E539,'(新)ﾍﾞﾝﾀﾞｰ小型'!$A$3:$K$241,4,0), "")</f>
        <v/>
      </c>
      <c r="D539" s="17" t="str">
        <f>IFERROR(VLOOKUP(E539,'(新)ﾍﾞﾝﾀﾞｰ小型'!$A$3:$K$241,5,0), "")</f>
        <v/>
      </c>
      <c r="E539" s="13"/>
      <c r="F539" s="18" t="str">
        <f>IFERROR(VLOOKUP(E539,'(新)ﾍﾞﾝﾀﾞｰ小型'!$A$3:$K$241,8,0), "")</f>
        <v/>
      </c>
      <c r="G539" s="7" t="str">
        <f>IFERROR(VLOOKUP(E539,'(旧)ﾍﾞﾝﾀﾞｰ小型'!$A$3:$K$310,10,0),"")</f>
        <v/>
      </c>
      <c r="H539" s="12" t="s">
        <v>60</v>
      </c>
      <c r="I539" s="17" t="str">
        <f>IFERROR(VLOOKUP(E539,'(新)ﾍﾞﾝﾀﾞｰ小型'!$A$3:$K$241,10,0),"")</f>
        <v/>
      </c>
    </row>
    <row r="540" spans="2:9" x14ac:dyDescent="0.15">
      <c r="B540" s="17" t="str">
        <f>IFERROR(VLOOKUP(E540,'(新)ﾍﾞﾝﾀﾞｰ小型'!$A$3:$K$241,2,0), "")</f>
        <v/>
      </c>
      <c r="C540" s="17" t="str">
        <f>IFERROR(VLOOKUP(E540,'(新)ﾍﾞﾝﾀﾞｰ小型'!$A$3:$K$241,4,0), "")</f>
        <v/>
      </c>
      <c r="D540" s="17" t="str">
        <f>IFERROR(VLOOKUP(E540,'(新)ﾍﾞﾝﾀﾞｰ小型'!$A$3:$K$241,5,0), "")</f>
        <v/>
      </c>
      <c r="E540" s="13"/>
      <c r="F540" s="18" t="str">
        <f>IFERROR(VLOOKUP(E540,'(新)ﾍﾞﾝﾀﾞｰ小型'!$A$3:$K$241,8,0), "")</f>
        <v/>
      </c>
      <c r="G540" s="7" t="str">
        <f>IFERROR(VLOOKUP(E540,'(旧)ﾍﾞﾝﾀﾞｰ小型'!$A$3:$K$310,10,0),"")</f>
        <v/>
      </c>
      <c r="H540" s="12" t="s">
        <v>60</v>
      </c>
      <c r="I540" s="17" t="str">
        <f>IFERROR(VLOOKUP(E540,'(新)ﾍﾞﾝﾀﾞｰ小型'!$A$3:$K$241,10,0),"")</f>
        <v/>
      </c>
    </row>
    <row r="541" spans="2:9" x14ac:dyDescent="0.15">
      <c r="B541" s="17" t="str">
        <f>IFERROR(VLOOKUP(E541,'(新)ﾍﾞﾝﾀﾞｰ小型'!$A$3:$K$241,2,0), "")</f>
        <v/>
      </c>
      <c r="C541" s="17" t="str">
        <f>IFERROR(VLOOKUP(E541,'(新)ﾍﾞﾝﾀﾞｰ小型'!$A$3:$K$241,4,0), "")</f>
        <v/>
      </c>
      <c r="D541" s="17" t="str">
        <f>IFERROR(VLOOKUP(E541,'(新)ﾍﾞﾝﾀﾞｰ小型'!$A$3:$K$241,5,0), "")</f>
        <v/>
      </c>
      <c r="E541" s="13"/>
      <c r="F541" s="18" t="str">
        <f>IFERROR(VLOOKUP(E541,'(新)ﾍﾞﾝﾀﾞｰ小型'!$A$3:$K$241,8,0), "")</f>
        <v/>
      </c>
      <c r="G541" s="7" t="str">
        <f>IFERROR(VLOOKUP(E541,'(旧)ﾍﾞﾝﾀﾞｰ小型'!$A$3:$K$310,10,0),"")</f>
        <v/>
      </c>
      <c r="H541" s="12" t="s">
        <v>60</v>
      </c>
      <c r="I541" s="17" t="str">
        <f>IFERROR(VLOOKUP(E541,'(新)ﾍﾞﾝﾀﾞｰ小型'!$A$3:$K$241,10,0),"")</f>
        <v/>
      </c>
    </row>
    <row r="542" spans="2:9" x14ac:dyDescent="0.15">
      <c r="B542" s="17" t="str">
        <f>IFERROR(VLOOKUP(E542,'(新)ﾍﾞﾝﾀﾞｰ小型'!$A$3:$K$241,2,0), "")</f>
        <v/>
      </c>
      <c r="C542" s="17" t="str">
        <f>IFERROR(VLOOKUP(E542,'(新)ﾍﾞﾝﾀﾞｰ小型'!$A$3:$K$241,4,0), "")</f>
        <v/>
      </c>
      <c r="D542" s="17" t="str">
        <f>IFERROR(VLOOKUP(E542,'(新)ﾍﾞﾝﾀﾞｰ小型'!$A$3:$K$241,5,0), "")</f>
        <v/>
      </c>
      <c r="E542" s="13"/>
      <c r="F542" s="18" t="str">
        <f>IFERROR(VLOOKUP(E542,'(新)ﾍﾞﾝﾀﾞｰ小型'!$A$3:$K$241,8,0), "")</f>
        <v/>
      </c>
      <c r="G542" s="7" t="str">
        <f>IFERROR(VLOOKUP(E542,'(旧)ﾍﾞﾝﾀﾞｰ小型'!$A$3:$K$310,10,0),"")</f>
        <v/>
      </c>
      <c r="H542" s="12" t="s">
        <v>60</v>
      </c>
      <c r="I542" s="17" t="str">
        <f>IFERROR(VLOOKUP(E542,'(新)ﾍﾞﾝﾀﾞｰ小型'!$A$3:$K$241,10,0),"")</f>
        <v/>
      </c>
    </row>
    <row r="543" spans="2:9" x14ac:dyDescent="0.15">
      <c r="B543" s="17" t="str">
        <f>IFERROR(VLOOKUP(E543,'(新)ﾍﾞﾝﾀﾞｰ小型'!$A$3:$K$241,2,0), "")</f>
        <v/>
      </c>
      <c r="C543" s="17" t="str">
        <f>IFERROR(VLOOKUP(E543,'(新)ﾍﾞﾝﾀﾞｰ小型'!$A$3:$K$241,4,0), "")</f>
        <v/>
      </c>
      <c r="D543" s="17" t="str">
        <f>IFERROR(VLOOKUP(E543,'(新)ﾍﾞﾝﾀﾞｰ小型'!$A$3:$K$241,5,0), "")</f>
        <v/>
      </c>
      <c r="E543" s="13"/>
      <c r="F543" s="18" t="str">
        <f>IFERROR(VLOOKUP(E543,'(新)ﾍﾞﾝﾀﾞｰ小型'!$A$3:$K$241,8,0), "")</f>
        <v/>
      </c>
      <c r="G543" s="7" t="str">
        <f>IFERROR(VLOOKUP(E543,'(旧)ﾍﾞﾝﾀﾞｰ小型'!$A$3:$K$310,10,0),"")</f>
        <v/>
      </c>
      <c r="H543" s="12" t="s">
        <v>60</v>
      </c>
      <c r="I543" s="17" t="str">
        <f>IFERROR(VLOOKUP(E543,'(新)ﾍﾞﾝﾀﾞｰ小型'!$A$3:$K$241,10,0),"")</f>
        <v/>
      </c>
    </row>
    <row r="544" spans="2:9" x14ac:dyDescent="0.15">
      <c r="B544" s="17" t="str">
        <f>IFERROR(VLOOKUP(E544,'(新)ﾍﾞﾝﾀﾞｰ小型'!$A$3:$K$241,2,0), "")</f>
        <v/>
      </c>
      <c r="C544" s="17" t="str">
        <f>IFERROR(VLOOKUP(E544,'(新)ﾍﾞﾝﾀﾞｰ小型'!$A$3:$K$241,4,0), "")</f>
        <v/>
      </c>
      <c r="D544" s="17" t="str">
        <f>IFERROR(VLOOKUP(E544,'(新)ﾍﾞﾝﾀﾞｰ小型'!$A$3:$K$241,5,0), "")</f>
        <v/>
      </c>
      <c r="E544" s="13"/>
      <c r="F544" s="18" t="str">
        <f>IFERROR(VLOOKUP(E544,'(新)ﾍﾞﾝﾀﾞｰ小型'!$A$3:$K$241,8,0), "")</f>
        <v/>
      </c>
      <c r="G544" s="7" t="str">
        <f>IFERROR(VLOOKUP(E544,'(旧)ﾍﾞﾝﾀﾞｰ小型'!$A$3:$K$310,10,0),"")</f>
        <v/>
      </c>
      <c r="H544" s="12" t="s">
        <v>60</v>
      </c>
      <c r="I544" s="17" t="str">
        <f>IFERROR(VLOOKUP(E544,'(新)ﾍﾞﾝﾀﾞｰ小型'!$A$3:$K$241,10,0),"")</f>
        <v/>
      </c>
    </row>
    <row r="545" spans="2:9" x14ac:dyDescent="0.15">
      <c r="B545" s="17" t="str">
        <f>IFERROR(VLOOKUP(E545,'(新)ﾍﾞﾝﾀﾞｰ小型'!$A$3:$K$241,2,0), "")</f>
        <v/>
      </c>
      <c r="C545" s="17" t="str">
        <f>IFERROR(VLOOKUP(E545,'(新)ﾍﾞﾝﾀﾞｰ小型'!$A$3:$K$241,4,0), "")</f>
        <v/>
      </c>
      <c r="D545" s="17" t="str">
        <f>IFERROR(VLOOKUP(E545,'(新)ﾍﾞﾝﾀﾞｰ小型'!$A$3:$K$241,5,0), "")</f>
        <v/>
      </c>
      <c r="E545" s="13"/>
      <c r="F545" s="18" t="str">
        <f>IFERROR(VLOOKUP(E545,'(新)ﾍﾞﾝﾀﾞｰ小型'!$A$3:$K$241,8,0), "")</f>
        <v/>
      </c>
      <c r="G545" s="7" t="str">
        <f>IFERROR(VLOOKUP(E545,'(旧)ﾍﾞﾝﾀﾞｰ小型'!$A$3:$K$310,10,0),"")</f>
        <v/>
      </c>
      <c r="H545" s="12" t="s">
        <v>60</v>
      </c>
      <c r="I545" s="17" t="str">
        <f>IFERROR(VLOOKUP(E545,'(新)ﾍﾞﾝﾀﾞｰ小型'!$A$3:$K$241,10,0),"")</f>
        <v/>
      </c>
    </row>
    <row r="546" spans="2:9" x14ac:dyDescent="0.15">
      <c r="B546" s="17" t="str">
        <f>IFERROR(VLOOKUP(E546,'(新)ﾍﾞﾝﾀﾞｰ小型'!$A$3:$K$241,2,0), "")</f>
        <v/>
      </c>
      <c r="C546" s="17" t="str">
        <f>IFERROR(VLOOKUP(E546,'(新)ﾍﾞﾝﾀﾞｰ小型'!$A$3:$K$241,4,0), "")</f>
        <v/>
      </c>
      <c r="D546" s="17" t="str">
        <f>IFERROR(VLOOKUP(E546,'(新)ﾍﾞﾝﾀﾞｰ小型'!$A$3:$K$241,5,0), "")</f>
        <v/>
      </c>
      <c r="E546" s="13"/>
      <c r="F546" s="18" t="str">
        <f>IFERROR(VLOOKUP(E546,'(新)ﾍﾞﾝﾀﾞｰ小型'!$A$3:$K$241,8,0), "")</f>
        <v/>
      </c>
      <c r="G546" s="7" t="str">
        <f>IFERROR(VLOOKUP(E546,'(旧)ﾍﾞﾝﾀﾞｰ小型'!$A$3:$K$310,10,0),"")</f>
        <v/>
      </c>
      <c r="H546" s="12" t="s">
        <v>60</v>
      </c>
      <c r="I546" s="17" t="str">
        <f>IFERROR(VLOOKUP(E546,'(新)ﾍﾞﾝﾀﾞｰ小型'!$A$3:$K$241,10,0),"")</f>
        <v/>
      </c>
    </row>
    <row r="547" spans="2:9" x14ac:dyDescent="0.15">
      <c r="B547" s="17" t="str">
        <f>IFERROR(VLOOKUP(E547,'(新)ﾍﾞﾝﾀﾞｰ小型'!$A$3:$K$241,2,0), "")</f>
        <v/>
      </c>
      <c r="C547" s="17" t="str">
        <f>IFERROR(VLOOKUP(E547,'(新)ﾍﾞﾝﾀﾞｰ小型'!$A$3:$K$241,4,0), "")</f>
        <v/>
      </c>
      <c r="D547" s="17" t="str">
        <f>IFERROR(VLOOKUP(E547,'(新)ﾍﾞﾝﾀﾞｰ小型'!$A$3:$K$241,5,0), "")</f>
        <v/>
      </c>
      <c r="E547" s="13"/>
      <c r="F547" s="18" t="str">
        <f>IFERROR(VLOOKUP(E547,'(新)ﾍﾞﾝﾀﾞｰ小型'!$A$3:$K$241,8,0), "")</f>
        <v/>
      </c>
      <c r="G547" s="7" t="str">
        <f>IFERROR(VLOOKUP(E547,'(旧)ﾍﾞﾝﾀﾞｰ小型'!$A$3:$K$310,10,0),"")</f>
        <v/>
      </c>
      <c r="H547" s="12" t="s">
        <v>60</v>
      </c>
      <c r="I547" s="17" t="str">
        <f>IFERROR(VLOOKUP(E547,'(新)ﾍﾞﾝﾀﾞｰ小型'!$A$3:$K$241,10,0),"")</f>
        <v/>
      </c>
    </row>
    <row r="548" spans="2:9" x14ac:dyDescent="0.15">
      <c r="B548" s="17" t="str">
        <f>IFERROR(VLOOKUP(E548,'(新)ﾍﾞﾝﾀﾞｰ小型'!$A$3:$K$241,2,0), "")</f>
        <v/>
      </c>
      <c r="C548" s="17" t="str">
        <f>IFERROR(VLOOKUP(E548,'(新)ﾍﾞﾝﾀﾞｰ小型'!$A$3:$K$241,4,0), "")</f>
        <v/>
      </c>
      <c r="D548" s="17" t="str">
        <f>IFERROR(VLOOKUP(E548,'(新)ﾍﾞﾝﾀﾞｰ小型'!$A$3:$K$241,5,0), "")</f>
        <v/>
      </c>
      <c r="E548" s="13"/>
      <c r="F548" s="18" t="str">
        <f>IFERROR(VLOOKUP(E548,'(新)ﾍﾞﾝﾀﾞｰ小型'!$A$3:$K$241,8,0), "")</f>
        <v/>
      </c>
      <c r="G548" s="7" t="str">
        <f>IFERROR(VLOOKUP(E548,'(旧)ﾍﾞﾝﾀﾞｰ小型'!$A$3:$K$310,10,0),"")</f>
        <v/>
      </c>
      <c r="H548" s="12" t="s">
        <v>60</v>
      </c>
      <c r="I548" s="17" t="str">
        <f>IFERROR(VLOOKUP(E548,'(新)ﾍﾞﾝﾀﾞｰ小型'!$A$3:$K$241,10,0),"")</f>
        <v/>
      </c>
    </row>
    <row r="549" spans="2:9" x14ac:dyDescent="0.15">
      <c r="B549" s="17" t="str">
        <f>IFERROR(VLOOKUP(E549,'(新)ﾍﾞﾝﾀﾞｰ小型'!$A$3:$K$241,2,0), "")</f>
        <v/>
      </c>
      <c r="C549" s="17" t="str">
        <f>IFERROR(VLOOKUP(E549,'(新)ﾍﾞﾝﾀﾞｰ小型'!$A$3:$K$241,4,0), "")</f>
        <v/>
      </c>
      <c r="D549" s="17" t="str">
        <f>IFERROR(VLOOKUP(E549,'(新)ﾍﾞﾝﾀﾞｰ小型'!$A$3:$K$241,5,0), "")</f>
        <v/>
      </c>
      <c r="E549" s="13"/>
      <c r="F549" s="18" t="str">
        <f>IFERROR(VLOOKUP(E549,'(新)ﾍﾞﾝﾀﾞｰ小型'!$A$3:$K$241,8,0), "")</f>
        <v/>
      </c>
      <c r="G549" s="7" t="str">
        <f>IFERROR(VLOOKUP(E549,'(旧)ﾍﾞﾝﾀﾞｰ小型'!$A$3:$K$310,10,0),"")</f>
        <v/>
      </c>
      <c r="H549" s="12" t="s">
        <v>60</v>
      </c>
      <c r="I549" s="17" t="str">
        <f>IFERROR(VLOOKUP(E549,'(新)ﾍﾞﾝﾀﾞｰ小型'!$A$3:$K$241,10,0),"")</f>
        <v/>
      </c>
    </row>
    <row r="550" spans="2:9" x14ac:dyDescent="0.15">
      <c r="B550" s="17" t="str">
        <f>IFERROR(VLOOKUP(E550,'(新)ﾍﾞﾝﾀﾞｰ小型'!$A$3:$K$241,2,0), "")</f>
        <v/>
      </c>
      <c r="C550" s="17" t="str">
        <f>IFERROR(VLOOKUP(E550,'(新)ﾍﾞﾝﾀﾞｰ小型'!$A$3:$K$241,4,0), "")</f>
        <v/>
      </c>
      <c r="D550" s="17" t="str">
        <f>IFERROR(VLOOKUP(E550,'(新)ﾍﾞﾝﾀﾞｰ小型'!$A$3:$K$241,5,0), "")</f>
        <v/>
      </c>
      <c r="E550" s="13"/>
      <c r="F550" s="18" t="str">
        <f>IFERROR(VLOOKUP(E550,'(新)ﾍﾞﾝﾀﾞｰ小型'!$A$3:$K$241,8,0), "")</f>
        <v/>
      </c>
      <c r="G550" s="7" t="str">
        <f>IFERROR(VLOOKUP(E550,'(旧)ﾍﾞﾝﾀﾞｰ小型'!$A$3:$K$310,10,0),"")</f>
        <v/>
      </c>
      <c r="H550" s="12" t="s">
        <v>60</v>
      </c>
      <c r="I550" s="17" t="str">
        <f>IFERROR(VLOOKUP(E550,'(新)ﾍﾞﾝﾀﾞｰ小型'!$A$3:$K$241,10,0),"")</f>
        <v/>
      </c>
    </row>
    <row r="551" spans="2:9" x14ac:dyDescent="0.15">
      <c r="B551" s="17" t="str">
        <f>IFERROR(VLOOKUP(E551,'(新)ﾍﾞﾝﾀﾞｰ小型'!$A$3:$K$241,2,0), "")</f>
        <v/>
      </c>
      <c r="C551" s="17" t="str">
        <f>IFERROR(VLOOKUP(E551,'(新)ﾍﾞﾝﾀﾞｰ小型'!$A$3:$K$241,4,0), "")</f>
        <v/>
      </c>
      <c r="D551" s="17" t="str">
        <f>IFERROR(VLOOKUP(E551,'(新)ﾍﾞﾝﾀﾞｰ小型'!$A$3:$K$241,5,0), "")</f>
        <v/>
      </c>
      <c r="E551" s="13"/>
      <c r="F551" s="18" t="str">
        <f>IFERROR(VLOOKUP(E551,'(新)ﾍﾞﾝﾀﾞｰ小型'!$A$3:$K$241,8,0), "")</f>
        <v/>
      </c>
      <c r="G551" s="7" t="str">
        <f>IFERROR(VLOOKUP(E551,'(旧)ﾍﾞﾝﾀﾞｰ小型'!$A$3:$K$310,10,0),"")</f>
        <v/>
      </c>
      <c r="H551" s="12" t="s">
        <v>60</v>
      </c>
      <c r="I551" s="17" t="str">
        <f>IFERROR(VLOOKUP(E551,'(新)ﾍﾞﾝﾀﾞｰ小型'!$A$3:$K$241,10,0),"")</f>
        <v/>
      </c>
    </row>
    <row r="552" spans="2:9" x14ac:dyDescent="0.15">
      <c r="B552" s="17" t="str">
        <f>IFERROR(VLOOKUP(E552,'(新)ﾍﾞﾝﾀﾞｰ小型'!$A$3:$K$241,2,0), "")</f>
        <v/>
      </c>
      <c r="C552" s="17" t="str">
        <f>IFERROR(VLOOKUP(E552,'(新)ﾍﾞﾝﾀﾞｰ小型'!$A$3:$K$241,4,0), "")</f>
        <v/>
      </c>
      <c r="D552" s="17" t="str">
        <f>IFERROR(VLOOKUP(E552,'(新)ﾍﾞﾝﾀﾞｰ小型'!$A$3:$K$241,5,0), "")</f>
        <v/>
      </c>
      <c r="E552" s="13"/>
      <c r="F552" s="18" t="str">
        <f>IFERROR(VLOOKUP(E552,'(新)ﾍﾞﾝﾀﾞｰ小型'!$A$3:$K$241,8,0), "")</f>
        <v/>
      </c>
      <c r="G552" s="7" t="str">
        <f>IFERROR(VLOOKUP(E552,'(旧)ﾍﾞﾝﾀﾞｰ小型'!$A$3:$K$310,10,0),"")</f>
        <v/>
      </c>
      <c r="H552" s="12" t="s">
        <v>60</v>
      </c>
      <c r="I552" s="17" t="str">
        <f>IFERROR(VLOOKUP(E552,'(新)ﾍﾞﾝﾀﾞｰ小型'!$A$3:$K$241,10,0),"")</f>
        <v/>
      </c>
    </row>
    <row r="553" spans="2:9" x14ac:dyDescent="0.15">
      <c r="B553" s="17" t="str">
        <f>IFERROR(VLOOKUP(E553,'(新)ﾍﾞﾝﾀﾞｰ小型'!$A$3:$K$241,2,0), "")</f>
        <v/>
      </c>
      <c r="C553" s="17" t="str">
        <f>IFERROR(VLOOKUP(E553,'(新)ﾍﾞﾝﾀﾞｰ小型'!$A$3:$K$241,4,0), "")</f>
        <v/>
      </c>
      <c r="D553" s="17" t="str">
        <f>IFERROR(VLOOKUP(E553,'(新)ﾍﾞﾝﾀﾞｰ小型'!$A$3:$K$241,5,0), "")</f>
        <v/>
      </c>
      <c r="E553" s="13"/>
      <c r="F553" s="18" t="str">
        <f>IFERROR(VLOOKUP(E553,'(新)ﾍﾞﾝﾀﾞｰ小型'!$A$3:$K$241,8,0), "")</f>
        <v/>
      </c>
      <c r="G553" s="7" t="str">
        <f>IFERROR(VLOOKUP(E553,'(旧)ﾍﾞﾝﾀﾞｰ小型'!$A$3:$K$310,10,0),"")</f>
        <v/>
      </c>
      <c r="H553" s="12" t="s">
        <v>60</v>
      </c>
      <c r="I553" s="17" t="str">
        <f>IFERROR(VLOOKUP(E553,'(新)ﾍﾞﾝﾀﾞｰ小型'!$A$3:$K$241,10,0),"")</f>
        <v/>
      </c>
    </row>
    <row r="554" spans="2:9" x14ac:dyDescent="0.15">
      <c r="B554" s="17" t="str">
        <f>IFERROR(VLOOKUP(E554,'(新)ﾍﾞﾝﾀﾞｰ小型'!$A$3:$K$241,2,0), "")</f>
        <v/>
      </c>
      <c r="C554" s="17" t="str">
        <f>IFERROR(VLOOKUP(E554,'(新)ﾍﾞﾝﾀﾞｰ小型'!$A$3:$K$241,4,0), "")</f>
        <v/>
      </c>
      <c r="D554" s="17" t="str">
        <f>IFERROR(VLOOKUP(E554,'(新)ﾍﾞﾝﾀﾞｰ小型'!$A$3:$K$241,5,0), "")</f>
        <v/>
      </c>
      <c r="E554" s="13"/>
      <c r="F554" s="18" t="str">
        <f>IFERROR(VLOOKUP(E554,'(新)ﾍﾞﾝﾀﾞｰ小型'!$A$3:$K$241,8,0), "")</f>
        <v/>
      </c>
      <c r="G554" s="7" t="str">
        <f>IFERROR(VLOOKUP(E554,'(旧)ﾍﾞﾝﾀﾞｰ小型'!$A$3:$K$310,10,0),"")</f>
        <v/>
      </c>
      <c r="H554" s="12" t="s">
        <v>60</v>
      </c>
      <c r="I554" s="17" t="str">
        <f>IFERROR(VLOOKUP(E554,'(新)ﾍﾞﾝﾀﾞｰ小型'!$A$3:$K$241,10,0),"")</f>
        <v/>
      </c>
    </row>
    <row r="555" spans="2:9" x14ac:dyDescent="0.15">
      <c r="B555" s="17" t="str">
        <f>IFERROR(VLOOKUP(E555,'(新)ﾍﾞﾝﾀﾞｰ小型'!$A$3:$K$241,2,0), "")</f>
        <v/>
      </c>
      <c r="C555" s="17" t="str">
        <f>IFERROR(VLOOKUP(E555,'(新)ﾍﾞﾝﾀﾞｰ小型'!$A$3:$K$241,4,0), "")</f>
        <v/>
      </c>
      <c r="D555" s="17" t="str">
        <f>IFERROR(VLOOKUP(E555,'(新)ﾍﾞﾝﾀﾞｰ小型'!$A$3:$K$241,5,0), "")</f>
        <v/>
      </c>
      <c r="E555" s="13"/>
      <c r="F555" s="18" t="str">
        <f>IFERROR(VLOOKUP(E555,'(新)ﾍﾞﾝﾀﾞｰ小型'!$A$3:$K$241,8,0), "")</f>
        <v/>
      </c>
      <c r="G555" s="7" t="str">
        <f>IFERROR(VLOOKUP(E555,'(旧)ﾍﾞﾝﾀﾞｰ小型'!$A$3:$K$310,10,0),"")</f>
        <v/>
      </c>
      <c r="H555" s="12" t="s">
        <v>60</v>
      </c>
      <c r="I555" s="17" t="str">
        <f>IFERROR(VLOOKUP(E555,'(新)ﾍﾞﾝﾀﾞｰ小型'!$A$3:$K$241,10,0),"")</f>
        <v/>
      </c>
    </row>
    <row r="556" spans="2:9" x14ac:dyDescent="0.15">
      <c r="B556" s="17" t="str">
        <f>IFERROR(VLOOKUP(E556,'(新)ﾍﾞﾝﾀﾞｰ小型'!$A$3:$K$241,2,0), "")</f>
        <v/>
      </c>
      <c r="C556" s="17" t="str">
        <f>IFERROR(VLOOKUP(E556,'(新)ﾍﾞﾝﾀﾞｰ小型'!$A$3:$K$241,4,0), "")</f>
        <v/>
      </c>
      <c r="D556" s="17" t="str">
        <f>IFERROR(VLOOKUP(E556,'(新)ﾍﾞﾝﾀﾞｰ小型'!$A$3:$K$241,5,0), "")</f>
        <v/>
      </c>
      <c r="E556" s="13"/>
      <c r="F556" s="18" t="str">
        <f>IFERROR(VLOOKUP(E556,'(新)ﾍﾞﾝﾀﾞｰ小型'!$A$3:$K$241,8,0), "")</f>
        <v/>
      </c>
      <c r="G556" s="7" t="str">
        <f>IFERROR(VLOOKUP(E556,'(旧)ﾍﾞﾝﾀﾞｰ小型'!$A$3:$K$310,10,0),"")</f>
        <v/>
      </c>
      <c r="H556" s="12" t="s">
        <v>60</v>
      </c>
      <c r="I556" s="17" t="str">
        <f>IFERROR(VLOOKUP(E556,'(新)ﾍﾞﾝﾀﾞｰ小型'!$A$3:$K$241,10,0),"")</f>
        <v/>
      </c>
    </row>
    <row r="557" spans="2:9" x14ac:dyDescent="0.15">
      <c r="B557" s="17" t="str">
        <f>IFERROR(VLOOKUP(E557,'(新)ﾍﾞﾝﾀﾞｰ小型'!$A$3:$K$241,2,0), "")</f>
        <v/>
      </c>
      <c r="C557" s="17" t="str">
        <f>IFERROR(VLOOKUP(E557,'(新)ﾍﾞﾝﾀﾞｰ小型'!$A$3:$K$241,4,0), "")</f>
        <v/>
      </c>
      <c r="D557" s="17" t="str">
        <f>IFERROR(VLOOKUP(E557,'(新)ﾍﾞﾝﾀﾞｰ小型'!$A$3:$K$241,5,0), "")</f>
        <v/>
      </c>
      <c r="E557" s="13"/>
      <c r="F557" s="18" t="str">
        <f>IFERROR(VLOOKUP(E557,'(新)ﾍﾞﾝﾀﾞｰ小型'!$A$3:$K$241,8,0), "")</f>
        <v/>
      </c>
      <c r="G557" s="7" t="str">
        <f>IFERROR(VLOOKUP(E557,'(旧)ﾍﾞﾝﾀﾞｰ小型'!$A$3:$K$310,10,0),"")</f>
        <v/>
      </c>
      <c r="H557" s="12" t="s">
        <v>60</v>
      </c>
      <c r="I557" s="17" t="str">
        <f>IFERROR(VLOOKUP(E557,'(新)ﾍﾞﾝﾀﾞｰ小型'!$A$3:$K$241,10,0),"")</f>
        <v/>
      </c>
    </row>
    <row r="558" spans="2:9" x14ac:dyDescent="0.15">
      <c r="B558" s="17" t="str">
        <f>IFERROR(VLOOKUP(E558,'(新)ﾍﾞﾝﾀﾞｰ小型'!$A$3:$K$241,2,0), "")</f>
        <v/>
      </c>
      <c r="C558" s="17" t="str">
        <f>IFERROR(VLOOKUP(E558,'(新)ﾍﾞﾝﾀﾞｰ小型'!$A$3:$K$241,4,0), "")</f>
        <v/>
      </c>
      <c r="D558" s="17" t="str">
        <f>IFERROR(VLOOKUP(E558,'(新)ﾍﾞﾝﾀﾞｰ小型'!$A$3:$K$241,5,0), "")</f>
        <v/>
      </c>
      <c r="E558" s="13"/>
      <c r="F558" s="18" t="str">
        <f>IFERROR(VLOOKUP(E558,'(新)ﾍﾞﾝﾀﾞｰ小型'!$A$3:$K$241,8,0), "")</f>
        <v/>
      </c>
      <c r="G558" s="7" t="str">
        <f>IFERROR(VLOOKUP(E558,'(旧)ﾍﾞﾝﾀﾞｰ小型'!$A$3:$K$310,10,0),"")</f>
        <v/>
      </c>
      <c r="H558" s="12" t="s">
        <v>60</v>
      </c>
      <c r="I558" s="17" t="str">
        <f>IFERROR(VLOOKUP(E558,'(新)ﾍﾞﾝﾀﾞｰ小型'!$A$3:$K$241,10,0),"")</f>
        <v/>
      </c>
    </row>
    <row r="559" spans="2:9" x14ac:dyDescent="0.15">
      <c r="B559" s="17" t="str">
        <f>IFERROR(VLOOKUP(E559,'(新)ﾍﾞﾝﾀﾞｰ小型'!$A$3:$K$241,2,0), "")</f>
        <v/>
      </c>
      <c r="C559" s="17" t="str">
        <f>IFERROR(VLOOKUP(E559,'(新)ﾍﾞﾝﾀﾞｰ小型'!$A$3:$K$241,4,0), "")</f>
        <v/>
      </c>
      <c r="D559" s="17" t="str">
        <f>IFERROR(VLOOKUP(E559,'(新)ﾍﾞﾝﾀﾞｰ小型'!$A$3:$K$241,5,0), "")</f>
        <v/>
      </c>
      <c r="E559" s="13"/>
      <c r="F559" s="18" t="str">
        <f>IFERROR(VLOOKUP(E559,'(新)ﾍﾞﾝﾀﾞｰ小型'!$A$3:$K$241,8,0), "")</f>
        <v/>
      </c>
      <c r="G559" s="7" t="str">
        <f>IFERROR(VLOOKUP(E559,'(旧)ﾍﾞﾝﾀﾞｰ小型'!$A$3:$K$310,10,0),"")</f>
        <v/>
      </c>
      <c r="H559" s="12" t="s">
        <v>60</v>
      </c>
      <c r="I559" s="17" t="str">
        <f>IFERROR(VLOOKUP(E559,'(新)ﾍﾞﾝﾀﾞｰ小型'!$A$3:$K$241,10,0),"")</f>
        <v/>
      </c>
    </row>
    <row r="560" spans="2:9" x14ac:dyDescent="0.15">
      <c r="B560" s="17" t="str">
        <f>IFERROR(VLOOKUP(E560,'(新)ﾍﾞﾝﾀﾞｰ小型'!$A$3:$K$241,2,0), "")</f>
        <v/>
      </c>
      <c r="C560" s="17" t="str">
        <f>IFERROR(VLOOKUP(E560,'(新)ﾍﾞﾝﾀﾞｰ小型'!$A$3:$K$241,4,0), "")</f>
        <v/>
      </c>
      <c r="D560" s="17" t="str">
        <f>IFERROR(VLOOKUP(E560,'(新)ﾍﾞﾝﾀﾞｰ小型'!$A$3:$K$241,5,0), "")</f>
        <v/>
      </c>
      <c r="E560" s="13"/>
      <c r="F560" s="18" t="str">
        <f>IFERROR(VLOOKUP(E560,'(新)ﾍﾞﾝﾀﾞｰ小型'!$A$3:$K$241,8,0), "")</f>
        <v/>
      </c>
      <c r="G560" s="7" t="str">
        <f>IFERROR(VLOOKUP(E560,'(旧)ﾍﾞﾝﾀﾞｰ小型'!$A$3:$K$310,10,0),"")</f>
        <v/>
      </c>
      <c r="H560" s="12" t="s">
        <v>60</v>
      </c>
      <c r="I560" s="17" t="str">
        <f>IFERROR(VLOOKUP(E560,'(新)ﾍﾞﾝﾀﾞｰ小型'!$A$3:$K$241,10,0),"")</f>
        <v/>
      </c>
    </row>
    <row r="561" spans="2:9" x14ac:dyDescent="0.15">
      <c r="B561" s="17" t="str">
        <f>IFERROR(VLOOKUP(E561,'(新)ﾍﾞﾝﾀﾞｰ小型'!$A$3:$K$241,2,0), "")</f>
        <v/>
      </c>
      <c r="C561" s="17" t="str">
        <f>IFERROR(VLOOKUP(E561,'(新)ﾍﾞﾝﾀﾞｰ小型'!$A$3:$K$241,4,0), "")</f>
        <v/>
      </c>
      <c r="D561" s="17" t="str">
        <f>IFERROR(VLOOKUP(E561,'(新)ﾍﾞﾝﾀﾞｰ小型'!$A$3:$K$241,5,0), "")</f>
        <v/>
      </c>
      <c r="E561" s="13"/>
      <c r="F561" s="18" t="str">
        <f>IFERROR(VLOOKUP(E561,'(新)ﾍﾞﾝﾀﾞｰ小型'!$A$3:$K$241,8,0), "")</f>
        <v/>
      </c>
      <c r="G561" s="7" t="str">
        <f>IFERROR(VLOOKUP(E561,'(旧)ﾍﾞﾝﾀﾞｰ小型'!$A$3:$K$310,10,0),"")</f>
        <v/>
      </c>
      <c r="H561" s="12" t="s">
        <v>60</v>
      </c>
      <c r="I561" s="17" t="str">
        <f>IFERROR(VLOOKUP(E561,'(新)ﾍﾞﾝﾀﾞｰ小型'!$A$3:$K$241,10,0),"")</f>
        <v/>
      </c>
    </row>
    <row r="562" spans="2:9" x14ac:dyDescent="0.15">
      <c r="B562" s="17" t="str">
        <f>IFERROR(VLOOKUP(E562,'(新)ﾍﾞﾝﾀﾞｰ小型'!$A$3:$K$241,2,0), "")</f>
        <v/>
      </c>
      <c r="C562" s="17" t="str">
        <f>IFERROR(VLOOKUP(E562,'(新)ﾍﾞﾝﾀﾞｰ小型'!$A$3:$K$241,4,0), "")</f>
        <v/>
      </c>
      <c r="D562" s="17" t="str">
        <f>IFERROR(VLOOKUP(E562,'(新)ﾍﾞﾝﾀﾞｰ小型'!$A$3:$K$241,5,0), "")</f>
        <v/>
      </c>
      <c r="E562" s="13"/>
      <c r="F562" s="18" t="str">
        <f>IFERROR(VLOOKUP(E562,'(新)ﾍﾞﾝﾀﾞｰ小型'!$A$3:$K$241,8,0), "")</f>
        <v/>
      </c>
      <c r="G562" s="7" t="str">
        <f>IFERROR(VLOOKUP(E562,'(旧)ﾍﾞﾝﾀﾞｰ小型'!$A$3:$K$310,10,0),"")</f>
        <v/>
      </c>
      <c r="H562" s="12" t="s">
        <v>60</v>
      </c>
      <c r="I562" s="17" t="str">
        <f>IFERROR(VLOOKUP(E562,'(新)ﾍﾞﾝﾀﾞｰ小型'!$A$3:$K$241,10,0),"")</f>
        <v/>
      </c>
    </row>
    <row r="563" spans="2:9" x14ac:dyDescent="0.15">
      <c r="B563" s="17" t="str">
        <f>IFERROR(VLOOKUP(E563,'(新)ﾍﾞﾝﾀﾞｰ小型'!$A$3:$K$241,2,0), "")</f>
        <v/>
      </c>
      <c r="C563" s="17" t="str">
        <f>IFERROR(VLOOKUP(E563,'(新)ﾍﾞﾝﾀﾞｰ小型'!$A$3:$K$241,4,0), "")</f>
        <v/>
      </c>
      <c r="D563" s="17" t="str">
        <f>IFERROR(VLOOKUP(E563,'(新)ﾍﾞﾝﾀﾞｰ小型'!$A$3:$K$241,5,0), "")</f>
        <v/>
      </c>
      <c r="E563" s="13"/>
      <c r="F563" s="18" t="str">
        <f>IFERROR(VLOOKUP(E563,'(新)ﾍﾞﾝﾀﾞｰ小型'!$A$3:$K$241,8,0), "")</f>
        <v/>
      </c>
      <c r="G563" s="7" t="str">
        <f>IFERROR(VLOOKUP(E563,'(旧)ﾍﾞﾝﾀﾞｰ小型'!$A$3:$K$310,10,0),"")</f>
        <v/>
      </c>
      <c r="H563" s="12" t="s">
        <v>60</v>
      </c>
      <c r="I563" s="17" t="str">
        <f>IFERROR(VLOOKUP(E563,'(新)ﾍﾞﾝﾀﾞｰ小型'!$A$3:$K$241,10,0),"")</f>
        <v/>
      </c>
    </row>
    <row r="564" spans="2:9" x14ac:dyDescent="0.15">
      <c r="B564" s="17" t="str">
        <f>IFERROR(VLOOKUP(E564,'(新)ﾍﾞﾝﾀﾞｰ小型'!$A$3:$K$241,2,0), "")</f>
        <v/>
      </c>
      <c r="C564" s="17" t="str">
        <f>IFERROR(VLOOKUP(E564,'(新)ﾍﾞﾝﾀﾞｰ小型'!$A$3:$K$241,4,0), "")</f>
        <v/>
      </c>
      <c r="D564" s="17" t="str">
        <f>IFERROR(VLOOKUP(E564,'(新)ﾍﾞﾝﾀﾞｰ小型'!$A$3:$K$241,5,0), "")</f>
        <v/>
      </c>
      <c r="E564" s="13"/>
      <c r="F564" s="18" t="str">
        <f>IFERROR(VLOOKUP(E564,'(新)ﾍﾞﾝﾀﾞｰ小型'!$A$3:$K$241,8,0), "")</f>
        <v/>
      </c>
      <c r="G564" s="7" t="str">
        <f>IFERROR(VLOOKUP(E564,'(旧)ﾍﾞﾝﾀﾞｰ小型'!$A$3:$K$310,10,0),"")</f>
        <v/>
      </c>
      <c r="H564" s="12" t="s">
        <v>60</v>
      </c>
      <c r="I564" s="17" t="str">
        <f>IFERROR(VLOOKUP(E564,'(新)ﾍﾞﾝﾀﾞｰ小型'!$A$3:$K$241,10,0),"")</f>
        <v/>
      </c>
    </row>
    <row r="565" spans="2:9" x14ac:dyDescent="0.15">
      <c r="B565" s="17" t="str">
        <f>IFERROR(VLOOKUP(E565,'(新)ﾍﾞﾝﾀﾞｰ小型'!$A$3:$K$241,2,0), "")</f>
        <v/>
      </c>
      <c r="C565" s="17" t="str">
        <f>IFERROR(VLOOKUP(E565,'(新)ﾍﾞﾝﾀﾞｰ小型'!$A$3:$K$241,4,0), "")</f>
        <v/>
      </c>
      <c r="D565" s="17" t="str">
        <f>IFERROR(VLOOKUP(E565,'(新)ﾍﾞﾝﾀﾞｰ小型'!$A$3:$K$241,5,0), "")</f>
        <v/>
      </c>
      <c r="E565" s="13"/>
      <c r="F565" s="18" t="str">
        <f>IFERROR(VLOOKUP(E565,'(新)ﾍﾞﾝﾀﾞｰ小型'!$A$3:$K$241,8,0), "")</f>
        <v/>
      </c>
      <c r="G565" s="7" t="str">
        <f>IFERROR(VLOOKUP(E565,'(旧)ﾍﾞﾝﾀﾞｰ小型'!$A$3:$K$310,10,0),"")</f>
        <v/>
      </c>
      <c r="H565" s="12" t="s">
        <v>60</v>
      </c>
      <c r="I565" s="17" t="str">
        <f>IFERROR(VLOOKUP(E565,'(新)ﾍﾞﾝﾀﾞｰ小型'!$A$3:$K$241,10,0),"")</f>
        <v/>
      </c>
    </row>
    <row r="566" spans="2:9" x14ac:dyDescent="0.15">
      <c r="B566" s="17" t="str">
        <f>IFERROR(VLOOKUP(E566,'(新)ﾍﾞﾝﾀﾞｰ小型'!$A$3:$K$241,2,0), "")</f>
        <v/>
      </c>
      <c r="C566" s="17" t="str">
        <f>IFERROR(VLOOKUP(E566,'(新)ﾍﾞﾝﾀﾞｰ小型'!$A$3:$K$241,4,0), "")</f>
        <v/>
      </c>
      <c r="D566" s="17" t="str">
        <f>IFERROR(VLOOKUP(E566,'(新)ﾍﾞﾝﾀﾞｰ小型'!$A$3:$K$241,5,0), "")</f>
        <v/>
      </c>
      <c r="E566" s="13"/>
      <c r="F566" s="18" t="str">
        <f>IFERROR(VLOOKUP(E566,'(新)ﾍﾞﾝﾀﾞｰ小型'!$A$3:$K$241,8,0), "")</f>
        <v/>
      </c>
      <c r="G566" s="7" t="str">
        <f>IFERROR(VLOOKUP(E566,'(旧)ﾍﾞﾝﾀﾞｰ小型'!$A$3:$K$310,10,0),"")</f>
        <v/>
      </c>
      <c r="H566" s="12" t="s">
        <v>60</v>
      </c>
      <c r="I566" s="17" t="str">
        <f>IFERROR(VLOOKUP(E566,'(新)ﾍﾞﾝﾀﾞｰ小型'!$A$3:$K$241,10,0),"")</f>
        <v/>
      </c>
    </row>
    <row r="567" spans="2:9" x14ac:dyDescent="0.15">
      <c r="B567" s="17" t="str">
        <f>IFERROR(VLOOKUP(E567,'(新)ﾍﾞﾝﾀﾞｰ小型'!$A$3:$K$241,2,0), "")</f>
        <v/>
      </c>
      <c r="C567" s="17" t="str">
        <f>IFERROR(VLOOKUP(E567,'(新)ﾍﾞﾝﾀﾞｰ小型'!$A$3:$K$241,4,0), "")</f>
        <v/>
      </c>
      <c r="D567" s="17" t="str">
        <f>IFERROR(VLOOKUP(E567,'(新)ﾍﾞﾝﾀﾞｰ小型'!$A$3:$K$241,5,0), "")</f>
        <v/>
      </c>
      <c r="E567" s="13"/>
      <c r="F567" s="18" t="str">
        <f>IFERROR(VLOOKUP(E567,'(新)ﾍﾞﾝﾀﾞｰ小型'!$A$3:$K$241,8,0), "")</f>
        <v/>
      </c>
      <c r="G567" s="7" t="str">
        <f>IFERROR(VLOOKUP(E567,'(旧)ﾍﾞﾝﾀﾞｰ小型'!$A$3:$K$310,10,0),"")</f>
        <v/>
      </c>
      <c r="H567" s="12" t="s">
        <v>60</v>
      </c>
      <c r="I567" s="17" t="str">
        <f>IFERROR(VLOOKUP(E567,'(新)ﾍﾞﾝﾀﾞｰ小型'!$A$3:$K$241,10,0),"")</f>
        <v/>
      </c>
    </row>
    <row r="568" spans="2:9" x14ac:dyDescent="0.15">
      <c r="B568" s="17" t="str">
        <f>IFERROR(VLOOKUP(E568,'(新)ﾍﾞﾝﾀﾞｰ小型'!$A$3:$K$241,2,0), "")</f>
        <v/>
      </c>
      <c r="C568" s="17" t="str">
        <f>IFERROR(VLOOKUP(E568,'(新)ﾍﾞﾝﾀﾞｰ小型'!$A$3:$K$241,4,0), "")</f>
        <v/>
      </c>
      <c r="D568" s="17" t="str">
        <f>IFERROR(VLOOKUP(E568,'(新)ﾍﾞﾝﾀﾞｰ小型'!$A$3:$K$241,5,0), "")</f>
        <v/>
      </c>
      <c r="E568" s="13"/>
      <c r="F568" s="18" t="str">
        <f>IFERROR(VLOOKUP(E568,'(新)ﾍﾞﾝﾀﾞｰ小型'!$A$3:$K$241,8,0), "")</f>
        <v/>
      </c>
      <c r="G568" s="7" t="str">
        <f>IFERROR(VLOOKUP(E568,'(旧)ﾍﾞﾝﾀﾞｰ小型'!$A$3:$K$310,10,0),"")</f>
        <v/>
      </c>
      <c r="H568" s="12" t="s">
        <v>60</v>
      </c>
      <c r="I568" s="17" t="str">
        <f>IFERROR(VLOOKUP(E568,'(新)ﾍﾞﾝﾀﾞｰ小型'!$A$3:$K$241,10,0),"")</f>
        <v/>
      </c>
    </row>
    <row r="569" spans="2:9" x14ac:dyDescent="0.15">
      <c r="B569" s="17" t="str">
        <f>IFERROR(VLOOKUP(E569,'(新)ﾍﾞﾝﾀﾞｰ小型'!$A$3:$K$241,2,0), "")</f>
        <v/>
      </c>
      <c r="C569" s="17" t="str">
        <f>IFERROR(VLOOKUP(E569,'(新)ﾍﾞﾝﾀﾞｰ小型'!$A$3:$K$241,4,0), "")</f>
        <v/>
      </c>
      <c r="D569" s="17" t="str">
        <f>IFERROR(VLOOKUP(E569,'(新)ﾍﾞﾝﾀﾞｰ小型'!$A$3:$K$241,5,0), "")</f>
        <v/>
      </c>
      <c r="E569" s="13"/>
      <c r="F569" s="18" t="str">
        <f>IFERROR(VLOOKUP(E569,'(新)ﾍﾞﾝﾀﾞｰ小型'!$A$3:$K$241,8,0), "")</f>
        <v/>
      </c>
      <c r="G569" s="7" t="str">
        <f>IFERROR(VLOOKUP(E569,'(旧)ﾍﾞﾝﾀﾞｰ小型'!$A$3:$K$310,10,0),"")</f>
        <v/>
      </c>
      <c r="H569" s="12" t="s">
        <v>60</v>
      </c>
      <c r="I569" s="17" t="str">
        <f>IFERROR(VLOOKUP(E569,'(新)ﾍﾞﾝﾀﾞｰ小型'!$A$3:$K$241,10,0),"")</f>
        <v/>
      </c>
    </row>
    <row r="570" spans="2:9" x14ac:dyDescent="0.15">
      <c r="B570" s="17" t="str">
        <f>IFERROR(VLOOKUP(E570,'(新)ﾍﾞﾝﾀﾞｰ小型'!$A$3:$K$241,2,0), "")</f>
        <v/>
      </c>
      <c r="C570" s="17" t="str">
        <f>IFERROR(VLOOKUP(E570,'(新)ﾍﾞﾝﾀﾞｰ小型'!$A$3:$K$241,4,0), "")</f>
        <v/>
      </c>
      <c r="D570" s="17" t="str">
        <f>IFERROR(VLOOKUP(E570,'(新)ﾍﾞﾝﾀﾞｰ小型'!$A$3:$K$241,5,0), "")</f>
        <v/>
      </c>
      <c r="E570" s="13"/>
      <c r="F570" s="18" t="str">
        <f>IFERROR(VLOOKUP(E570,'(新)ﾍﾞﾝﾀﾞｰ小型'!$A$3:$K$241,8,0), "")</f>
        <v/>
      </c>
      <c r="G570" s="7" t="str">
        <f>IFERROR(VLOOKUP(E570,'(旧)ﾍﾞﾝﾀﾞｰ小型'!$A$3:$K$310,10,0),"")</f>
        <v/>
      </c>
      <c r="H570" s="12" t="s">
        <v>60</v>
      </c>
      <c r="I570" s="17" t="str">
        <f>IFERROR(VLOOKUP(E570,'(新)ﾍﾞﾝﾀﾞｰ小型'!$A$3:$K$241,10,0),"")</f>
        <v/>
      </c>
    </row>
    <row r="571" spans="2:9" x14ac:dyDescent="0.15">
      <c r="B571" s="17" t="str">
        <f>IFERROR(VLOOKUP(E571,'(新)ﾍﾞﾝﾀﾞｰ小型'!$A$3:$K$241,2,0), "")</f>
        <v/>
      </c>
      <c r="C571" s="17" t="str">
        <f>IFERROR(VLOOKUP(E571,'(新)ﾍﾞﾝﾀﾞｰ小型'!$A$3:$K$241,4,0), "")</f>
        <v/>
      </c>
      <c r="D571" s="17" t="str">
        <f>IFERROR(VLOOKUP(E571,'(新)ﾍﾞﾝﾀﾞｰ小型'!$A$3:$K$241,5,0), "")</f>
        <v/>
      </c>
      <c r="E571" s="13"/>
      <c r="F571" s="18" t="str">
        <f>IFERROR(VLOOKUP(E571,'(新)ﾍﾞﾝﾀﾞｰ小型'!$A$3:$K$241,8,0), "")</f>
        <v/>
      </c>
      <c r="G571" s="7" t="str">
        <f>IFERROR(VLOOKUP(E571,'(旧)ﾍﾞﾝﾀﾞｰ小型'!$A$3:$K$310,10,0),"")</f>
        <v/>
      </c>
      <c r="H571" s="12" t="s">
        <v>60</v>
      </c>
      <c r="I571" s="17" t="str">
        <f>IFERROR(VLOOKUP(E571,'(新)ﾍﾞﾝﾀﾞｰ小型'!$A$3:$K$241,10,0),"")</f>
        <v/>
      </c>
    </row>
    <row r="572" spans="2:9" x14ac:dyDescent="0.15">
      <c r="B572" s="17" t="str">
        <f>IFERROR(VLOOKUP(E572,'(新)ﾍﾞﾝﾀﾞｰ小型'!$A$3:$K$241,2,0), "")</f>
        <v/>
      </c>
      <c r="C572" s="17" t="str">
        <f>IFERROR(VLOOKUP(E572,'(新)ﾍﾞﾝﾀﾞｰ小型'!$A$3:$K$241,4,0), "")</f>
        <v/>
      </c>
      <c r="D572" s="17" t="str">
        <f>IFERROR(VLOOKUP(E572,'(新)ﾍﾞﾝﾀﾞｰ小型'!$A$3:$K$241,5,0), "")</f>
        <v/>
      </c>
      <c r="E572" s="13"/>
      <c r="F572" s="18" t="str">
        <f>IFERROR(VLOOKUP(E572,'(新)ﾍﾞﾝﾀﾞｰ小型'!$A$3:$K$241,8,0), "")</f>
        <v/>
      </c>
      <c r="G572" s="7" t="str">
        <f>IFERROR(VLOOKUP(E572,'(旧)ﾍﾞﾝﾀﾞｰ小型'!$A$3:$K$310,10,0),"")</f>
        <v/>
      </c>
      <c r="H572" s="12" t="s">
        <v>60</v>
      </c>
      <c r="I572" s="17" t="str">
        <f>IFERROR(VLOOKUP(E572,'(新)ﾍﾞﾝﾀﾞｰ小型'!$A$3:$K$241,10,0),"")</f>
        <v/>
      </c>
    </row>
    <row r="573" spans="2:9" x14ac:dyDescent="0.15">
      <c r="B573" s="17" t="str">
        <f>IFERROR(VLOOKUP(E573,'(新)ﾍﾞﾝﾀﾞｰ小型'!$A$3:$K$241,2,0), "")</f>
        <v/>
      </c>
      <c r="C573" s="17" t="str">
        <f>IFERROR(VLOOKUP(E573,'(新)ﾍﾞﾝﾀﾞｰ小型'!$A$3:$K$241,4,0), "")</f>
        <v/>
      </c>
      <c r="D573" s="17" t="str">
        <f>IFERROR(VLOOKUP(E573,'(新)ﾍﾞﾝﾀﾞｰ小型'!$A$3:$K$241,5,0), "")</f>
        <v/>
      </c>
      <c r="E573" s="13"/>
      <c r="F573" s="18" t="str">
        <f>IFERROR(VLOOKUP(E573,'(新)ﾍﾞﾝﾀﾞｰ小型'!$A$3:$K$241,8,0), "")</f>
        <v/>
      </c>
      <c r="G573" s="7" t="str">
        <f>IFERROR(VLOOKUP(E573,'(旧)ﾍﾞﾝﾀﾞｰ小型'!$A$3:$K$310,10,0),"")</f>
        <v/>
      </c>
      <c r="H573" s="12" t="s">
        <v>60</v>
      </c>
      <c r="I573" s="17" t="str">
        <f>IFERROR(VLOOKUP(E573,'(新)ﾍﾞﾝﾀﾞｰ小型'!$A$3:$K$241,10,0),"")</f>
        <v/>
      </c>
    </row>
    <row r="574" spans="2:9" x14ac:dyDescent="0.15">
      <c r="B574" s="17" t="str">
        <f>IFERROR(VLOOKUP(E574,'(新)ﾍﾞﾝﾀﾞｰ小型'!$A$3:$K$241,2,0), "")</f>
        <v/>
      </c>
      <c r="C574" s="17" t="str">
        <f>IFERROR(VLOOKUP(E574,'(新)ﾍﾞﾝﾀﾞｰ小型'!$A$3:$K$241,4,0), "")</f>
        <v/>
      </c>
      <c r="D574" s="17" t="str">
        <f>IFERROR(VLOOKUP(E574,'(新)ﾍﾞﾝﾀﾞｰ小型'!$A$3:$K$241,5,0), "")</f>
        <v/>
      </c>
      <c r="E574" s="13"/>
      <c r="F574" s="18" t="str">
        <f>IFERROR(VLOOKUP(E574,'(新)ﾍﾞﾝﾀﾞｰ小型'!$A$3:$K$241,8,0), "")</f>
        <v/>
      </c>
      <c r="G574" s="7" t="str">
        <f>IFERROR(VLOOKUP(E574,'(旧)ﾍﾞﾝﾀﾞｰ小型'!$A$3:$K$310,10,0),"")</f>
        <v/>
      </c>
      <c r="H574" s="12" t="s">
        <v>60</v>
      </c>
      <c r="I574" s="17" t="str">
        <f>IFERROR(VLOOKUP(E574,'(新)ﾍﾞﾝﾀﾞｰ小型'!$A$3:$K$241,10,0),"")</f>
        <v/>
      </c>
    </row>
    <row r="575" spans="2:9" x14ac:dyDescent="0.15">
      <c r="B575" s="17" t="str">
        <f>IFERROR(VLOOKUP(E575,'(新)ﾍﾞﾝﾀﾞｰ小型'!$A$3:$K$241,2,0), "")</f>
        <v/>
      </c>
      <c r="C575" s="17" t="str">
        <f>IFERROR(VLOOKUP(E575,'(新)ﾍﾞﾝﾀﾞｰ小型'!$A$3:$K$241,4,0), "")</f>
        <v/>
      </c>
      <c r="D575" s="17" t="str">
        <f>IFERROR(VLOOKUP(E575,'(新)ﾍﾞﾝﾀﾞｰ小型'!$A$3:$K$241,5,0), "")</f>
        <v/>
      </c>
      <c r="E575" s="13"/>
      <c r="F575" s="18" t="str">
        <f>IFERROR(VLOOKUP(E575,'(新)ﾍﾞﾝﾀﾞｰ小型'!$A$3:$K$241,8,0), "")</f>
        <v/>
      </c>
      <c r="G575" s="7" t="str">
        <f>IFERROR(VLOOKUP(E575,'(旧)ﾍﾞﾝﾀﾞｰ小型'!$A$3:$K$310,10,0),"")</f>
        <v/>
      </c>
      <c r="H575" s="12" t="s">
        <v>60</v>
      </c>
      <c r="I575" s="17" t="str">
        <f>IFERROR(VLOOKUP(E575,'(新)ﾍﾞﾝﾀﾞｰ小型'!$A$3:$K$241,10,0),"")</f>
        <v/>
      </c>
    </row>
    <row r="576" spans="2:9" x14ac:dyDescent="0.15">
      <c r="B576" s="17" t="str">
        <f>IFERROR(VLOOKUP(E576,'(新)ﾍﾞﾝﾀﾞｰ小型'!$A$3:$K$241,2,0), "")</f>
        <v/>
      </c>
      <c r="C576" s="17" t="str">
        <f>IFERROR(VLOOKUP(E576,'(新)ﾍﾞﾝﾀﾞｰ小型'!$A$3:$K$241,4,0), "")</f>
        <v/>
      </c>
      <c r="D576" s="17" t="str">
        <f>IFERROR(VLOOKUP(E576,'(新)ﾍﾞﾝﾀﾞｰ小型'!$A$3:$K$241,5,0), "")</f>
        <v/>
      </c>
      <c r="E576" s="13"/>
      <c r="F576" s="18" t="str">
        <f>IFERROR(VLOOKUP(E576,'(新)ﾍﾞﾝﾀﾞｰ小型'!$A$3:$K$241,8,0), "")</f>
        <v/>
      </c>
      <c r="G576" s="7" t="str">
        <f>IFERROR(VLOOKUP(E576,'(旧)ﾍﾞﾝﾀﾞｰ小型'!$A$3:$K$310,10,0),"")</f>
        <v/>
      </c>
      <c r="H576" s="12" t="s">
        <v>60</v>
      </c>
      <c r="I576" s="17" t="str">
        <f>IFERROR(VLOOKUP(E576,'(新)ﾍﾞﾝﾀﾞｰ小型'!$A$3:$K$241,10,0),"")</f>
        <v/>
      </c>
    </row>
    <row r="577" spans="2:9" x14ac:dyDescent="0.15">
      <c r="B577" s="17" t="str">
        <f>IFERROR(VLOOKUP(E577,'(新)ﾍﾞﾝﾀﾞｰ小型'!$A$3:$K$241,2,0), "")</f>
        <v/>
      </c>
      <c r="C577" s="17" t="str">
        <f>IFERROR(VLOOKUP(E577,'(新)ﾍﾞﾝﾀﾞｰ小型'!$A$3:$K$241,4,0), "")</f>
        <v/>
      </c>
      <c r="D577" s="17" t="str">
        <f>IFERROR(VLOOKUP(E577,'(新)ﾍﾞﾝﾀﾞｰ小型'!$A$3:$K$241,5,0), "")</f>
        <v/>
      </c>
      <c r="E577" s="13"/>
      <c r="F577" s="18" t="str">
        <f>IFERROR(VLOOKUP(E577,'(新)ﾍﾞﾝﾀﾞｰ小型'!$A$3:$K$241,8,0), "")</f>
        <v/>
      </c>
      <c r="G577" s="7" t="str">
        <f>IFERROR(VLOOKUP(E577,'(旧)ﾍﾞﾝﾀﾞｰ小型'!$A$3:$K$310,10,0),"")</f>
        <v/>
      </c>
      <c r="H577" s="12" t="s">
        <v>60</v>
      </c>
      <c r="I577" s="17" t="str">
        <f>IFERROR(VLOOKUP(E577,'(新)ﾍﾞﾝﾀﾞｰ小型'!$A$3:$K$241,10,0),"")</f>
        <v/>
      </c>
    </row>
    <row r="578" spans="2:9" x14ac:dyDescent="0.15">
      <c r="B578" s="17" t="str">
        <f>IFERROR(VLOOKUP(E578,'(新)ﾍﾞﾝﾀﾞｰ小型'!$A$3:$K$241,2,0), "")</f>
        <v/>
      </c>
      <c r="C578" s="17" t="str">
        <f>IFERROR(VLOOKUP(E578,'(新)ﾍﾞﾝﾀﾞｰ小型'!$A$3:$K$241,4,0), "")</f>
        <v/>
      </c>
      <c r="D578" s="17" t="str">
        <f>IFERROR(VLOOKUP(E578,'(新)ﾍﾞﾝﾀﾞｰ小型'!$A$3:$K$241,5,0), "")</f>
        <v/>
      </c>
      <c r="E578" s="13"/>
      <c r="F578" s="18" t="str">
        <f>IFERROR(VLOOKUP(E578,'(新)ﾍﾞﾝﾀﾞｰ小型'!$A$3:$K$241,8,0), "")</f>
        <v/>
      </c>
      <c r="G578" s="7" t="str">
        <f>IFERROR(VLOOKUP(E578,'(旧)ﾍﾞﾝﾀﾞｰ小型'!$A$3:$K$310,10,0),"")</f>
        <v/>
      </c>
      <c r="H578" s="12" t="s">
        <v>60</v>
      </c>
      <c r="I578" s="17" t="str">
        <f>IFERROR(VLOOKUP(E578,'(新)ﾍﾞﾝﾀﾞｰ小型'!$A$3:$K$241,10,0),"")</f>
        <v/>
      </c>
    </row>
    <row r="579" spans="2:9" x14ac:dyDescent="0.15">
      <c r="B579" s="17" t="str">
        <f>IFERROR(VLOOKUP(E579,'(新)ﾍﾞﾝﾀﾞｰ小型'!$A$3:$K$241,2,0), "")</f>
        <v/>
      </c>
      <c r="C579" s="17" t="str">
        <f>IFERROR(VLOOKUP(E579,'(新)ﾍﾞﾝﾀﾞｰ小型'!$A$3:$K$241,4,0), "")</f>
        <v/>
      </c>
      <c r="D579" s="17" t="str">
        <f>IFERROR(VLOOKUP(E579,'(新)ﾍﾞﾝﾀﾞｰ小型'!$A$3:$K$241,5,0), "")</f>
        <v/>
      </c>
      <c r="E579" s="13"/>
      <c r="F579" s="18" t="str">
        <f>IFERROR(VLOOKUP(E579,'(新)ﾍﾞﾝﾀﾞｰ小型'!$A$3:$K$241,8,0), "")</f>
        <v/>
      </c>
      <c r="G579" s="7" t="str">
        <f>IFERROR(VLOOKUP(E579,'(旧)ﾍﾞﾝﾀﾞｰ小型'!$A$3:$K$310,10,0),"")</f>
        <v/>
      </c>
      <c r="H579" s="12" t="s">
        <v>60</v>
      </c>
      <c r="I579" s="17" t="str">
        <f>IFERROR(VLOOKUP(E579,'(新)ﾍﾞﾝﾀﾞｰ小型'!$A$3:$K$241,10,0),"")</f>
        <v/>
      </c>
    </row>
    <row r="580" spans="2:9" x14ac:dyDescent="0.15">
      <c r="B580" s="17" t="str">
        <f>IFERROR(VLOOKUP(E580,'(新)ﾍﾞﾝﾀﾞｰ小型'!$A$3:$K$241,2,0), "")</f>
        <v/>
      </c>
      <c r="C580" s="17" t="str">
        <f>IFERROR(VLOOKUP(E580,'(新)ﾍﾞﾝﾀﾞｰ小型'!$A$3:$K$241,4,0), "")</f>
        <v/>
      </c>
      <c r="D580" s="17" t="str">
        <f>IFERROR(VLOOKUP(E580,'(新)ﾍﾞﾝﾀﾞｰ小型'!$A$3:$K$241,5,0), "")</f>
        <v/>
      </c>
      <c r="E580" s="13"/>
      <c r="F580" s="18" t="str">
        <f>IFERROR(VLOOKUP(E580,'(新)ﾍﾞﾝﾀﾞｰ小型'!$A$3:$K$241,8,0), "")</f>
        <v/>
      </c>
      <c r="G580" s="7" t="str">
        <f>IFERROR(VLOOKUP(E580,'(旧)ﾍﾞﾝﾀﾞｰ小型'!$A$3:$K$310,10,0),"")</f>
        <v/>
      </c>
      <c r="H580" s="12" t="s">
        <v>60</v>
      </c>
      <c r="I580" s="17" t="str">
        <f>IFERROR(VLOOKUP(E580,'(新)ﾍﾞﾝﾀﾞｰ小型'!$A$3:$K$241,10,0),"")</f>
        <v/>
      </c>
    </row>
    <row r="581" spans="2:9" x14ac:dyDescent="0.15">
      <c r="B581" s="17" t="str">
        <f>IFERROR(VLOOKUP(E581,'(新)ﾍﾞﾝﾀﾞｰ小型'!$A$3:$K$241,2,0), "")</f>
        <v/>
      </c>
      <c r="C581" s="17" t="str">
        <f>IFERROR(VLOOKUP(E581,'(新)ﾍﾞﾝﾀﾞｰ小型'!$A$3:$K$241,4,0), "")</f>
        <v/>
      </c>
      <c r="D581" s="17" t="str">
        <f>IFERROR(VLOOKUP(E581,'(新)ﾍﾞﾝﾀﾞｰ小型'!$A$3:$K$241,5,0), "")</f>
        <v/>
      </c>
      <c r="E581" s="13"/>
      <c r="F581" s="18" t="str">
        <f>IFERROR(VLOOKUP(E581,'(新)ﾍﾞﾝﾀﾞｰ小型'!$A$3:$K$241,8,0), "")</f>
        <v/>
      </c>
      <c r="G581" s="7" t="str">
        <f>IFERROR(VLOOKUP(E581,'(旧)ﾍﾞﾝﾀﾞｰ小型'!$A$3:$K$310,10,0),"")</f>
        <v/>
      </c>
      <c r="H581" s="12" t="s">
        <v>60</v>
      </c>
      <c r="I581" s="17" t="str">
        <f>IFERROR(VLOOKUP(E581,'(新)ﾍﾞﾝﾀﾞｰ小型'!$A$3:$K$241,10,0),"")</f>
        <v/>
      </c>
    </row>
    <row r="582" spans="2:9" x14ac:dyDescent="0.15">
      <c r="B582" s="17" t="str">
        <f>IFERROR(VLOOKUP(E582,'(新)ﾍﾞﾝﾀﾞｰ小型'!$A$3:$K$241,2,0), "")</f>
        <v/>
      </c>
      <c r="C582" s="17" t="str">
        <f>IFERROR(VLOOKUP(E582,'(新)ﾍﾞﾝﾀﾞｰ小型'!$A$3:$K$241,4,0), "")</f>
        <v/>
      </c>
      <c r="D582" s="17" t="str">
        <f>IFERROR(VLOOKUP(E582,'(新)ﾍﾞﾝﾀﾞｰ小型'!$A$3:$K$241,5,0), "")</f>
        <v/>
      </c>
      <c r="E582" s="13"/>
      <c r="F582" s="18" t="str">
        <f>IFERROR(VLOOKUP(E582,'(新)ﾍﾞﾝﾀﾞｰ小型'!$A$3:$K$241,8,0), "")</f>
        <v/>
      </c>
      <c r="G582" s="7" t="str">
        <f>IFERROR(VLOOKUP(E582,'(旧)ﾍﾞﾝﾀﾞｰ小型'!$A$3:$K$310,10,0),"")</f>
        <v/>
      </c>
      <c r="H582" s="12" t="s">
        <v>60</v>
      </c>
      <c r="I582" s="17" t="str">
        <f>IFERROR(VLOOKUP(E582,'(新)ﾍﾞﾝﾀﾞｰ小型'!$A$3:$K$241,10,0),"")</f>
        <v/>
      </c>
    </row>
    <row r="583" spans="2:9" x14ac:dyDescent="0.15">
      <c r="B583" s="17" t="str">
        <f>IFERROR(VLOOKUP(E583,'(新)ﾍﾞﾝﾀﾞｰ小型'!$A$3:$K$241,2,0), "")</f>
        <v/>
      </c>
      <c r="C583" s="17" t="str">
        <f>IFERROR(VLOOKUP(E583,'(新)ﾍﾞﾝﾀﾞｰ小型'!$A$3:$K$241,4,0), "")</f>
        <v/>
      </c>
      <c r="D583" s="17" t="str">
        <f>IFERROR(VLOOKUP(E583,'(新)ﾍﾞﾝﾀﾞｰ小型'!$A$3:$K$241,5,0), "")</f>
        <v/>
      </c>
      <c r="E583" s="13"/>
      <c r="F583" s="18" t="str">
        <f>IFERROR(VLOOKUP(E583,'(新)ﾍﾞﾝﾀﾞｰ小型'!$A$3:$K$241,8,0), "")</f>
        <v/>
      </c>
      <c r="G583" s="7" t="str">
        <f>IFERROR(VLOOKUP(E583,'(旧)ﾍﾞﾝﾀﾞｰ小型'!$A$3:$K$310,10,0),"")</f>
        <v/>
      </c>
      <c r="H583" s="12" t="s">
        <v>60</v>
      </c>
      <c r="I583" s="17" t="str">
        <f>IFERROR(VLOOKUP(E583,'(新)ﾍﾞﾝﾀﾞｰ小型'!$A$3:$K$241,10,0),"")</f>
        <v/>
      </c>
    </row>
    <row r="584" spans="2:9" x14ac:dyDescent="0.15">
      <c r="B584" s="17" t="str">
        <f>IFERROR(VLOOKUP(E584,'(新)ﾍﾞﾝﾀﾞｰ小型'!$A$3:$K$241,2,0), "")</f>
        <v/>
      </c>
      <c r="C584" s="17" t="str">
        <f>IFERROR(VLOOKUP(E584,'(新)ﾍﾞﾝﾀﾞｰ小型'!$A$3:$K$241,4,0), "")</f>
        <v/>
      </c>
      <c r="D584" s="17" t="str">
        <f>IFERROR(VLOOKUP(E584,'(新)ﾍﾞﾝﾀﾞｰ小型'!$A$3:$K$241,5,0), "")</f>
        <v/>
      </c>
      <c r="E584" s="13"/>
      <c r="F584" s="18" t="str">
        <f>IFERROR(VLOOKUP(E584,'(新)ﾍﾞﾝﾀﾞｰ小型'!$A$3:$K$241,8,0), "")</f>
        <v/>
      </c>
      <c r="G584" s="7" t="str">
        <f>IFERROR(VLOOKUP(E584,'(旧)ﾍﾞﾝﾀﾞｰ小型'!$A$3:$K$310,10,0),"")</f>
        <v/>
      </c>
      <c r="H584" s="12" t="s">
        <v>60</v>
      </c>
      <c r="I584" s="17" t="str">
        <f>IFERROR(VLOOKUP(E584,'(新)ﾍﾞﾝﾀﾞｰ小型'!$A$3:$K$241,10,0),"")</f>
        <v/>
      </c>
    </row>
    <row r="585" spans="2:9" x14ac:dyDescent="0.15">
      <c r="B585" s="17" t="str">
        <f>IFERROR(VLOOKUP(E585,'(新)ﾍﾞﾝﾀﾞｰ小型'!$A$3:$K$241,2,0), "")</f>
        <v/>
      </c>
      <c r="C585" s="17" t="str">
        <f>IFERROR(VLOOKUP(E585,'(新)ﾍﾞﾝﾀﾞｰ小型'!$A$3:$K$241,4,0), "")</f>
        <v/>
      </c>
      <c r="D585" s="17" t="str">
        <f>IFERROR(VLOOKUP(E585,'(新)ﾍﾞﾝﾀﾞｰ小型'!$A$3:$K$241,5,0), "")</f>
        <v/>
      </c>
      <c r="E585" s="13"/>
      <c r="F585" s="18" t="str">
        <f>IFERROR(VLOOKUP(E585,'(新)ﾍﾞﾝﾀﾞｰ小型'!$A$3:$K$241,8,0), "")</f>
        <v/>
      </c>
      <c r="G585" s="7" t="str">
        <f>IFERROR(VLOOKUP(E585,'(旧)ﾍﾞﾝﾀﾞｰ小型'!$A$3:$K$310,10,0),"")</f>
        <v/>
      </c>
      <c r="H585" s="12" t="s">
        <v>60</v>
      </c>
      <c r="I585" s="17" t="str">
        <f>IFERROR(VLOOKUP(E585,'(新)ﾍﾞﾝﾀﾞｰ小型'!$A$3:$K$241,10,0),"")</f>
        <v/>
      </c>
    </row>
    <row r="586" spans="2:9" x14ac:dyDescent="0.15">
      <c r="B586" s="17" t="str">
        <f>IFERROR(VLOOKUP(E586,'(新)ﾍﾞﾝﾀﾞｰ小型'!$A$3:$K$241,2,0), "")</f>
        <v/>
      </c>
      <c r="C586" s="17" t="str">
        <f>IFERROR(VLOOKUP(E586,'(新)ﾍﾞﾝﾀﾞｰ小型'!$A$3:$K$241,4,0), "")</f>
        <v/>
      </c>
      <c r="D586" s="17" t="str">
        <f>IFERROR(VLOOKUP(E586,'(新)ﾍﾞﾝﾀﾞｰ小型'!$A$3:$K$241,5,0), "")</f>
        <v/>
      </c>
      <c r="E586" s="13"/>
      <c r="F586" s="18" t="str">
        <f>IFERROR(VLOOKUP(E586,'(新)ﾍﾞﾝﾀﾞｰ小型'!$A$3:$K$241,8,0), "")</f>
        <v/>
      </c>
      <c r="G586" s="7" t="str">
        <f>IFERROR(VLOOKUP(E586,'(旧)ﾍﾞﾝﾀﾞｰ小型'!$A$3:$K$310,10,0),"")</f>
        <v/>
      </c>
      <c r="H586" s="12" t="s">
        <v>60</v>
      </c>
      <c r="I586" s="17" t="str">
        <f>IFERROR(VLOOKUP(E586,'(新)ﾍﾞﾝﾀﾞｰ小型'!$A$3:$K$241,10,0),"")</f>
        <v/>
      </c>
    </row>
    <row r="587" spans="2:9" x14ac:dyDescent="0.15">
      <c r="B587" s="17" t="str">
        <f>IFERROR(VLOOKUP(E587,'(新)ﾍﾞﾝﾀﾞｰ小型'!$A$3:$K$241,2,0), "")</f>
        <v/>
      </c>
      <c r="C587" s="17" t="str">
        <f>IFERROR(VLOOKUP(E587,'(新)ﾍﾞﾝﾀﾞｰ小型'!$A$3:$K$241,4,0), "")</f>
        <v/>
      </c>
      <c r="D587" s="17" t="str">
        <f>IFERROR(VLOOKUP(E587,'(新)ﾍﾞﾝﾀﾞｰ小型'!$A$3:$K$241,5,0), "")</f>
        <v/>
      </c>
      <c r="E587" s="13"/>
      <c r="F587" s="18" t="str">
        <f>IFERROR(VLOOKUP(E587,'(新)ﾍﾞﾝﾀﾞｰ小型'!$A$3:$K$241,8,0), "")</f>
        <v/>
      </c>
      <c r="G587" s="7" t="str">
        <f>IFERROR(VLOOKUP(E587,'(旧)ﾍﾞﾝﾀﾞｰ小型'!$A$3:$K$310,10,0),"")</f>
        <v/>
      </c>
      <c r="H587" s="12" t="s">
        <v>60</v>
      </c>
      <c r="I587" s="17" t="str">
        <f>IFERROR(VLOOKUP(E587,'(新)ﾍﾞﾝﾀﾞｰ小型'!$A$3:$K$241,10,0),"")</f>
        <v/>
      </c>
    </row>
    <row r="588" spans="2:9" x14ac:dyDescent="0.15">
      <c r="B588" s="17" t="str">
        <f>IFERROR(VLOOKUP(E588,'(新)ﾍﾞﾝﾀﾞｰ小型'!$A$3:$K$241,2,0), "")</f>
        <v/>
      </c>
      <c r="C588" s="17" t="str">
        <f>IFERROR(VLOOKUP(E588,'(新)ﾍﾞﾝﾀﾞｰ小型'!$A$3:$K$241,4,0), "")</f>
        <v/>
      </c>
      <c r="D588" s="17" t="str">
        <f>IFERROR(VLOOKUP(E588,'(新)ﾍﾞﾝﾀﾞｰ小型'!$A$3:$K$241,5,0), "")</f>
        <v/>
      </c>
      <c r="E588" s="13"/>
      <c r="F588" s="18" t="str">
        <f>IFERROR(VLOOKUP(E588,'(新)ﾍﾞﾝﾀﾞｰ小型'!$A$3:$K$241,8,0), "")</f>
        <v/>
      </c>
      <c r="G588" s="7" t="str">
        <f>IFERROR(VLOOKUP(E588,'(旧)ﾍﾞﾝﾀﾞｰ小型'!$A$3:$K$310,10,0),"")</f>
        <v/>
      </c>
      <c r="H588" s="12" t="s">
        <v>60</v>
      </c>
      <c r="I588" s="17" t="str">
        <f>IFERROR(VLOOKUP(E588,'(新)ﾍﾞﾝﾀﾞｰ小型'!$A$3:$K$241,10,0),"")</f>
        <v/>
      </c>
    </row>
    <row r="589" spans="2:9" x14ac:dyDescent="0.15">
      <c r="B589" s="17" t="str">
        <f>IFERROR(VLOOKUP(E589,'(新)ﾍﾞﾝﾀﾞｰ小型'!$A$3:$K$241,2,0), "")</f>
        <v/>
      </c>
      <c r="C589" s="17" t="str">
        <f>IFERROR(VLOOKUP(E589,'(新)ﾍﾞﾝﾀﾞｰ小型'!$A$3:$K$241,4,0), "")</f>
        <v/>
      </c>
      <c r="D589" s="17" t="str">
        <f>IFERROR(VLOOKUP(E589,'(新)ﾍﾞﾝﾀﾞｰ小型'!$A$3:$K$241,5,0), "")</f>
        <v/>
      </c>
      <c r="E589" s="13"/>
      <c r="F589" s="18" t="str">
        <f>IFERROR(VLOOKUP(E589,'(新)ﾍﾞﾝﾀﾞｰ小型'!$A$3:$K$241,8,0), "")</f>
        <v/>
      </c>
      <c r="G589" s="7" t="str">
        <f>IFERROR(VLOOKUP(E589,'(旧)ﾍﾞﾝﾀﾞｰ小型'!$A$3:$K$310,10,0),"")</f>
        <v/>
      </c>
      <c r="H589" s="12" t="s">
        <v>60</v>
      </c>
      <c r="I589" s="17" t="str">
        <f>IFERROR(VLOOKUP(E589,'(新)ﾍﾞﾝﾀﾞｰ小型'!$A$3:$K$241,10,0),"")</f>
        <v/>
      </c>
    </row>
    <row r="590" spans="2:9" x14ac:dyDescent="0.15">
      <c r="B590" s="17" t="str">
        <f>IFERROR(VLOOKUP(E590,'(新)ﾍﾞﾝﾀﾞｰ小型'!$A$3:$K$241,2,0), "")</f>
        <v/>
      </c>
      <c r="C590" s="17" t="str">
        <f>IFERROR(VLOOKUP(E590,'(新)ﾍﾞﾝﾀﾞｰ小型'!$A$3:$K$241,4,0), "")</f>
        <v/>
      </c>
      <c r="D590" s="17" t="str">
        <f>IFERROR(VLOOKUP(E590,'(新)ﾍﾞﾝﾀﾞｰ小型'!$A$3:$K$241,5,0), "")</f>
        <v/>
      </c>
      <c r="E590" s="13"/>
      <c r="F590" s="18" t="str">
        <f>IFERROR(VLOOKUP(E590,'(新)ﾍﾞﾝﾀﾞｰ小型'!$A$3:$K$241,8,0), "")</f>
        <v/>
      </c>
      <c r="G590" s="7" t="str">
        <f>IFERROR(VLOOKUP(E590,'(旧)ﾍﾞﾝﾀﾞｰ小型'!$A$3:$K$310,10,0),"")</f>
        <v/>
      </c>
      <c r="H590" s="12" t="s">
        <v>60</v>
      </c>
      <c r="I590" s="17" t="str">
        <f>IFERROR(VLOOKUP(E590,'(新)ﾍﾞﾝﾀﾞｰ小型'!$A$3:$K$241,10,0),"")</f>
        <v/>
      </c>
    </row>
    <row r="591" spans="2:9" x14ac:dyDescent="0.15">
      <c r="B591" s="17" t="str">
        <f>IFERROR(VLOOKUP(E591,'(新)ﾍﾞﾝﾀﾞｰ小型'!$A$3:$K$241,2,0), "")</f>
        <v/>
      </c>
      <c r="C591" s="17" t="str">
        <f>IFERROR(VLOOKUP(E591,'(新)ﾍﾞﾝﾀﾞｰ小型'!$A$3:$K$241,4,0), "")</f>
        <v/>
      </c>
      <c r="D591" s="17" t="str">
        <f>IFERROR(VLOOKUP(E591,'(新)ﾍﾞﾝﾀﾞｰ小型'!$A$3:$K$241,5,0), "")</f>
        <v/>
      </c>
      <c r="E591" s="13"/>
      <c r="F591" s="18" t="str">
        <f>IFERROR(VLOOKUP(E591,'(新)ﾍﾞﾝﾀﾞｰ小型'!$A$3:$K$241,8,0), "")</f>
        <v/>
      </c>
      <c r="G591" s="7" t="str">
        <f>IFERROR(VLOOKUP(E591,'(旧)ﾍﾞﾝﾀﾞｰ小型'!$A$3:$K$310,10,0),"")</f>
        <v/>
      </c>
      <c r="H591" s="12" t="s">
        <v>60</v>
      </c>
      <c r="I591" s="17" t="str">
        <f>IFERROR(VLOOKUP(E591,'(新)ﾍﾞﾝﾀﾞｰ小型'!$A$3:$K$241,10,0),"")</f>
        <v/>
      </c>
    </row>
    <row r="592" spans="2:9" x14ac:dyDescent="0.15">
      <c r="B592" s="17" t="str">
        <f>IFERROR(VLOOKUP(E592,'(新)ﾍﾞﾝﾀﾞｰ小型'!$A$3:$K$241,2,0), "")</f>
        <v/>
      </c>
      <c r="C592" s="17" t="str">
        <f>IFERROR(VLOOKUP(E592,'(新)ﾍﾞﾝﾀﾞｰ小型'!$A$3:$K$241,4,0), "")</f>
        <v/>
      </c>
      <c r="D592" s="17" t="str">
        <f>IFERROR(VLOOKUP(E592,'(新)ﾍﾞﾝﾀﾞｰ小型'!$A$3:$K$241,5,0), "")</f>
        <v/>
      </c>
      <c r="E592" s="13"/>
      <c r="F592" s="18" t="str">
        <f>IFERROR(VLOOKUP(E592,'(新)ﾍﾞﾝﾀﾞｰ小型'!$A$3:$K$241,8,0), "")</f>
        <v/>
      </c>
      <c r="G592" s="7" t="str">
        <f>IFERROR(VLOOKUP(E592,'(旧)ﾍﾞﾝﾀﾞｰ小型'!$A$3:$K$310,10,0),"")</f>
        <v/>
      </c>
      <c r="H592" s="12" t="s">
        <v>60</v>
      </c>
      <c r="I592" s="17" t="str">
        <f>IFERROR(VLOOKUP(E592,'(新)ﾍﾞﾝﾀﾞｰ小型'!$A$3:$K$241,10,0),"")</f>
        <v/>
      </c>
    </row>
    <row r="593" spans="2:9" x14ac:dyDescent="0.15">
      <c r="B593" s="17" t="str">
        <f>IFERROR(VLOOKUP(E593,'(新)ﾍﾞﾝﾀﾞｰ小型'!$A$3:$K$241,2,0), "")</f>
        <v/>
      </c>
      <c r="C593" s="17" t="str">
        <f>IFERROR(VLOOKUP(E593,'(新)ﾍﾞﾝﾀﾞｰ小型'!$A$3:$K$241,4,0), "")</f>
        <v/>
      </c>
      <c r="D593" s="17" t="str">
        <f>IFERROR(VLOOKUP(E593,'(新)ﾍﾞﾝﾀﾞｰ小型'!$A$3:$K$241,5,0), "")</f>
        <v/>
      </c>
      <c r="E593" s="13"/>
      <c r="F593" s="18" t="str">
        <f>IFERROR(VLOOKUP(E593,'(新)ﾍﾞﾝﾀﾞｰ小型'!$A$3:$K$241,8,0), "")</f>
        <v/>
      </c>
      <c r="G593" s="7" t="str">
        <f>IFERROR(VLOOKUP(E593,'(旧)ﾍﾞﾝﾀﾞｰ小型'!$A$3:$K$310,10,0),"")</f>
        <v/>
      </c>
      <c r="H593" s="12" t="s">
        <v>60</v>
      </c>
      <c r="I593" s="17" t="str">
        <f>IFERROR(VLOOKUP(E593,'(新)ﾍﾞﾝﾀﾞｰ小型'!$A$3:$K$241,10,0),"")</f>
        <v/>
      </c>
    </row>
    <row r="594" spans="2:9" x14ac:dyDescent="0.15">
      <c r="B594" s="17" t="str">
        <f>IFERROR(VLOOKUP(E594,'(新)ﾍﾞﾝﾀﾞｰ小型'!$A$3:$K$241,2,0), "")</f>
        <v/>
      </c>
      <c r="C594" s="17" t="str">
        <f>IFERROR(VLOOKUP(E594,'(新)ﾍﾞﾝﾀﾞｰ小型'!$A$3:$K$241,4,0), "")</f>
        <v/>
      </c>
      <c r="D594" s="17" t="str">
        <f>IFERROR(VLOOKUP(E594,'(新)ﾍﾞﾝﾀﾞｰ小型'!$A$3:$K$241,5,0), "")</f>
        <v/>
      </c>
      <c r="E594" s="13"/>
      <c r="F594" s="18" t="str">
        <f>IFERROR(VLOOKUP(E594,'(新)ﾍﾞﾝﾀﾞｰ小型'!$A$3:$K$241,8,0), "")</f>
        <v/>
      </c>
      <c r="G594" s="7" t="str">
        <f>IFERROR(VLOOKUP(E594,'(旧)ﾍﾞﾝﾀﾞｰ小型'!$A$3:$K$310,10,0),"")</f>
        <v/>
      </c>
      <c r="H594" s="12" t="s">
        <v>60</v>
      </c>
      <c r="I594" s="17" t="str">
        <f>IFERROR(VLOOKUP(E594,'(新)ﾍﾞﾝﾀﾞｰ小型'!$A$3:$K$241,10,0),"")</f>
        <v/>
      </c>
    </row>
    <row r="595" spans="2:9" x14ac:dyDescent="0.15">
      <c r="B595" s="17" t="str">
        <f>IFERROR(VLOOKUP(E595,'(新)ﾍﾞﾝﾀﾞｰ小型'!$A$3:$K$241,2,0), "")</f>
        <v/>
      </c>
      <c r="C595" s="17" t="str">
        <f>IFERROR(VLOOKUP(E595,'(新)ﾍﾞﾝﾀﾞｰ小型'!$A$3:$K$241,4,0), "")</f>
        <v/>
      </c>
      <c r="D595" s="17" t="str">
        <f>IFERROR(VLOOKUP(E595,'(新)ﾍﾞﾝﾀﾞｰ小型'!$A$3:$K$241,5,0), "")</f>
        <v/>
      </c>
      <c r="E595" s="13"/>
      <c r="F595" s="18" t="str">
        <f>IFERROR(VLOOKUP(E595,'(新)ﾍﾞﾝﾀﾞｰ小型'!$A$3:$K$241,8,0), "")</f>
        <v/>
      </c>
      <c r="G595" s="7" t="str">
        <f>IFERROR(VLOOKUP(E595,'(旧)ﾍﾞﾝﾀﾞｰ小型'!$A$3:$K$310,10,0),"")</f>
        <v/>
      </c>
      <c r="H595" s="12" t="s">
        <v>60</v>
      </c>
      <c r="I595" s="17" t="str">
        <f>IFERROR(VLOOKUP(E595,'(新)ﾍﾞﾝﾀﾞｰ小型'!$A$3:$K$241,10,0),"")</f>
        <v/>
      </c>
    </row>
    <row r="596" spans="2:9" x14ac:dyDescent="0.15">
      <c r="B596" s="17" t="str">
        <f>IFERROR(VLOOKUP(E596,'(新)ﾍﾞﾝﾀﾞｰ小型'!$A$3:$K$241,2,0), "")</f>
        <v/>
      </c>
      <c r="C596" s="17" t="str">
        <f>IFERROR(VLOOKUP(E596,'(新)ﾍﾞﾝﾀﾞｰ小型'!$A$3:$K$241,4,0), "")</f>
        <v/>
      </c>
      <c r="D596" s="17" t="str">
        <f>IFERROR(VLOOKUP(E596,'(新)ﾍﾞﾝﾀﾞｰ小型'!$A$3:$K$241,5,0), "")</f>
        <v/>
      </c>
      <c r="E596" s="13"/>
      <c r="F596" s="18" t="str">
        <f>IFERROR(VLOOKUP(E596,'(新)ﾍﾞﾝﾀﾞｰ小型'!$A$3:$K$241,8,0), "")</f>
        <v/>
      </c>
      <c r="G596" s="7" t="str">
        <f>IFERROR(VLOOKUP(E596,'(旧)ﾍﾞﾝﾀﾞｰ小型'!$A$3:$K$310,10,0),"")</f>
        <v/>
      </c>
      <c r="H596" s="12" t="s">
        <v>60</v>
      </c>
      <c r="I596" s="17" t="str">
        <f>IFERROR(VLOOKUP(E596,'(新)ﾍﾞﾝﾀﾞｰ小型'!$A$3:$K$241,10,0),"")</f>
        <v/>
      </c>
    </row>
    <row r="597" spans="2:9" x14ac:dyDescent="0.15">
      <c r="B597" s="17" t="str">
        <f>IFERROR(VLOOKUP(E597,'(新)ﾍﾞﾝﾀﾞｰ小型'!$A$3:$K$241,2,0), "")</f>
        <v/>
      </c>
      <c r="C597" s="17" t="str">
        <f>IFERROR(VLOOKUP(E597,'(新)ﾍﾞﾝﾀﾞｰ小型'!$A$3:$K$241,4,0), "")</f>
        <v/>
      </c>
      <c r="D597" s="17" t="str">
        <f>IFERROR(VLOOKUP(E597,'(新)ﾍﾞﾝﾀﾞｰ小型'!$A$3:$K$241,5,0), "")</f>
        <v/>
      </c>
      <c r="E597" s="13"/>
      <c r="F597" s="18" t="str">
        <f>IFERROR(VLOOKUP(E597,'(新)ﾍﾞﾝﾀﾞｰ小型'!$A$3:$K$241,8,0), "")</f>
        <v/>
      </c>
      <c r="G597" s="7" t="str">
        <f>IFERROR(VLOOKUP(E597,'(旧)ﾍﾞﾝﾀﾞｰ小型'!$A$3:$K$310,10,0),"")</f>
        <v/>
      </c>
      <c r="H597" s="12" t="s">
        <v>60</v>
      </c>
      <c r="I597" s="17" t="str">
        <f>IFERROR(VLOOKUP(E597,'(新)ﾍﾞﾝﾀﾞｰ小型'!$A$3:$K$241,10,0),"")</f>
        <v/>
      </c>
    </row>
    <row r="598" spans="2:9" x14ac:dyDescent="0.15">
      <c r="B598" s="17" t="str">
        <f>IFERROR(VLOOKUP(E598,'(新)ﾍﾞﾝﾀﾞｰ小型'!$A$3:$K$241,2,0), "")</f>
        <v/>
      </c>
      <c r="C598" s="17" t="str">
        <f>IFERROR(VLOOKUP(E598,'(新)ﾍﾞﾝﾀﾞｰ小型'!$A$3:$K$241,4,0), "")</f>
        <v/>
      </c>
      <c r="D598" s="17" t="str">
        <f>IFERROR(VLOOKUP(E598,'(新)ﾍﾞﾝﾀﾞｰ小型'!$A$3:$K$241,5,0), "")</f>
        <v/>
      </c>
      <c r="E598" s="13"/>
      <c r="F598" s="18" t="str">
        <f>IFERROR(VLOOKUP(E598,'(新)ﾍﾞﾝﾀﾞｰ小型'!$A$3:$K$241,8,0), "")</f>
        <v/>
      </c>
      <c r="G598" s="7" t="str">
        <f>IFERROR(VLOOKUP(E598,'(旧)ﾍﾞﾝﾀﾞｰ小型'!$A$3:$K$310,10,0),"")</f>
        <v/>
      </c>
      <c r="H598" s="12" t="s">
        <v>60</v>
      </c>
      <c r="I598" s="17" t="str">
        <f>IFERROR(VLOOKUP(E598,'(新)ﾍﾞﾝﾀﾞｰ小型'!$A$3:$K$241,10,0),"")</f>
        <v/>
      </c>
    </row>
    <row r="599" spans="2:9" x14ac:dyDescent="0.15">
      <c r="B599" s="17" t="str">
        <f>IFERROR(VLOOKUP(E599,'(新)ﾍﾞﾝﾀﾞｰ小型'!$A$3:$K$241,2,0), "")</f>
        <v/>
      </c>
      <c r="C599" s="17" t="str">
        <f>IFERROR(VLOOKUP(E599,'(新)ﾍﾞﾝﾀﾞｰ小型'!$A$3:$K$241,4,0), "")</f>
        <v/>
      </c>
      <c r="D599" s="17" t="str">
        <f>IFERROR(VLOOKUP(E599,'(新)ﾍﾞﾝﾀﾞｰ小型'!$A$3:$K$241,5,0), "")</f>
        <v/>
      </c>
      <c r="E599" s="13"/>
      <c r="F599" s="18" t="str">
        <f>IFERROR(VLOOKUP(E599,'(新)ﾍﾞﾝﾀﾞｰ小型'!$A$3:$K$241,8,0), "")</f>
        <v/>
      </c>
      <c r="G599" s="7" t="str">
        <f>IFERROR(VLOOKUP(E599,'(旧)ﾍﾞﾝﾀﾞｰ小型'!$A$3:$K$310,10,0),"")</f>
        <v/>
      </c>
      <c r="H599" s="12" t="s">
        <v>60</v>
      </c>
      <c r="I599" s="17" t="str">
        <f>IFERROR(VLOOKUP(E599,'(新)ﾍﾞﾝﾀﾞｰ小型'!$A$3:$K$241,10,0),"")</f>
        <v/>
      </c>
    </row>
    <row r="600" spans="2:9" x14ac:dyDescent="0.15">
      <c r="B600" s="17" t="str">
        <f>IFERROR(VLOOKUP(E600,'(新)ﾍﾞﾝﾀﾞｰ小型'!$A$3:$K$241,2,0), "")</f>
        <v/>
      </c>
      <c r="C600" s="17" t="str">
        <f>IFERROR(VLOOKUP(E600,'(新)ﾍﾞﾝﾀﾞｰ小型'!$A$3:$K$241,4,0), "")</f>
        <v/>
      </c>
      <c r="D600" s="17" t="str">
        <f>IFERROR(VLOOKUP(E600,'(新)ﾍﾞﾝﾀﾞｰ小型'!$A$3:$K$241,5,0), "")</f>
        <v/>
      </c>
      <c r="E600" s="13"/>
      <c r="F600" s="18" t="str">
        <f>IFERROR(VLOOKUP(E600,'(新)ﾍﾞﾝﾀﾞｰ小型'!$A$3:$K$241,8,0), "")</f>
        <v/>
      </c>
      <c r="G600" s="7" t="str">
        <f>IFERROR(VLOOKUP(E600,'(旧)ﾍﾞﾝﾀﾞｰ小型'!$A$3:$K$310,10,0),"")</f>
        <v/>
      </c>
      <c r="H600" s="12" t="s">
        <v>60</v>
      </c>
      <c r="I600" s="17" t="str">
        <f>IFERROR(VLOOKUP(E600,'(新)ﾍﾞﾝﾀﾞｰ小型'!$A$3:$K$241,10,0),"")</f>
        <v/>
      </c>
    </row>
    <row r="601" spans="2:9" x14ac:dyDescent="0.15">
      <c r="B601" s="17" t="str">
        <f>IFERROR(VLOOKUP(E601,'(新)ﾍﾞﾝﾀﾞｰ小型'!$A$3:$K$241,2,0), "")</f>
        <v/>
      </c>
      <c r="C601" s="17" t="str">
        <f>IFERROR(VLOOKUP(E601,'(新)ﾍﾞﾝﾀﾞｰ小型'!$A$3:$K$241,4,0), "")</f>
        <v/>
      </c>
      <c r="D601" s="17" t="str">
        <f>IFERROR(VLOOKUP(E601,'(新)ﾍﾞﾝﾀﾞｰ小型'!$A$3:$K$241,5,0), "")</f>
        <v/>
      </c>
      <c r="E601" s="13"/>
      <c r="F601" s="18" t="str">
        <f>IFERROR(VLOOKUP(E601,'(新)ﾍﾞﾝﾀﾞｰ小型'!$A$3:$K$241,8,0), "")</f>
        <v/>
      </c>
      <c r="G601" s="7" t="str">
        <f>IFERROR(VLOOKUP(E601,'(旧)ﾍﾞﾝﾀﾞｰ小型'!$A$3:$K$310,10,0),"")</f>
        <v/>
      </c>
      <c r="H601" s="12" t="s">
        <v>60</v>
      </c>
      <c r="I601" s="17" t="str">
        <f>IFERROR(VLOOKUP(E601,'(新)ﾍﾞﾝﾀﾞｰ小型'!$A$3:$K$241,10,0),"")</f>
        <v/>
      </c>
    </row>
    <row r="602" spans="2:9" x14ac:dyDescent="0.15">
      <c r="B602" s="17" t="str">
        <f>IFERROR(VLOOKUP(E602,'(新)ﾍﾞﾝﾀﾞｰ小型'!$A$3:$K$241,2,0), "")</f>
        <v/>
      </c>
      <c r="C602" s="17" t="str">
        <f>IFERROR(VLOOKUP(E602,'(新)ﾍﾞﾝﾀﾞｰ小型'!$A$3:$K$241,4,0), "")</f>
        <v/>
      </c>
      <c r="D602" s="17" t="str">
        <f>IFERROR(VLOOKUP(E602,'(新)ﾍﾞﾝﾀﾞｰ小型'!$A$3:$K$241,5,0), "")</f>
        <v/>
      </c>
      <c r="E602" s="13"/>
      <c r="F602" s="18" t="str">
        <f>IFERROR(VLOOKUP(E602,'(新)ﾍﾞﾝﾀﾞｰ小型'!$A$3:$K$241,8,0), "")</f>
        <v/>
      </c>
      <c r="G602" s="7" t="str">
        <f>IFERROR(VLOOKUP(E602,'(旧)ﾍﾞﾝﾀﾞｰ小型'!$A$3:$K$310,10,0),"")</f>
        <v/>
      </c>
      <c r="H602" s="12" t="s">
        <v>60</v>
      </c>
      <c r="I602" s="17" t="str">
        <f>IFERROR(VLOOKUP(E602,'(新)ﾍﾞﾝﾀﾞｰ小型'!$A$3:$K$241,10,0),"")</f>
        <v/>
      </c>
    </row>
    <row r="603" spans="2:9" x14ac:dyDescent="0.15">
      <c r="B603" s="17" t="str">
        <f>IFERROR(VLOOKUP(E603,'(新)ﾍﾞﾝﾀﾞｰ小型'!$A$3:$K$241,2,0), "")</f>
        <v/>
      </c>
      <c r="C603" s="17" t="str">
        <f>IFERROR(VLOOKUP(E603,'(新)ﾍﾞﾝﾀﾞｰ小型'!$A$3:$K$241,4,0), "")</f>
        <v/>
      </c>
      <c r="D603" s="17" t="str">
        <f>IFERROR(VLOOKUP(E603,'(新)ﾍﾞﾝﾀﾞｰ小型'!$A$3:$K$241,5,0), "")</f>
        <v/>
      </c>
      <c r="E603" s="13"/>
      <c r="F603" s="18" t="str">
        <f>IFERROR(VLOOKUP(E603,'(新)ﾍﾞﾝﾀﾞｰ小型'!$A$3:$K$241,8,0), "")</f>
        <v/>
      </c>
      <c r="G603" s="7" t="str">
        <f>IFERROR(VLOOKUP(E603,'(旧)ﾍﾞﾝﾀﾞｰ小型'!$A$3:$K$310,10,0),"")</f>
        <v/>
      </c>
      <c r="H603" s="12" t="s">
        <v>60</v>
      </c>
      <c r="I603" s="17" t="str">
        <f>IFERROR(VLOOKUP(E603,'(新)ﾍﾞﾝﾀﾞｰ小型'!$A$3:$K$241,10,0),"")</f>
        <v/>
      </c>
    </row>
    <row r="604" spans="2:9" x14ac:dyDescent="0.15">
      <c r="B604" s="17" t="str">
        <f>IFERROR(VLOOKUP(E604,'(新)ﾍﾞﾝﾀﾞｰ小型'!$A$3:$K$241,2,0), "")</f>
        <v/>
      </c>
      <c r="C604" s="17" t="str">
        <f>IFERROR(VLOOKUP(E604,'(新)ﾍﾞﾝﾀﾞｰ小型'!$A$3:$K$241,4,0), "")</f>
        <v/>
      </c>
      <c r="D604" s="17" t="str">
        <f>IFERROR(VLOOKUP(E604,'(新)ﾍﾞﾝﾀﾞｰ小型'!$A$3:$K$241,5,0), "")</f>
        <v/>
      </c>
      <c r="E604" s="13"/>
      <c r="F604" s="18" t="str">
        <f>IFERROR(VLOOKUP(E604,'(新)ﾍﾞﾝﾀﾞｰ小型'!$A$3:$K$241,8,0), "")</f>
        <v/>
      </c>
      <c r="G604" s="7" t="str">
        <f>IFERROR(VLOOKUP(E604,'(旧)ﾍﾞﾝﾀﾞｰ小型'!$A$3:$K$310,10,0),"")</f>
        <v/>
      </c>
      <c r="H604" s="12" t="s">
        <v>60</v>
      </c>
      <c r="I604" s="17" t="str">
        <f>IFERROR(VLOOKUP(E604,'(新)ﾍﾞﾝﾀﾞｰ小型'!$A$3:$K$241,10,0),"")</f>
        <v/>
      </c>
    </row>
    <row r="605" spans="2:9" x14ac:dyDescent="0.15">
      <c r="B605" s="17" t="str">
        <f>IFERROR(VLOOKUP(E605,'(新)ﾍﾞﾝﾀﾞｰ小型'!$A$3:$K$241,2,0), "")</f>
        <v/>
      </c>
      <c r="C605" s="17" t="str">
        <f>IFERROR(VLOOKUP(E605,'(新)ﾍﾞﾝﾀﾞｰ小型'!$A$3:$K$241,4,0), "")</f>
        <v/>
      </c>
      <c r="D605" s="17" t="str">
        <f>IFERROR(VLOOKUP(E605,'(新)ﾍﾞﾝﾀﾞｰ小型'!$A$3:$K$241,5,0), "")</f>
        <v/>
      </c>
      <c r="E605" s="13"/>
      <c r="F605" s="18" t="str">
        <f>IFERROR(VLOOKUP(E605,'(新)ﾍﾞﾝﾀﾞｰ小型'!$A$3:$K$241,8,0), "")</f>
        <v/>
      </c>
      <c r="G605" s="7" t="str">
        <f>IFERROR(VLOOKUP(E605,'(旧)ﾍﾞﾝﾀﾞｰ小型'!$A$3:$K$310,10,0),"")</f>
        <v/>
      </c>
      <c r="H605" s="12" t="s">
        <v>60</v>
      </c>
      <c r="I605" s="17" t="str">
        <f>IFERROR(VLOOKUP(E605,'(新)ﾍﾞﾝﾀﾞｰ小型'!$A$3:$K$241,10,0),"")</f>
        <v/>
      </c>
    </row>
    <row r="606" spans="2:9" x14ac:dyDescent="0.15">
      <c r="B606" s="17" t="str">
        <f>IFERROR(VLOOKUP(E606,'(新)ﾍﾞﾝﾀﾞｰ小型'!$A$3:$K$241,2,0), "")</f>
        <v/>
      </c>
      <c r="C606" s="17" t="str">
        <f>IFERROR(VLOOKUP(E606,'(新)ﾍﾞﾝﾀﾞｰ小型'!$A$3:$K$241,4,0), "")</f>
        <v/>
      </c>
      <c r="D606" s="17" t="str">
        <f>IFERROR(VLOOKUP(E606,'(新)ﾍﾞﾝﾀﾞｰ小型'!$A$3:$K$241,5,0), "")</f>
        <v/>
      </c>
      <c r="E606" s="13"/>
      <c r="F606" s="18" t="str">
        <f>IFERROR(VLOOKUP(E606,'(新)ﾍﾞﾝﾀﾞｰ小型'!$A$3:$K$241,8,0), "")</f>
        <v/>
      </c>
      <c r="G606" s="7" t="str">
        <f>IFERROR(VLOOKUP(E606,'(旧)ﾍﾞﾝﾀﾞｰ小型'!$A$3:$K$310,10,0),"")</f>
        <v/>
      </c>
      <c r="H606" s="12" t="s">
        <v>60</v>
      </c>
      <c r="I606" s="17" t="str">
        <f>IFERROR(VLOOKUP(E606,'(新)ﾍﾞﾝﾀﾞｰ小型'!$A$3:$K$241,10,0),"")</f>
        <v/>
      </c>
    </row>
    <row r="607" spans="2:9" x14ac:dyDescent="0.15">
      <c r="B607" s="17" t="str">
        <f>IFERROR(VLOOKUP(E607,'(新)ﾍﾞﾝﾀﾞｰ小型'!$A$3:$K$241,2,0), "")</f>
        <v/>
      </c>
      <c r="C607" s="17" t="str">
        <f>IFERROR(VLOOKUP(E607,'(新)ﾍﾞﾝﾀﾞｰ小型'!$A$3:$K$241,4,0), "")</f>
        <v/>
      </c>
      <c r="D607" s="17" t="str">
        <f>IFERROR(VLOOKUP(E607,'(新)ﾍﾞﾝﾀﾞｰ小型'!$A$3:$K$241,5,0), "")</f>
        <v/>
      </c>
      <c r="E607" s="13"/>
      <c r="F607" s="18" t="str">
        <f>IFERROR(VLOOKUP(E607,'(新)ﾍﾞﾝﾀﾞｰ小型'!$A$3:$K$241,8,0), "")</f>
        <v/>
      </c>
      <c r="G607" s="7" t="str">
        <f>IFERROR(VLOOKUP(E607,'(旧)ﾍﾞﾝﾀﾞｰ小型'!$A$3:$K$310,10,0),"")</f>
        <v/>
      </c>
      <c r="H607" s="12" t="s">
        <v>60</v>
      </c>
      <c r="I607" s="17" t="str">
        <f>IFERROR(VLOOKUP(E607,'(新)ﾍﾞﾝﾀﾞｰ小型'!$A$3:$K$241,10,0),"")</f>
        <v/>
      </c>
    </row>
    <row r="608" spans="2:9" x14ac:dyDescent="0.15">
      <c r="B608" s="17" t="str">
        <f>IFERROR(VLOOKUP(E608,'(新)ﾍﾞﾝﾀﾞｰ小型'!$A$3:$K$241,2,0), "")</f>
        <v/>
      </c>
      <c r="C608" s="17" t="str">
        <f>IFERROR(VLOOKUP(E608,'(新)ﾍﾞﾝﾀﾞｰ小型'!$A$3:$K$241,4,0), "")</f>
        <v/>
      </c>
      <c r="D608" s="17" t="str">
        <f>IFERROR(VLOOKUP(E608,'(新)ﾍﾞﾝﾀﾞｰ小型'!$A$3:$K$241,5,0), "")</f>
        <v/>
      </c>
      <c r="E608" s="13"/>
      <c r="F608" s="18" t="str">
        <f>IFERROR(VLOOKUP(E608,'(新)ﾍﾞﾝﾀﾞｰ小型'!$A$3:$K$241,8,0), "")</f>
        <v/>
      </c>
      <c r="G608" s="7" t="str">
        <f>IFERROR(VLOOKUP(E608,'(旧)ﾍﾞﾝﾀﾞｰ小型'!$A$3:$K$310,10,0),"")</f>
        <v/>
      </c>
      <c r="H608" s="12" t="s">
        <v>60</v>
      </c>
      <c r="I608" s="17" t="str">
        <f>IFERROR(VLOOKUP(E608,'(新)ﾍﾞﾝﾀﾞｰ小型'!$A$3:$K$241,10,0),"")</f>
        <v/>
      </c>
    </row>
    <row r="609" spans="2:9" x14ac:dyDescent="0.15">
      <c r="B609" s="17" t="str">
        <f>IFERROR(VLOOKUP(E609,'(新)ﾍﾞﾝﾀﾞｰ小型'!$A$3:$K$241,2,0), "")</f>
        <v/>
      </c>
      <c r="C609" s="17" t="str">
        <f>IFERROR(VLOOKUP(E609,'(新)ﾍﾞﾝﾀﾞｰ小型'!$A$3:$K$241,4,0), "")</f>
        <v/>
      </c>
      <c r="D609" s="17" t="str">
        <f>IFERROR(VLOOKUP(E609,'(新)ﾍﾞﾝﾀﾞｰ小型'!$A$3:$K$241,5,0), "")</f>
        <v/>
      </c>
      <c r="E609" s="13"/>
      <c r="F609" s="18" t="str">
        <f>IFERROR(VLOOKUP(E609,'(新)ﾍﾞﾝﾀﾞｰ小型'!$A$3:$K$241,8,0), "")</f>
        <v/>
      </c>
      <c r="G609" s="7" t="str">
        <f>IFERROR(VLOOKUP(E609,'(旧)ﾍﾞﾝﾀﾞｰ小型'!$A$3:$K$310,10,0),"")</f>
        <v/>
      </c>
      <c r="H609" s="12" t="s">
        <v>60</v>
      </c>
      <c r="I609" s="17" t="str">
        <f>IFERROR(VLOOKUP(E609,'(新)ﾍﾞﾝﾀﾞｰ小型'!$A$3:$K$241,10,0),"")</f>
        <v/>
      </c>
    </row>
    <row r="610" spans="2:9" x14ac:dyDescent="0.15">
      <c r="B610" s="17" t="str">
        <f>IFERROR(VLOOKUP(E610,'(新)ﾍﾞﾝﾀﾞｰ小型'!$A$3:$K$241,2,0), "")</f>
        <v/>
      </c>
      <c r="C610" s="17" t="str">
        <f>IFERROR(VLOOKUP(E610,'(新)ﾍﾞﾝﾀﾞｰ小型'!$A$3:$K$241,4,0), "")</f>
        <v/>
      </c>
      <c r="D610" s="17" t="str">
        <f>IFERROR(VLOOKUP(E610,'(新)ﾍﾞﾝﾀﾞｰ小型'!$A$3:$K$241,5,0), "")</f>
        <v/>
      </c>
      <c r="E610" s="13"/>
      <c r="F610" s="18" t="str">
        <f>IFERROR(VLOOKUP(E610,'(新)ﾍﾞﾝﾀﾞｰ小型'!$A$3:$K$241,8,0), "")</f>
        <v/>
      </c>
      <c r="G610" s="7" t="str">
        <f>IFERROR(VLOOKUP(E610,'(旧)ﾍﾞﾝﾀﾞｰ小型'!$A$3:$K$310,10,0),"")</f>
        <v/>
      </c>
      <c r="H610" s="12" t="s">
        <v>60</v>
      </c>
      <c r="I610" s="17" t="str">
        <f>IFERROR(VLOOKUP(E610,'(新)ﾍﾞﾝﾀﾞｰ小型'!$A$3:$K$241,10,0),"")</f>
        <v/>
      </c>
    </row>
    <row r="611" spans="2:9" x14ac:dyDescent="0.15">
      <c r="B611" s="17" t="str">
        <f>IFERROR(VLOOKUP(E611,'(新)ﾍﾞﾝﾀﾞｰ小型'!$A$3:$K$241,2,0), "")</f>
        <v/>
      </c>
      <c r="C611" s="17" t="str">
        <f>IFERROR(VLOOKUP(E611,'(新)ﾍﾞﾝﾀﾞｰ小型'!$A$3:$K$241,4,0), "")</f>
        <v/>
      </c>
      <c r="D611" s="17" t="str">
        <f>IFERROR(VLOOKUP(E611,'(新)ﾍﾞﾝﾀﾞｰ小型'!$A$3:$K$241,5,0), "")</f>
        <v/>
      </c>
      <c r="E611" s="13"/>
      <c r="F611" s="18" t="str">
        <f>IFERROR(VLOOKUP(E611,'(新)ﾍﾞﾝﾀﾞｰ小型'!$A$3:$K$241,8,0), "")</f>
        <v/>
      </c>
      <c r="G611" s="7" t="str">
        <f>IFERROR(VLOOKUP(E611,'(旧)ﾍﾞﾝﾀﾞｰ小型'!$A$3:$K$310,10,0),"")</f>
        <v/>
      </c>
      <c r="H611" s="12" t="s">
        <v>60</v>
      </c>
      <c r="I611" s="17" t="str">
        <f>IFERROR(VLOOKUP(E611,'(新)ﾍﾞﾝﾀﾞｰ小型'!$A$3:$K$241,10,0),"")</f>
        <v/>
      </c>
    </row>
    <row r="612" spans="2:9" x14ac:dyDescent="0.15">
      <c r="B612" s="17" t="str">
        <f>IFERROR(VLOOKUP(E612,'(新)ﾍﾞﾝﾀﾞｰ小型'!$A$3:$K$241,2,0), "")</f>
        <v/>
      </c>
      <c r="C612" s="17" t="str">
        <f>IFERROR(VLOOKUP(E612,'(新)ﾍﾞﾝﾀﾞｰ小型'!$A$3:$K$241,4,0), "")</f>
        <v/>
      </c>
      <c r="D612" s="17" t="str">
        <f>IFERROR(VLOOKUP(E612,'(新)ﾍﾞﾝﾀﾞｰ小型'!$A$3:$K$241,5,0), "")</f>
        <v/>
      </c>
      <c r="E612" s="13"/>
      <c r="F612" s="18" t="str">
        <f>IFERROR(VLOOKUP(E612,'(新)ﾍﾞﾝﾀﾞｰ小型'!$A$3:$K$241,8,0), "")</f>
        <v/>
      </c>
      <c r="G612" s="7" t="str">
        <f>IFERROR(VLOOKUP(E612,'(旧)ﾍﾞﾝﾀﾞｰ小型'!$A$3:$K$310,10,0),"")</f>
        <v/>
      </c>
      <c r="H612" s="12" t="s">
        <v>60</v>
      </c>
      <c r="I612" s="17" t="str">
        <f>IFERROR(VLOOKUP(E612,'(新)ﾍﾞﾝﾀﾞｰ小型'!$A$3:$K$241,10,0),"")</f>
        <v/>
      </c>
    </row>
    <row r="613" spans="2:9" x14ac:dyDescent="0.15">
      <c r="B613" s="17" t="str">
        <f>IFERROR(VLOOKUP(E613,'(新)ﾍﾞﾝﾀﾞｰ小型'!$A$3:$K$241,2,0), "")</f>
        <v/>
      </c>
      <c r="C613" s="17" t="str">
        <f>IFERROR(VLOOKUP(E613,'(新)ﾍﾞﾝﾀﾞｰ小型'!$A$3:$K$241,4,0), "")</f>
        <v/>
      </c>
      <c r="D613" s="17" t="str">
        <f>IFERROR(VLOOKUP(E613,'(新)ﾍﾞﾝﾀﾞｰ小型'!$A$3:$K$241,5,0), "")</f>
        <v/>
      </c>
      <c r="E613" s="13"/>
      <c r="F613" s="18" t="str">
        <f>IFERROR(VLOOKUP(E613,'(新)ﾍﾞﾝﾀﾞｰ小型'!$A$3:$K$241,8,0), "")</f>
        <v/>
      </c>
      <c r="G613" s="7" t="str">
        <f>IFERROR(VLOOKUP(E613,'(旧)ﾍﾞﾝﾀﾞｰ小型'!$A$3:$K$310,10,0),"")</f>
        <v/>
      </c>
      <c r="H613" s="12" t="s">
        <v>60</v>
      </c>
      <c r="I613" s="17" t="str">
        <f>IFERROR(VLOOKUP(E613,'(新)ﾍﾞﾝﾀﾞｰ小型'!$A$3:$K$241,10,0),"")</f>
        <v/>
      </c>
    </row>
    <row r="614" spans="2:9" x14ac:dyDescent="0.15">
      <c r="B614" s="17" t="str">
        <f>IFERROR(VLOOKUP(E614,'(新)ﾍﾞﾝﾀﾞｰ小型'!$A$3:$K$241,2,0), "")</f>
        <v/>
      </c>
      <c r="C614" s="17" t="str">
        <f>IFERROR(VLOOKUP(E614,'(新)ﾍﾞﾝﾀﾞｰ小型'!$A$3:$K$241,4,0), "")</f>
        <v/>
      </c>
      <c r="D614" s="17" t="str">
        <f>IFERROR(VLOOKUP(E614,'(新)ﾍﾞﾝﾀﾞｰ小型'!$A$3:$K$241,5,0), "")</f>
        <v/>
      </c>
      <c r="E614" s="13"/>
      <c r="F614" s="18" t="str">
        <f>IFERROR(VLOOKUP(E614,'(新)ﾍﾞﾝﾀﾞｰ小型'!$A$3:$K$241,8,0), "")</f>
        <v/>
      </c>
      <c r="G614" s="7" t="str">
        <f>IFERROR(VLOOKUP(E614,'(旧)ﾍﾞﾝﾀﾞｰ小型'!$A$3:$K$310,10,0),"")</f>
        <v/>
      </c>
      <c r="H614" s="12" t="s">
        <v>60</v>
      </c>
      <c r="I614" s="17" t="str">
        <f>IFERROR(VLOOKUP(E614,'(新)ﾍﾞﾝﾀﾞｰ小型'!$A$3:$K$241,10,0),"")</f>
        <v/>
      </c>
    </row>
    <row r="615" spans="2:9" x14ac:dyDescent="0.15">
      <c r="B615" s="17" t="str">
        <f>IFERROR(VLOOKUP(E615,'(新)ﾍﾞﾝﾀﾞｰ小型'!$A$3:$K$241,2,0), "")</f>
        <v/>
      </c>
      <c r="C615" s="17" t="str">
        <f>IFERROR(VLOOKUP(E615,'(新)ﾍﾞﾝﾀﾞｰ小型'!$A$3:$K$241,4,0), "")</f>
        <v/>
      </c>
      <c r="D615" s="17" t="str">
        <f>IFERROR(VLOOKUP(E615,'(新)ﾍﾞﾝﾀﾞｰ小型'!$A$3:$K$241,5,0), "")</f>
        <v/>
      </c>
      <c r="E615" s="13"/>
      <c r="F615" s="18" t="str">
        <f>IFERROR(VLOOKUP(E615,'(新)ﾍﾞﾝﾀﾞｰ小型'!$A$3:$K$241,8,0), "")</f>
        <v/>
      </c>
      <c r="G615" s="7" t="str">
        <f>IFERROR(VLOOKUP(E615,'(旧)ﾍﾞﾝﾀﾞｰ小型'!$A$3:$K$310,10,0),"")</f>
        <v/>
      </c>
      <c r="H615" s="12" t="s">
        <v>60</v>
      </c>
      <c r="I615" s="17" t="str">
        <f>IFERROR(VLOOKUP(E615,'(新)ﾍﾞﾝﾀﾞｰ小型'!$A$3:$K$241,10,0),"")</f>
        <v/>
      </c>
    </row>
    <row r="616" spans="2:9" x14ac:dyDescent="0.15">
      <c r="B616" s="17" t="str">
        <f>IFERROR(VLOOKUP(E616,'(新)ﾍﾞﾝﾀﾞｰ小型'!$A$3:$K$241,2,0), "")</f>
        <v/>
      </c>
      <c r="C616" s="17" t="str">
        <f>IFERROR(VLOOKUP(E616,'(新)ﾍﾞﾝﾀﾞｰ小型'!$A$3:$K$241,4,0), "")</f>
        <v/>
      </c>
      <c r="D616" s="17" t="str">
        <f>IFERROR(VLOOKUP(E616,'(新)ﾍﾞﾝﾀﾞｰ小型'!$A$3:$K$241,5,0), "")</f>
        <v/>
      </c>
      <c r="E616" s="13"/>
      <c r="F616" s="18" t="str">
        <f>IFERROR(VLOOKUP(E616,'(新)ﾍﾞﾝﾀﾞｰ小型'!$A$3:$K$241,8,0), "")</f>
        <v/>
      </c>
      <c r="G616" s="7" t="str">
        <f>IFERROR(VLOOKUP(E616,'(旧)ﾍﾞﾝﾀﾞｰ小型'!$A$3:$K$310,10,0),"")</f>
        <v/>
      </c>
      <c r="H616" s="12" t="s">
        <v>60</v>
      </c>
      <c r="I616" s="17" t="str">
        <f>IFERROR(VLOOKUP(E616,'(新)ﾍﾞﾝﾀﾞｰ小型'!$A$3:$K$241,10,0),"")</f>
        <v/>
      </c>
    </row>
    <row r="617" spans="2:9" x14ac:dyDescent="0.15">
      <c r="B617" s="17" t="str">
        <f>IFERROR(VLOOKUP(E617,'(新)ﾍﾞﾝﾀﾞｰ小型'!$A$3:$K$241,2,0), "")</f>
        <v/>
      </c>
      <c r="C617" s="17" t="str">
        <f>IFERROR(VLOOKUP(E617,'(新)ﾍﾞﾝﾀﾞｰ小型'!$A$3:$K$241,4,0), "")</f>
        <v/>
      </c>
      <c r="D617" s="17" t="str">
        <f>IFERROR(VLOOKUP(E617,'(新)ﾍﾞﾝﾀﾞｰ小型'!$A$3:$K$241,5,0), "")</f>
        <v/>
      </c>
      <c r="E617" s="13"/>
      <c r="F617" s="18" t="str">
        <f>IFERROR(VLOOKUP(E617,'(新)ﾍﾞﾝﾀﾞｰ小型'!$A$3:$K$241,8,0), "")</f>
        <v/>
      </c>
      <c r="G617" s="7" t="str">
        <f>IFERROR(VLOOKUP(E617,'(旧)ﾍﾞﾝﾀﾞｰ小型'!$A$3:$K$310,10,0),"")</f>
        <v/>
      </c>
      <c r="H617" s="12" t="s">
        <v>60</v>
      </c>
      <c r="I617" s="17" t="str">
        <f>IFERROR(VLOOKUP(E617,'(新)ﾍﾞﾝﾀﾞｰ小型'!$A$3:$K$241,10,0),"")</f>
        <v/>
      </c>
    </row>
    <row r="618" spans="2:9" x14ac:dyDescent="0.15">
      <c r="B618" s="17" t="str">
        <f>IFERROR(VLOOKUP(E618,'(新)ﾍﾞﾝﾀﾞｰ小型'!$A$3:$K$241,2,0), "")</f>
        <v/>
      </c>
      <c r="C618" s="17" t="str">
        <f>IFERROR(VLOOKUP(E618,'(新)ﾍﾞﾝﾀﾞｰ小型'!$A$3:$K$241,4,0), "")</f>
        <v/>
      </c>
      <c r="D618" s="17" t="str">
        <f>IFERROR(VLOOKUP(E618,'(新)ﾍﾞﾝﾀﾞｰ小型'!$A$3:$K$241,5,0), "")</f>
        <v/>
      </c>
      <c r="E618" s="13"/>
      <c r="F618" s="18" t="str">
        <f>IFERROR(VLOOKUP(E618,'(新)ﾍﾞﾝﾀﾞｰ小型'!$A$3:$K$241,8,0), "")</f>
        <v/>
      </c>
      <c r="G618" s="7" t="str">
        <f>IFERROR(VLOOKUP(E618,'(旧)ﾍﾞﾝﾀﾞｰ小型'!$A$3:$K$310,10,0),"")</f>
        <v/>
      </c>
      <c r="H618" s="12" t="s">
        <v>60</v>
      </c>
      <c r="I618" s="17" t="str">
        <f>IFERROR(VLOOKUP(E618,'(新)ﾍﾞﾝﾀﾞｰ小型'!$A$3:$K$241,10,0),"")</f>
        <v/>
      </c>
    </row>
    <row r="619" spans="2:9" x14ac:dyDescent="0.15">
      <c r="B619" s="17" t="str">
        <f>IFERROR(VLOOKUP(E619,'(新)ﾍﾞﾝﾀﾞｰ小型'!$A$3:$K$241,2,0), "")</f>
        <v/>
      </c>
      <c r="C619" s="17" t="str">
        <f>IFERROR(VLOOKUP(E619,'(新)ﾍﾞﾝﾀﾞｰ小型'!$A$3:$K$241,4,0), "")</f>
        <v/>
      </c>
      <c r="D619" s="17" t="str">
        <f>IFERROR(VLOOKUP(E619,'(新)ﾍﾞﾝﾀﾞｰ小型'!$A$3:$K$241,5,0), "")</f>
        <v/>
      </c>
      <c r="E619" s="13"/>
      <c r="F619" s="18" t="str">
        <f>IFERROR(VLOOKUP(E619,'(新)ﾍﾞﾝﾀﾞｰ小型'!$A$3:$K$241,8,0), "")</f>
        <v/>
      </c>
      <c r="G619" s="7" t="str">
        <f>IFERROR(VLOOKUP(E619,'(旧)ﾍﾞﾝﾀﾞｰ小型'!$A$3:$K$310,10,0),"")</f>
        <v/>
      </c>
      <c r="H619" s="12" t="s">
        <v>60</v>
      </c>
      <c r="I619" s="17" t="str">
        <f>IFERROR(VLOOKUP(E619,'(新)ﾍﾞﾝﾀﾞｰ小型'!$A$3:$K$241,10,0),"")</f>
        <v/>
      </c>
    </row>
    <row r="620" spans="2:9" x14ac:dyDescent="0.15">
      <c r="B620" s="17" t="str">
        <f>IFERROR(VLOOKUP(E620,'(新)ﾍﾞﾝﾀﾞｰ小型'!$A$3:$K$241,2,0), "")</f>
        <v/>
      </c>
      <c r="C620" s="17" t="str">
        <f>IFERROR(VLOOKUP(E620,'(新)ﾍﾞﾝﾀﾞｰ小型'!$A$3:$K$241,4,0), "")</f>
        <v/>
      </c>
      <c r="D620" s="17" t="str">
        <f>IFERROR(VLOOKUP(E620,'(新)ﾍﾞﾝﾀﾞｰ小型'!$A$3:$K$241,5,0), "")</f>
        <v/>
      </c>
      <c r="E620" s="13"/>
      <c r="F620" s="18" t="str">
        <f>IFERROR(VLOOKUP(E620,'(新)ﾍﾞﾝﾀﾞｰ小型'!$A$3:$K$241,8,0), "")</f>
        <v/>
      </c>
      <c r="G620" s="7" t="str">
        <f>IFERROR(VLOOKUP(E620,'(旧)ﾍﾞﾝﾀﾞｰ小型'!$A$3:$K$310,10,0),"")</f>
        <v/>
      </c>
      <c r="H620" s="12" t="s">
        <v>60</v>
      </c>
      <c r="I620" s="17" t="str">
        <f>IFERROR(VLOOKUP(E620,'(新)ﾍﾞﾝﾀﾞｰ小型'!$A$3:$K$241,10,0),"")</f>
        <v/>
      </c>
    </row>
    <row r="621" spans="2:9" x14ac:dyDescent="0.15">
      <c r="B621" s="17" t="str">
        <f>IFERROR(VLOOKUP(E621,'(新)ﾍﾞﾝﾀﾞｰ小型'!$A$3:$K$241,2,0), "")</f>
        <v/>
      </c>
      <c r="C621" s="17" t="str">
        <f>IFERROR(VLOOKUP(E621,'(新)ﾍﾞﾝﾀﾞｰ小型'!$A$3:$K$241,4,0), "")</f>
        <v/>
      </c>
      <c r="D621" s="17" t="str">
        <f>IFERROR(VLOOKUP(E621,'(新)ﾍﾞﾝﾀﾞｰ小型'!$A$3:$K$241,5,0), "")</f>
        <v/>
      </c>
      <c r="E621" s="13"/>
      <c r="F621" s="18" t="str">
        <f>IFERROR(VLOOKUP(E621,'(新)ﾍﾞﾝﾀﾞｰ小型'!$A$3:$K$241,8,0), "")</f>
        <v/>
      </c>
      <c r="G621" s="7" t="str">
        <f>IFERROR(VLOOKUP(E621,'(旧)ﾍﾞﾝﾀﾞｰ小型'!$A$3:$K$310,10,0),"")</f>
        <v/>
      </c>
      <c r="H621" s="12" t="s">
        <v>60</v>
      </c>
      <c r="I621" s="17" t="str">
        <f>IFERROR(VLOOKUP(E621,'(新)ﾍﾞﾝﾀﾞｰ小型'!$A$3:$K$241,10,0),"")</f>
        <v/>
      </c>
    </row>
    <row r="622" spans="2:9" x14ac:dyDescent="0.15">
      <c r="B622" s="17" t="str">
        <f>IFERROR(VLOOKUP(E622,'(新)ﾍﾞﾝﾀﾞｰ小型'!$A$3:$K$241,2,0), "")</f>
        <v/>
      </c>
      <c r="C622" s="17" t="str">
        <f>IFERROR(VLOOKUP(E622,'(新)ﾍﾞﾝﾀﾞｰ小型'!$A$3:$K$241,4,0), "")</f>
        <v/>
      </c>
      <c r="D622" s="17" t="str">
        <f>IFERROR(VLOOKUP(E622,'(新)ﾍﾞﾝﾀﾞｰ小型'!$A$3:$K$241,5,0), "")</f>
        <v/>
      </c>
      <c r="E622" s="13"/>
      <c r="F622" s="18" t="str">
        <f>IFERROR(VLOOKUP(E622,'(新)ﾍﾞﾝﾀﾞｰ小型'!$A$3:$K$241,8,0), "")</f>
        <v/>
      </c>
      <c r="G622" s="7" t="str">
        <f>IFERROR(VLOOKUP(E622,'(旧)ﾍﾞﾝﾀﾞｰ小型'!$A$3:$K$310,10,0),"")</f>
        <v/>
      </c>
      <c r="H622" s="12" t="s">
        <v>60</v>
      </c>
      <c r="I622" s="17" t="str">
        <f>IFERROR(VLOOKUP(E622,'(新)ﾍﾞﾝﾀﾞｰ小型'!$A$3:$K$241,10,0),"")</f>
        <v/>
      </c>
    </row>
    <row r="623" spans="2:9" x14ac:dyDescent="0.15">
      <c r="B623" s="17" t="str">
        <f>IFERROR(VLOOKUP(E623,'(新)ﾍﾞﾝﾀﾞｰ小型'!$A$3:$K$241,2,0), "")</f>
        <v/>
      </c>
      <c r="C623" s="17" t="str">
        <f>IFERROR(VLOOKUP(E623,'(新)ﾍﾞﾝﾀﾞｰ小型'!$A$3:$K$241,4,0), "")</f>
        <v/>
      </c>
      <c r="D623" s="17" t="str">
        <f>IFERROR(VLOOKUP(E623,'(新)ﾍﾞﾝﾀﾞｰ小型'!$A$3:$K$241,5,0), "")</f>
        <v/>
      </c>
      <c r="E623" s="13"/>
      <c r="F623" s="18" t="str">
        <f>IFERROR(VLOOKUP(E623,'(新)ﾍﾞﾝﾀﾞｰ小型'!$A$3:$K$241,8,0), "")</f>
        <v/>
      </c>
      <c r="G623" s="7" t="str">
        <f>IFERROR(VLOOKUP(E623,'(旧)ﾍﾞﾝﾀﾞｰ小型'!$A$3:$K$310,10,0),"")</f>
        <v/>
      </c>
      <c r="H623" s="12" t="s">
        <v>60</v>
      </c>
      <c r="I623" s="17" t="str">
        <f>IFERROR(VLOOKUP(E623,'(新)ﾍﾞﾝﾀﾞｰ小型'!$A$3:$K$241,10,0),"")</f>
        <v/>
      </c>
    </row>
  </sheetData>
  <autoFilter ref="A1:I623">
    <sortState ref="A2:I332">
      <sortCondition ref="I1:I332"/>
    </sortState>
  </autoFilter>
  <phoneticPr fontId="2"/>
  <conditionalFormatting sqref="G2:G623">
    <cfRule type="expression" dxfId="10" priority="2">
      <formula>#REF!&lt;&gt;$G2</formula>
    </cfRule>
  </conditionalFormatting>
  <conditionalFormatting sqref="I2:I623">
    <cfRule type="expression" dxfId="9" priority="1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78"/>
  <sheetViews>
    <sheetView zoomScaleNormal="100" workbookViewId="0">
      <pane ySplit="2" topLeftCell="A3" activePane="bottomLeft" state="frozen"/>
      <selection activeCell="L269" sqref="L269"/>
      <selection pane="bottomLeft" sqref="A1:XFD1048576"/>
    </sheetView>
  </sheetViews>
  <sheetFormatPr defaultRowHeight="13.2" x14ac:dyDescent="0.2"/>
  <sheetData>
    <row r="1" spans="1:11" x14ac:dyDescent="0.2">
      <c r="A1" s="31" t="s">
        <v>3</v>
      </c>
      <c r="B1" s="31" t="s">
        <v>0</v>
      </c>
      <c r="C1" s="31" t="s">
        <v>1</v>
      </c>
      <c r="D1" s="31" t="s">
        <v>2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</row>
    <row r="2" spans="1:11" ht="13.8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3.8" thickBot="1" x14ac:dyDescent="0.25">
      <c r="A3" s="27" t="s">
        <v>388</v>
      </c>
      <c r="B3" s="27" t="s">
        <v>256</v>
      </c>
      <c r="C3" s="27" t="s">
        <v>11</v>
      </c>
      <c r="D3" s="28" t="s">
        <v>52</v>
      </c>
      <c r="E3" s="28" t="s">
        <v>389</v>
      </c>
      <c r="F3" s="28" t="s">
        <v>53</v>
      </c>
      <c r="G3" s="28" t="s">
        <v>13</v>
      </c>
      <c r="H3" s="28" t="s">
        <v>164</v>
      </c>
      <c r="I3" s="28" t="s">
        <v>390</v>
      </c>
      <c r="J3" s="27" t="s">
        <v>206</v>
      </c>
      <c r="K3" s="27" t="s">
        <v>216</v>
      </c>
    </row>
    <row r="4" spans="1:11" ht="13.8" thickBot="1" x14ac:dyDescent="0.25">
      <c r="A4" s="27" t="s">
        <v>310</v>
      </c>
      <c r="B4" s="27" t="s">
        <v>256</v>
      </c>
      <c r="C4" s="27" t="s">
        <v>14</v>
      </c>
      <c r="D4" s="28" t="s">
        <v>148</v>
      </c>
      <c r="E4" s="28" t="s">
        <v>311</v>
      </c>
      <c r="F4" s="28" t="s">
        <v>149</v>
      </c>
      <c r="G4" s="28" t="s">
        <v>13</v>
      </c>
      <c r="H4" s="28" t="s">
        <v>202</v>
      </c>
      <c r="I4" s="28" t="s">
        <v>312</v>
      </c>
      <c r="J4" s="27" t="s">
        <v>215</v>
      </c>
      <c r="K4" s="27" t="s">
        <v>270</v>
      </c>
    </row>
    <row r="5" spans="1:11" ht="13.8" thickBot="1" x14ac:dyDescent="0.25">
      <c r="A5" s="27" t="s">
        <v>313</v>
      </c>
      <c r="B5" s="27" t="s">
        <v>256</v>
      </c>
      <c r="C5" s="27" t="s">
        <v>15</v>
      </c>
      <c r="D5" s="28" t="s">
        <v>203</v>
      </c>
      <c r="E5" s="28" t="s">
        <v>195</v>
      </c>
      <c r="F5" s="28" t="s">
        <v>204</v>
      </c>
      <c r="G5" s="28" t="s">
        <v>13</v>
      </c>
      <c r="H5" s="28" t="s">
        <v>205</v>
      </c>
      <c r="I5" s="28" t="s">
        <v>599</v>
      </c>
      <c r="J5" s="27" t="s">
        <v>215</v>
      </c>
      <c r="K5" s="27" t="s">
        <v>258</v>
      </c>
    </row>
    <row r="6" spans="1:11" ht="13.8" thickBot="1" x14ac:dyDescent="0.25">
      <c r="A6" s="27" t="s">
        <v>317</v>
      </c>
      <c r="B6" s="27" t="s">
        <v>256</v>
      </c>
      <c r="C6" s="27" t="s">
        <v>16</v>
      </c>
      <c r="D6" s="28" t="s">
        <v>54</v>
      </c>
      <c r="E6" s="28" t="s">
        <v>375</v>
      </c>
      <c r="F6" s="28" t="s">
        <v>55</v>
      </c>
      <c r="G6" s="28" t="s">
        <v>13</v>
      </c>
      <c r="H6" s="28" t="s">
        <v>165</v>
      </c>
      <c r="I6" s="28" t="s">
        <v>376</v>
      </c>
      <c r="J6" s="27" t="s">
        <v>218</v>
      </c>
      <c r="K6" s="27" t="s">
        <v>262</v>
      </c>
    </row>
    <row r="7" spans="1:11" ht="13.8" thickBot="1" x14ac:dyDescent="0.25">
      <c r="A7" s="27" t="s">
        <v>314</v>
      </c>
      <c r="B7" s="27" t="s">
        <v>256</v>
      </c>
      <c r="C7" s="27" t="s">
        <v>17</v>
      </c>
      <c r="D7" s="28" t="s">
        <v>44</v>
      </c>
      <c r="E7" s="28" t="s">
        <v>315</v>
      </c>
      <c r="F7" s="28" t="s">
        <v>45</v>
      </c>
      <c r="G7" s="28" t="s">
        <v>13</v>
      </c>
      <c r="H7" s="28" t="s">
        <v>174</v>
      </c>
      <c r="I7" s="28" t="s">
        <v>316</v>
      </c>
      <c r="J7" s="27" t="s">
        <v>218</v>
      </c>
      <c r="K7" s="27" t="s">
        <v>278</v>
      </c>
    </row>
    <row r="8" spans="1:11" ht="13.8" thickBot="1" x14ac:dyDescent="0.25">
      <c r="A8" s="27" t="s">
        <v>324</v>
      </c>
      <c r="B8" s="27" t="s">
        <v>256</v>
      </c>
      <c r="C8" s="27" t="s">
        <v>18</v>
      </c>
      <c r="D8" s="28" t="s">
        <v>42</v>
      </c>
      <c r="E8" s="28" t="s">
        <v>140</v>
      </c>
      <c r="F8" s="28" t="s">
        <v>43</v>
      </c>
      <c r="G8" s="28" t="s">
        <v>13</v>
      </c>
      <c r="H8" s="28" t="s">
        <v>166</v>
      </c>
      <c r="I8" s="28" t="s">
        <v>432</v>
      </c>
      <c r="J8" s="27" t="s">
        <v>221</v>
      </c>
      <c r="K8" s="27" t="s">
        <v>274</v>
      </c>
    </row>
    <row r="9" spans="1:11" ht="13.8" thickBot="1" x14ac:dyDescent="0.25">
      <c r="A9" s="27" t="s">
        <v>318</v>
      </c>
      <c r="B9" s="27" t="s">
        <v>256</v>
      </c>
      <c r="C9" s="27" t="s">
        <v>19</v>
      </c>
      <c r="D9" s="28" t="s">
        <v>42</v>
      </c>
      <c r="E9" s="28" t="s">
        <v>12</v>
      </c>
      <c r="F9" s="28" t="s">
        <v>43</v>
      </c>
      <c r="G9" s="28" t="s">
        <v>13</v>
      </c>
      <c r="H9" s="28" t="s">
        <v>166</v>
      </c>
      <c r="I9" s="28" t="s">
        <v>600</v>
      </c>
      <c r="J9" s="27" t="s">
        <v>221</v>
      </c>
      <c r="K9" s="27" t="s">
        <v>274</v>
      </c>
    </row>
    <row r="10" spans="1:11" ht="13.8" thickBot="1" x14ac:dyDescent="0.25">
      <c r="A10" s="27" t="s">
        <v>319</v>
      </c>
      <c r="B10" s="27" t="s">
        <v>256</v>
      </c>
      <c r="C10" s="27" t="s">
        <v>20</v>
      </c>
      <c r="D10" s="28" t="s">
        <v>44</v>
      </c>
      <c r="E10" s="28" t="s">
        <v>320</v>
      </c>
      <c r="F10" s="28" t="s">
        <v>45</v>
      </c>
      <c r="G10" s="28" t="s">
        <v>13</v>
      </c>
      <c r="H10" s="28" t="s">
        <v>174</v>
      </c>
      <c r="I10" s="28" t="s">
        <v>321</v>
      </c>
      <c r="J10" s="27" t="s">
        <v>258</v>
      </c>
      <c r="K10" s="27" t="s">
        <v>294</v>
      </c>
    </row>
    <row r="11" spans="1:11" ht="13.8" thickBot="1" x14ac:dyDescent="0.25">
      <c r="A11" s="27" t="s">
        <v>327</v>
      </c>
      <c r="B11" s="27" t="s">
        <v>256</v>
      </c>
      <c r="C11" s="27" t="s">
        <v>21</v>
      </c>
      <c r="D11" s="28" t="s">
        <v>42</v>
      </c>
      <c r="E11" s="28" t="s">
        <v>495</v>
      </c>
      <c r="F11" s="28" t="s">
        <v>43</v>
      </c>
      <c r="G11" s="28" t="s">
        <v>13</v>
      </c>
      <c r="H11" s="28" t="s">
        <v>166</v>
      </c>
      <c r="I11" s="28" t="s">
        <v>496</v>
      </c>
      <c r="J11" s="27" t="s">
        <v>258</v>
      </c>
      <c r="K11" s="27" t="s">
        <v>288</v>
      </c>
    </row>
    <row r="12" spans="1:11" ht="13.8" thickBot="1" x14ac:dyDescent="0.25">
      <c r="A12" s="27" t="s">
        <v>322</v>
      </c>
      <c r="B12" s="27" t="s">
        <v>256</v>
      </c>
      <c r="C12" s="27" t="s">
        <v>22</v>
      </c>
      <c r="D12" s="28" t="s">
        <v>50</v>
      </c>
      <c r="E12" s="28" t="s">
        <v>377</v>
      </c>
      <c r="F12" s="28" t="s">
        <v>51</v>
      </c>
      <c r="G12" s="28" t="s">
        <v>13</v>
      </c>
      <c r="H12" s="28" t="s">
        <v>163</v>
      </c>
      <c r="I12" s="28" t="s">
        <v>378</v>
      </c>
      <c r="J12" s="27" t="s">
        <v>272</v>
      </c>
      <c r="K12" s="27" t="s">
        <v>323</v>
      </c>
    </row>
    <row r="13" spans="1:11" ht="13.8" thickBot="1" x14ac:dyDescent="0.25">
      <c r="A13" s="27" t="s">
        <v>328</v>
      </c>
      <c r="B13" s="27" t="s">
        <v>256</v>
      </c>
      <c r="C13" s="27" t="s">
        <v>23</v>
      </c>
      <c r="D13" s="28" t="s">
        <v>42</v>
      </c>
      <c r="E13" s="28" t="s">
        <v>12</v>
      </c>
      <c r="F13" s="28" t="s">
        <v>43</v>
      </c>
      <c r="G13" s="28" t="s">
        <v>13</v>
      </c>
      <c r="H13" s="28" t="s">
        <v>166</v>
      </c>
      <c r="I13" s="28" t="s">
        <v>497</v>
      </c>
      <c r="J13" s="27" t="s">
        <v>272</v>
      </c>
      <c r="K13" s="27" t="s">
        <v>323</v>
      </c>
    </row>
    <row r="14" spans="1:11" ht="13.8" thickBot="1" x14ac:dyDescent="0.25">
      <c r="A14" s="27" t="s">
        <v>325</v>
      </c>
      <c r="B14" s="27" t="s">
        <v>256</v>
      </c>
      <c r="C14" s="27" t="s">
        <v>24</v>
      </c>
      <c r="D14" s="28" t="s">
        <v>54</v>
      </c>
      <c r="E14" s="28" t="s">
        <v>320</v>
      </c>
      <c r="F14" s="28" t="s">
        <v>55</v>
      </c>
      <c r="G14" s="28" t="s">
        <v>13</v>
      </c>
      <c r="H14" s="28" t="s">
        <v>165</v>
      </c>
      <c r="I14" s="28" t="s">
        <v>326</v>
      </c>
      <c r="J14" s="27" t="s">
        <v>274</v>
      </c>
      <c r="K14" s="27" t="s">
        <v>300</v>
      </c>
    </row>
    <row r="15" spans="1:11" ht="13.8" thickBot="1" x14ac:dyDescent="0.25">
      <c r="A15" s="27" t="s">
        <v>329</v>
      </c>
      <c r="B15" s="27" t="s">
        <v>256</v>
      </c>
      <c r="C15" s="27" t="s">
        <v>25</v>
      </c>
      <c r="D15" s="28" t="s">
        <v>159</v>
      </c>
      <c r="E15" s="28" t="s">
        <v>498</v>
      </c>
      <c r="F15" s="28" t="s">
        <v>160</v>
      </c>
      <c r="G15" s="28" t="s">
        <v>13</v>
      </c>
      <c r="H15" s="28" t="s">
        <v>167</v>
      </c>
      <c r="I15" s="28" t="s">
        <v>499</v>
      </c>
      <c r="J15" s="27" t="s">
        <v>274</v>
      </c>
      <c r="K15" s="27" t="s">
        <v>300</v>
      </c>
    </row>
    <row r="16" spans="1:11" ht="13.8" thickBot="1" x14ac:dyDescent="0.25">
      <c r="A16" s="27" t="s">
        <v>379</v>
      </c>
      <c r="B16" s="27" t="s">
        <v>256</v>
      </c>
      <c r="C16" s="27" t="s">
        <v>26</v>
      </c>
      <c r="D16" s="28" t="s">
        <v>203</v>
      </c>
      <c r="E16" s="28" t="s">
        <v>12</v>
      </c>
      <c r="F16" s="28" t="s">
        <v>204</v>
      </c>
      <c r="G16" s="28" t="s">
        <v>13</v>
      </c>
      <c r="H16" s="28" t="s">
        <v>205</v>
      </c>
      <c r="I16" s="28" t="s">
        <v>500</v>
      </c>
      <c r="J16" s="27" t="s">
        <v>284</v>
      </c>
      <c r="K16" s="27" t="s">
        <v>298</v>
      </c>
    </row>
    <row r="17" spans="1:11" ht="13.8" thickBot="1" x14ac:dyDescent="0.25">
      <c r="A17" s="27" t="s">
        <v>433</v>
      </c>
      <c r="B17" s="27" t="s">
        <v>396</v>
      </c>
      <c r="C17" s="27" t="s">
        <v>11</v>
      </c>
      <c r="D17" s="28" t="s">
        <v>434</v>
      </c>
      <c r="E17" s="28" t="s">
        <v>435</v>
      </c>
      <c r="F17" s="28" t="s">
        <v>436</v>
      </c>
      <c r="G17" s="28" t="s">
        <v>13</v>
      </c>
      <c r="H17" s="28" t="s">
        <v>437</v>
      </c>
      <c r="I17" s="28" t="s">
        <v>438</v>
      </c>
      <c r="J17" s="27" t="s">
        <v>257</v>
      </c>
      <c r="K17" s="27" t="s">
        <v>298</v>
      </c>
    </row>
    <row r="18" spans="1:11" ht="13.8" thickBot="1" x14ac:dyDescent="0.25">
      <c r="A18" s="27" t="s">
        <v>439</v>
      </c>
      <c r="B18" s="27" t="s">
        <v>396</v>
      </c>
      <c r="C18" s="27" t="s">
        <v>14</v>
      </c>
      <c r="D18" s="28" t="s">
        <v>46</v>
      </c>
      <c r="E18" s="28" t="s">
        <v>440</v>
      </c>
      <c r="F18" s="28" t="s">
        <v>47</v>
      </c>
      <c r="G18" s="28" t="s">
        <v>13</v>
      </c>
      <c r="H18" s="28" t="s">
        <v>169</v>
      </c>
      <c r="I18" s="28" t="s">
        <v>441</v>
      </c>
      <c r="J18" s="27" t="s">
        <v>278</v>
      </c>
      <c r="K18" s="27" t="s">
        <v>298</v>
      </c>
    </row>
    <row r="19" spans="1:11" ht="13.8" thickBot="1" x14ac:dyDescent="0.25">
      <c r="A19" s="27" t="s">
        <v>442</v>
      </c>
      <c r="B19" s="27" t="s">
        <v>396</v>
      </c>
      <c r="C19" s="27" t="s">
        <v>15</v>
      </c>
      <c r="D19" s="28" t="s">
        <v>42</v>
      </c>
      <c r="E19" s="28" t="s">
        <v>601</v>
      </c>
      <c r="F19" s="28" t="s">
        <v>43</v>
      </c>
      <c r="G19" s="28" t="s">
        <v>13</v>
      </c>
      <c r="H19" s="28" t="s">
        <v>166</v>
      </c>
      <c r="I19" s="28" t="s">
        <v>602</v>
      </c>
      <c r="J19" s="27" t="s">
        <v>278</v>
      </c>
      <c r="K19" s="27" t="s">
        <v>298</v>
      </c>
    </row>
    <row r="20" spans="1:11" ht="13.8" thickBot="1" x14ac:dyDescent="0.25">
      <c r="A20" s="27" t="s">
        <v>811</v>
      </c>
      <c r="B20" s="27" t="s">
        <v>396</v>
      </c>
      <c r="C20" s="27" t="s">
        <v>16</v>
      </c>
      <c r="D20" s="28" t="s">
        <v>54</v>
      </c>
      <c r="E20" s="28" t="s">
        <v>33</v>
      </c>
      <c r="F20" s="28" t="s">
        <v>55</v>
      </c>
      <c r="G20" s="28" t="s">
        <v>13</v>
      </c>
      <c r="H20" s="28" t="s">
        <v>165</v>
      </c>
      <c r="I20" s="28"/>
      <c r="J20" s="27" t="s">
        <v>294</v>
      </c>
      <c r="K20" s="27" t="s">
        <v>411</v>
      </c>
    </row>
    <row r="21" spans="1:11" ht="13.8" thickBot="1" x14ac:dyDescent="0.25">
      <c r="A21" s="27" t="s">
        <v>809</v>
      </c>
      <c r="B21" s="27" t="s">
        <v>396</v>
      </c>
      <c r="C21" s="27" t="s">
        <v>17</v>
      </c>
      <c r="D21" s="28" t="s">
        <v>42</v>
      </c>
      <c r="E21" s="28" t="s">
        <v>603</v>
      </c>
      <c r="F21" s="28" t="s">
        <v>43</v>
      </c>
      <c r="G21" s="28" t="s">
        <v>13</v>
      </c>
      <c r="H21" s="28" t="s">
        <v>166</v>
      </c>
      <c r="I21" s="28" t="s">
        <v>604</v>
      </c>
      <c r="J21" s="27" t="s">
        <v>330</v>
      </c>
      <c r="K21" s="27" t="s">
        <v>419</v>
      </c>
    </row>
    <row r="22" spans="1:11" ht="13.8" thickBot="1" x14ac:dyDescent="0.25">
      <c r="A22" s="27" t="s">
        <v>810</v>
      </c>
      <c r="B22" s="27" t="s">
        <v>396</v>
      </c>
      <c r="C22" s="27" t="s">
        <v>18</v>
      </c>
      <c r="D22" s="28" t="s">
        <v>42</v>
      </c>
      <c r="E22" s="28" t="s">
        <v>603</v>
      </c>
      <c r="F22" s="28" t="s">
        <v>43</v>
      </c>
      <c r="G22" s="28" t="s">
        <v>13</v>
      </c>
      <c r="H22" s="28" t="s">
        <v>166</v>
      </c>
      <c r="I22" s="28" t="s">
        <v>605</v>
      </c>
      <c r="J22" s="27" t="s">
        <v>330</v>
      </c>
      <c r="K22" s="27" t="s">
        <v>419</v>
      </c>
    </row>
    <row r="23" spans="1:11" ht="13.8" thickBot="1" x14ac:dyDescent="0.25">
      <c r="A23" s="27" t="s">
        <v>502</v>
      </c>
      <c r="B23" s="27" t="s">
        <v>396</v>
      </c>
      <c r="C23" s="27" t="s">
        <v>19</v>
      </c>
      <c r="D23" s="28" t="s">
        <v>52</v>
      </c>
      <c r="E23" s="28" t="s">
        <v>503</v>
      </c>
      <c r="F23" s="28" t="s">
        <v>53</v>
      </c>
      <c r="G23" s="28" t="s">
        <v>13</v>
      </c>
      <c r="H23" s="28" t="s">
        <v>164</v>
      </c>
      <c r="I23" s="28" t="s">
        <v>504</v>
      </c>
      <c r="J23" s="27" t="s">
        <v>399</v>
      </c>
      <c r="K23" s="27" t="s">
        <v>428</v>
      </c>
    </row>
    <row r="24" spans="1:11" ht="13.8" thickBot="1" x14ac:dyDescent="0.25">
      <c r="A24" s="27" t="s">
        <v>506</v>
      </c>
      <c r="B24" s="27" t="s">
        <v>396</v>
      </c>
      <c r="C24" s="27" t="s">
        <v>20</v>
      </c>
      <c r="D24" s="28" t="s">
        <v>52</v>
      </c>
      <c r="E24" s="28" t="s">
        <v>225</v>
      </c>
      <c r="F24" s="28" t="s">
        <v>53</v>
      </c>
      <c r="G24" s="28" t="s">
        <v>13</v>
      </c>
      <c r="H24" s="28" t="s">
        <v>164</v>
      </c>
      <c r="I24" s="28" t="s">
        <v>507</v>
      </c>
      <c r="J24" s="27" t="s">
        <v>399</v>
      </c>
      <c r="K24" s="27" t="s">
        <v>428</v>
      </c>
    </row>
    <row r="25" spans="1:11" ht="13.8" thickBot="1" x14ac:dyDescent="0.25">
      <c r="A25" s="27" t="s">
        <v>606</v>
      </c>
      <c r="B25" s="27" t="s">
        <v>396</v>
      </c>
      <c r="C25" s="27" t="s">
        <v>21</v>
      </c>
      <c r="D25" s="28" t="s">
        <v>50</v>
      </c>
      <c r="E25" s="28" t="s">
        <v>812</v>
      </c>
      <c r="F25" s="28" t="s">
        <v>51</v>
      </c>
      <c r="G25" s="28" t="s">
        <v>13</v>
      </c>
      <c r="H25" s="28" t="s">
        <v>163</v>
      </c>
      <c r="I25" s="28" t="s">
        <v>813</v>
      </c>
      <c r="J25" s="27" t="s">
        <v>419</v>
      </c>
      <c r="K25" s="27" t="s">
        <v>548</v>
      </c>
    </row>
    <row r="26" spans="1:11" ht="13.8" thickBot="1" x14ac:dyDescent="0.25">
      <c r="A26" s="27" t="s">
        <v>814</v>
      </c>
      <c r="B26" s="27" t="s">
        <v>396</v>
      </c>
      <c r="C26" s="27" t="s">
        <v>22</v>
      </c>
      <c r="D26" s="28" t="s">
        <v>42</v>
      </c>
      <c r="E26" s="28" t="s">
        <v>12</v>
      </c>
      <c r="F26" s="28" t="s">
        <v>43</v>
      </c>
      <c r="G26" s="28" t="s">
        <v>13</v>
      </c>
      <c r="H26" s="28" t="s">
        <v>166</v>
      </c>
      <c r="I26" s="28" t="s">
        <v>815</v>
      </c>
      <c r="J26" s="27" t="s">
        <v>419</v>
      </c>
      <c r="K26" s="27" t="s">
        <v>548</v>
      </c>
    </row>
    <row r="27" spans="1:11" ht="13.8" thickBot="1" x14ac:dyDescent="0.25">
      <c r="A27" s="27" t="s">
        <v>816</v>
      </c>
      <c r="B27" s="27" t="s">
        <v>396</v>
      </c>
      <c r="C27" s="27" t="s">
        <v>23</v>
      </c>
      <c r="D27" s="28" t="s">
        <v>42</v>
      </c>
      <c r="E27" s="28" t="s">
        <v>12</v>
      </c>
      <c r="F27" s="28" t="s">
        <v>43</v>
      </c>
      <c r="G27" s="28" t="s">
        <v>13</v>
      </c>
      <c r="H27" s="28" t="s">
        <v>166</v>
      </c>
      <c r="I27" s="28" t="s">
        <v>817</v>
      </c>
      <c r="J27" s="27" t="s">
        <v>428</v>
      </c>
      <c r="K27" s="27" t="s">
        <v>451</v>
      </c>
    </row>
    <row r="28" spans="1:11" ht="13.8" thickBot="1" x14ac:dyDescent="0.25">
      <c r="A28" s="27" t="s">
        <v>818</v>
      </c>
      <c r="B28" s="27" t="s">
        <v>396</v>
      </c>
      <c r="C28" s="27" t="s">
        <v>24</v>
      </c>
      <c r="D28" s="28" t="s">
        <v>42</v>
      </c>
      <c r="E28" s="28" t="s">
        <v>140</v>
      </c>
      <c r="F28" s="28" t="s">
        <v>43</v>
      </c>
      <c r="G28" s="28" t="s">
        <v>13</v>
      </c>
      <c r="H28" s="28" t="s">
        <v>166</v>
      </c>
      <c r="I28" s="28" t="s">
        <v>819</v>
      </c>
      <c r="J28" s="27" t="s">
        <v>428</v>
      </c>
      <c r="K28" s="27" t="s">
        <v>451</v>
      </c>
    </row>
    <row r="29" spans="1:11" ht="13.8" thickBot="1" x14ac:dyDescent="0.25">
      <c r="A29" s="27" t="s">
        <v>607</v>
      </c>
      <c r="B29" s="27" t="s">
        <v>574</v>
      </c>
      <c r="C29" s="27" t="s">
        <v>11</v>
      </c>
      <c r="D29" s="28" t="s">
        <v>148</v>
      </c>
      <c r="E29" s="28" t="s">
        <v>311</v>
      </c>
      <c r="F29" s="28" t="s">
        <v>149</v>
      </c>
      <c r="G29" s="28" t="s">
        <v>13</v>
      </c>
      <c r="H29" s="28" t="s">
        <v>202</v>
      </c>
      <c r="I29" s="28" t="s">
        <v>608</v>
      </c>
      <c r="J29" s="27" t="s">
        <v>548</v>
      </c>
      <c r="K29" s="27" t="s">
        <v>583</v>
      </c>
    </row>
    <row r="30" spans="1:11" ht="13.8" thickBot="1" x14ac:dyDescent="0.25">
      <c r="A30" s="27" t="s">
        <v>609</v>
      </c>
      <c r="B30" s="27" t="s">
        <v>574</v>
      </c>
      <c r="C30" s="27" t="s">
        <v>14</v>
      </c>
      <c r="D30" s="28" t="s">
        <v>42</v>
      </c>
      <c r="E30" s="28" t="s">
        <v>610</v>
      </c>
      <c r="F30" s="28" t="s">
        <v>43</v>
      </c>
      <c r="G30" s="28" t="s">
        <v>13</v>
      </c>
      <c r="H30" s="28" t="s">
        <v>166</v>
      </c>
      <c r="I30" s="28" t="s">
        <v>611</v>
      </c>
      <c r="J30" s="27" t="s">
        <v>548</v>
      </c>
      <c r="K30" s="27" t="s">
        <v>577</v>
      </c>
    </row>
    <row r="31" spans="1:11" ht="13.8" thickBot="1" x14ac:dyDescent="0.25">
      <c r="A31" s="27" t="s">
        <v>820</v>
      </c>
      <c r="B31" s="27" t="s">
        <v>574</v>
      </c>
      <c r="C31" s="27" t="s">
        <v>15</v>
      </c>
      <c r="D31" s="28" t="s">
        <v>42</v>
      </c>
      <c r="E31" s="28" t="s">
        <v>603</v>
      </c>
      <c r="F31" s="28" t="s">
        <v>43</v>
      </c>
      <c r="G31" s="28" t="s">
        <v>13</v>
      </c>
      <c r="H31" s="28" t="s">
        <v>166</v>
      </c>
      <c r="I31" s="28" t="s">
        <v>613</v>
      </c>
      <c r="J31" s="27" t="s">
        <v>508</v>
      </c>
      <c r="K31" s="27" t="s">
        <v>980</v>
      </c>
    </row>
    <row r="32" spans="1:11" ht="13.8" thickBot="1" x14ac:dyDescent="0.25">
      <c r="A32" s="27" t="s">
        <v>821</v>
      </c>
      <c r="B32" s="27" t="s">
        <v>574</v>
      </c>
      <c r="C32" s="27" t="s">
        <v>16</v>
      </c>
      <c r="D32" s="28" t="s">
        <v>42</v>
      </c>
      <c r="E32" s="28" t="s">
        <v>603</v>
      </c>
      <c r="F32" s="28" t="s">
        <v>43</v>
      </c>
      <c r="G32" s="28" t="s">
        <v>13</v>
      </c>
      <c r="H32" s="28" t="s">
        <v>166</v>
      </c>
      <c r="I32" s="28" t="s">
        <v>614</v>
      </c>
      <c r="J32" s="27" t="s">
        <v>508</v>
      </c>
      <c r="K32" s="27" t="s">
        <v>980</v>
      </c>
    </row>
    <row r="33" spans="1:11" ht="13.8" thickBot="1" x14ac:dyDescent="0.25">
      <c r="A33" s="27" t="s">
        <v>822</v>
      </c>
      <c r="B33" s="27" t="s">
        <v>574</v>
      </c>
      <c r="C33" s="27" t="s">
        <v>17</v>
      </c>
      <c r="D33" s="28" t="s">
        <v>42</v>
      </c>
      <c r="E33" s="28" t="s">
        <v>616</v>
      </c>
      <c r="F33" s="28" t="s">
        <v>43</v>
      </c>
      <c r="G33" s="28" t="s">
        <v>13</v>
      </c>
      <c r="H33" s="28" t="s">
        <v>166</v>
      </c>
      <c r="I33" s="28" t="s">
        <v>617</v>
      </c>
      <c r="J33" s="27" t="s">
        <v>510</v>
      </c>
      <c r="K33" s="27" t="s">
        <v>583</v>
      </c>
    </row>
    <row r="34" spans="1:11" ht="13.8" thickBot="1" x14ac:dyDescent="0.25">
      <c r="A34" s="27" t="s">
        <v>823</v>
      </c>
      <c r="B34" s="27" t="s">
        <v>574</v>
      </c>
      <c r="C34" s="27" t="s">
        <v>18</v>
      </c>
      <c r="D34" s="28" t="s">
        <v>42</v>
      </c>
      <c r="E34" s="28" t="s">
        <v>616</v>
      </c>
      <c r="F34" s="28" t="s">
        <v>43</v>
      </c>
      <c r="G34" s="28" t="s">
        <v>13</v>
      </c>
      <c r="H34" s="28" t="s">
        <v>166</v>
      </c>
      <c r="I34" s="28" t="s">
        <v>618</v>
      </c>
      <c r="J34" s="27" t="s">
        <v>510</v>
      </c>
      <c r="K34" s="27" t="s">
        <v>583</v>
      </c>
    </row>
    <row r="35" spans="1:11" ht="13.8" thickBot="1" x14ac:dyDescent="0.25">
      <c r="A35" s="27" t="s">
        <v>511</v>
      </c>
      <c r="B35" s="27" t="s">
        <v>574</v>
      </c>
      <c r="C35" s="27" t="s">
        <v>19</v>
      </c>
      <c r="D35" s="28" t="s">
        <v>48</v>
      </c>
      <c r="E35" s="28" t="s">
        <v>12</v>
      </c>
      <c r="F35" s="28" t="s">
        <v>49</v>
      </c>
      <c r="G35" s="28" t="s">
        <v>13</v>
      </c>
      <c r="H35" s="28" t="s">
        <v>168</v>
      </c>
      <c r="I35" s="28" t="s">
        <v>943</v>
      </c>
      <c r="J35" s="27" t="s">
        <v>576</v>
      </c>
      <c r="K35" s="27" t="s">
        <v>728</v>
      </c>
    </row>
    <row r="36" spans="1:11" ht="13.8" thickBot="1" x14ac:dyDescent="0.25">
      <c r="A36" s="27" t="s">
        <v>824</v>
      </c>
      <c r="B36" s="27" t="s">
        <v>574</v>
      </c>
      <c r="C36" s="27" t="s">
        <v>20</v>
      </c>
      <c r="D36" s="28" t="s">
        <v>42</v>
      </c>
      <c r="E36" s="28" t="s">
        <v>616</v>
      </c>
      <c r="F36" s="28" t="s">
        <v>43</v>
      </c>
      <c r="G36" s="28" t="s">
        <v>13</v>
      </c>
      <c r="H36" s="28" t="s">
        <v>166</v>
      </c>
      <c r="I36" s="28" t="s">
        <v>619</v>
      </c>
      <c r="J36" s="27" t="s">
        <v>576</v>
      </c>
      <c r="K36" s="27" t="s">
        <v>587</v>
      </c>
    </row>
    <row r="37" spans="1:11" ht="13.8" thickBot="1" x14ac:dyDescent="0.25">
      <c r="A37" s="27" t="s">
        <v>825</v>
      </c>
      <c r="B37" s="27" t="s">
        <v>574</v>
      </c>
      <c r="C37" s="27" t="s">
        <v>21</v>
      </c>
      <c r="D37" s="28" t="s">
        <v>42</v>
      </c>
      <c r="E37" s="28" t="s">
        <v>12</v>
      </c>
      <c r="F37" s="28" t="s">
        <v>43</v>
      </c>
      <c r="G37" s="28" t="s">
        <v>13</v>
      </c>
      <c r="H37" s="28" t="s">
        <v>166</v>
      </c>
      <c r="I37" s="28" t="s">
        <v>942</v>
      </c>
      <c r="J37" s="27" t="s">
        <v>581</v>
      </c>
      <c r="K37" s="27" t="s">
        <v>728</v>
      </c>
    </row>
    <row r="38" spans="1:11" ht="13.8" thickBot="1" x14ac:dyDescent="0.25">
      <c r="A38" s="27" t="s">
        <v>826</v>
      </c>
      <c r="B38" s="27" t="s">
        <v>574</v>
      </c>
      <c r="C38" s="27" t="s">
        <v>22</v>
      </c>
      <c r="D38" s="28" t="s">
        <v>42</v>
      </c>
      <c r="E38" s="28" t="s">
        <v>140</v>
      </c>
      <c r="F38" s="28" t="s">
        <v>43</v>
      </c>
      <c r="G38" s="28" t="s">
        <v>13</v>
      </c>
      <c r="H38" s="28" t="s">
        <v>166</v>
      </c>
      <c r="I38" s="28" t="s">
        <v>1072</v>
      </c>
      <c r="J38" s="27" t="s">
        <v>581</v>
      </c>
      <c r="K38" s="27" t="s">
        <v>728</v>
      </c>
    </row>
    <row r="39" spans="1:11" ht="13.8" thickBot="1" x14ac:dyDescent="0.25">
      <c r="A39" s="27" t="s">
        <v>827</v>
      </c>
      <c r="B39" s="27" t="s">
        <v>574</v>
      </c>
      <c r="C39" s="27" t="s">
        <v>23</v>
      </c>
      <c r="D39" s="28" t="s">
        <v>52</v>
      </c>
      <c r="E39" s="28" t="s">
        <v>1186</v>
      </c>
      <c r="F39" s="28" t="s">
        <v>53</v>
      </c>
      <c r="G39" s="28" t="s">
        <v>13</v>
      </c>
      <c r="H39" s="28" t="s">
        <v>164</v>
      </c>
      <c r="I39" s="28" t="s">
        <v>1187</v>
      </c>
      <c r="J39" s="27" t="s">
        <v>587</v>
      </c>
      <c r="K39" s="27" t="s">
        <v>738</v>
      </c>
    </row>
    <row r="40" spans="1:11" ht="13.8" thickBot="1" x14ac:dyDescent="0.25">
      <c r="A40" s="27" t="s">
        <v>828</v>
      </c>
      <c r="B40" s="27" t="s">
        <v>574</v>
      </c>
      <c r="C40" s="27" t="s">
        <v>24</v>
      </c>
      <c r="D40" s="28" t="s">
        <v>52</v>
      </c>
      <c r="E40" s="28" t="s">
        <v>944</v>
      </c>
      <c r="F40" s="28" t="s">
        <v>53</v>
      </c>
      <c r="G40" s="28" t="s">
        <v>13</v>
      </c>
      <c r="H40" s="28" t="s">
        <v>164</v>
      </c>
      <c r="I40" s="28" t="s">
        <v>945</v>
      </c>
      <c r="J40" s="27" t="s">
        <v>587</v>
      </c>
      <c r="K40" s="27" t="s">
        <v>738</v>
      </c>
    </row>
    <row r="41" spans="1:11" ht="13.8" thickBot="1" x14ac:dyDescent="0.25">
      <c r="A41" s="27" t="s">
        <v>829</v>
      </c>
      <c r="B41" s="27" t="s">
        <v>746</v>
      </c>
      <c r="C41" s="27" t="s">
        <v>11</v>
      </c>
      <c r="D41" s="28" t="s">
        <v>42</v>
      </c>
      <c r="E41" s="28" t="s">
        <v>830</v>
      </c>
      <c r="F41" s="28" t="s">
        <v>43</v>
      </c>
      <c r="G41" s="28" t="s">
        <v>13</v>
      </c>
      <c r="H41" s="28" t="s">
        <v>166</v>
      </c>
      <c r="I41" s="28" t="s">
        <v>831</v>
      </c>
      <c r="J41" s="27" t="s">
        <v>598</v>
      </c>
      <c r="K41" s="27" t="s">
        <v>751</v>
      </c>
    </row>
    <row r="42" spans="1:11" ht="13.8" thickBot="1" x14ac:dyDescent="0.25">
      <c r="A42" s="27" t="s">
        <v>612</v>
      </c>
      <c r="B42" s="27" t="s">
        <v>746</v>
      </c>
      <c r="C42" s="27" t="s">
        <v>14</v>
      </c>
      <c r="D42" s="28" t="s">
        <v>48</v>
      </c>
      <c r="E42" s="28" t="s">
        <v>140</v>
      </c>
      <c r="F42" s="28" t="s">
        <v>49</v>
      </c>
      <c r="G42" s="28" t="s">
        <v>13</v>
      </c>
      <c r="H42" s="28" t="s">
        <v>168</v>
      </c>
      <c r="I42" s="28" t="s">
        <v>1073</v>
      </c>
      <c r="J42" s="27" t="s">
        <v>598</v>
      </c>
      <c r="K42" s="27" t="s">
        <v>749</v>
      </c>
    </row>
    <row r="43" spans="1:11" ht="13.8" thickBot="1" x14ac:dyDescent="0.25">
      <c r="A43" s="27" t="s">
        <v>832</v>
      </c>
      <c r="B43" s="27" t="s">
        <v>746</v>
      </c>
      <c r="C43" s="27" t="s">
        <v>15</v>
      </c>
      <c r="D43" s="28" t="s">
        <v>42</v>
      </c>
      <c r="E43" s="28" t="s">
        <v>830</v>
      </c>
      <c r="F43" s="28" t="s">
        <v>43</v>
      </c>
      <c r="G43" s="28" t="s">
        <v>13</v>
      </c>
      <c r="H43" s="28" t="s">
        <v>166</v>
      </c>
      <c r="I43" s="28" t="s">
        <v>833</v>
      </c>
      <c r="J43" s="27" t="s">
        <v>621</v>
      </c>
      <c r="K43" s="27" t="s">
        <v>756</v>
      </c>
    </row>
    <row r="44" spans="1:11" ht="13.8" thickBot="1" x14ac:dyDescent="0.25">
      <c r="A44" s="27" t="s">
        <v>834</v>
      </c>
      <c r="B44" s="27" t="s">
        <v>746</v>
      </c>
      <c r="C44" s="27" t="s">
        <v>16</v>
      </c>
      <c r="D44" s="28" t="s">
        <v>42</v>
      </c>
      <c r="E44" s="28" t="s">
        <v>830</v>
      </c>
      <c r="F44" s="28" t="s">
        <v>43</v>
      </c>
      <c r="G44" s="28" t="s">
        <v>13</v>
      </c>
      <c r="H44" s="28" t="s">
        <v>166</v>
      </c>
      <c r="I44" s="28" t="s">
        <v>835</v>
      </c>
      <c r="J44" s="27" t="s">
        <v>621</v>
      </c>
      <c r="K44" s="27" t="s">
        <v>756</v>
      </c>
    </row>
    <row r="45" spans="1:11" ht="13.8" thickBot="1" x14ac:dyDescent="0.25">
      <c r="A45" s="27" t="s">
        <v>838</v>
      </c>
      <c r="B45" s="27" t="s">
        <v>746</v>
      </c>
      <c r="C45" s="27" t="s">
        <v>17</v>
      </c>
      <c r="D45" s="28" t="s">
        <v>54</v>
      </c>
      <c r="E45" s="28" t="s">
        <v>1074</v>
      </c>
      <c r="F45" s="28" t="s">
        <v>55</v>
      </c>
      <c r="G45" s="28" t="s">
        <v>13</v>
      </c>
      <c r="H45" s="28" t="s">
        <v>165</v>
      </c>
      <c r="I45" s="28" t="s">
        <v>1075</v>
      </c>
      <c r="J45" s="27" t="s">
        <v>665</v>
      </c>
      <c r="K45" s="27" t="s">
        <v>772</v>
      </c>
    </row>
    <row r="46" spans="1:11" ht="13.8" thickBot="1" x14ac:dyDescent="0.25">
      <c r="A46" s="27" t="s">
        <v>836</v>
      </c>
      <c r="B46" s="27" t="s">
        <v>746</v>
      </c>
      <c r="C46" s="27" t="s">
        <v>18</v>
      </c>
      <c r="D46" s="28" t="s">
        <v>42</v>
      </c>
      <c r="E46" s="28" t="s">
        <v>830</v>
      </c>
      <c r="F46" s="28" t="s">
        <v>43</v>
      </c>
      <c r="G46" s="28" t="s">
        <v>13</v>
      </c>
      <c r="H46" s="28" t="s">
        <v>166</v>
      </c>
      <c r="I46" s="28" t="s">
        <v>837</v>
      </c>
      <c r="J46" s="27" t="s">
        <v>665</v>
      </c>
      <c r="K46" s="27" t="s">
        <v>772</v>
      </c>
    </row>
    <row r="47" spans="1:11" ht="13.8" thickBot="1" x14ac:dyDescent="0.25">
      <c r="A47" s="27" t="s">
        <v>839</v>
      </c>
      <c r="B47" s="27" t="s">
        <v>746</v>
      </c>
      <c r="C47" s="27" t="s">
        <v>19</v>
      </c>
      <c r="D47" s="28" t="s">
        <v>42</v>
      </c>
      <c r="E47" s="28" t="s">
        <v>12</v>
      </c>
      <c r="F47" s="28" t="s">
        <v>43</v>
      </c>
      <c r="G47" s="28" t="s">
        <v>13</v>
      </c>
      <c r="H47" s="28" t="s">
        <v>166</v>
      </c>
      <c r="I47" s="28" t="s">
        <v>1076</v>
      </c>
      <c r="J47" s="27" t="s">
        <v>747</v>
      </c>
      <c r="K47" s="27" t="s">
        <v>787</v>
      </c>
    </row>
    <row r="48" spans="1:11" ht="13.8" thickBot="1" x14ac:dyDescent="0.25">
      <c r="A48" s="27" t="s">
        <v>840</v>
      </c>
      <c r="B48" s="27" t="s">
        <v>746</v>
      </c>
      <c r="C48" s="27" t="s">
        <v>20</v>
      </c>
      <c r="D48" s="28" t="s">
        <v>42</v>
      </c>
      <c r="E48" s="28" t="s">
        <v>140</v>
      </c>
      <c r="F48" s="28" t="s">
        <v>43</v>
      </c>
      <c r="G48" s="28" t="s">
        <v>13</v>
      </c>
      <c r="H48" s="28" t="s">
        <v>166</v>
      </c>
      <c r="I48" s="28" t="s">
        <v>1077</v>
      </c>
      <c r="J48" s="27" t="s">
        <v>747</v>
      </c>
      <c r="K48" s="27" t="s">
        <v>787</v>
      </c>
    </row>
    <row r="49" spans="1:11" ht="13.8" thickBot="1" x14ac:dyDescent="0.25">
      <c r="A49" s="27" t="s">
        <v>841</v>
      </c>
      <c r="B49" s="27" t="s">
        <v>746</v>
      </c>
      <c r="C49" s="27" t="s">
        <v>21</v>
      </c>
      <c r="D49" s="28" t="s">
        <v>159</v>
      </c>
      <c r="E49" s="28" t="s">
        <v>12</v>
      </c>
      <c r="F49" s="28" t="s">
        <v>160</v>
      </c>
      <c r="G49" s="28" t="s">
        <v>13</v>
      </c>
      <c r="H49" s="28" t="s">
        <v>167</v>
      </c>
      <c r="I49" s="28" t="s">
        <v>1188</v>
      </c>
      <c r="J49" s="27" t="s">
        <v>760</v>
      </c>
      <c r="K49" s="27" t="s">
        <v>805</v>
      </c>
    </row>
    <row r="50" spans="1:11" ht="13.8" thickBot="1" x14ac:dyDescent="0.25">
      <c r="A50" s="27" t="s">
        <v>509</v>
      </c>
      <c r="B50" s="27" t="s">
        <v>746</v>
      </c>
      <c r="C50" s="27" t="s">
        <v>22</v>
      </c>
      <c r="D50" s="28" t="s">
        <v>48</v>
      </c>
      <c r="E50" s="28" t="s">
        <v>12</v>
      </c>
      <c r="F50" s="28" t="s">
        <v>49</v>
      </c>
      <c r="G50" s="28" t="s">
        <v>13</v>
      </c>
      <c r="H50" s="28" t="s">
        <v>168</v>
      </c>
      <c r="I50" s="28" t="s">
        <v>1078</v>
      </c>
      <c r="J50" s="27" t="s">
        <v>760</v>
      </c>
      <c r="K50" s="27" t="s">
        <v>1050</v>
      </c>
    </row>
    <row r="51" spans="1:11" ht="13.8" thickBot="1" x14ac:dyDescent="0.25">
      <c r="A51" s="27" t="s">
        <v>842</v>
      </c>
      <c r="B51" s="27" t="s">
        <v>746</v>
      </c>
      <c r="C51" s="27" t="s">
        <v>23</v>
      </c>
      <c r="D51" s="28" t="s">
        <v>159</v>
      </c>
      <c r="E51" s="28" t="s">
        <v>12</v>
      </c>
      <c r="F51" s="28" t="s">
        <v>160</v>
      </c>
      <c r="G51" s="28" t="s">
        <v>13</v>
      </c>
      <c r="H51" s="28" t="s">
        <v>167</v>
      </c>
      <c r="I51" s="28" t="s">
        <v>1079</v>
      </c>
      <c r="J51" s="27" t="s">
        <v>776</v>
      </c>
      <c r="K51" s="27" t="s">
        <v>846</v>
      </c>
    </row>
    <row r="52" spans="1:11" ht="13.8" thickBot="1" x14ac:dyDescent="0.25">
      <c r="A52" s="27" t="s">
        <v>843</v>
      </c>
      <c r="B52" s="27" t="s">
        <v>746</v>
      </c>
      <c r="C52" s="27" t="s">
        <v>24</v>
      </c>
      <c r="D52" s="28" t="s">
        <v>42</v>
      </c>
      <c r="E52" s="28" t="s">
        <v>12</v>
      </c>
      <c r="F52" s="28" t="s">
        <v>43</v>
      </c>
      <c r="G52" s="28" t="s">
        <v>13</v>
      </c>
      <c r="H52" s="28" t="s">
        <v>166</v>
      </c>
      <c r="I52" s="28" t="s">
        <v>1080</v>
      </c>
      <c r="J52" s="27" t="s">
        <v>776</v>
      </c>
      <c r="K52" s="27" t="s">
        <v>846</v>
      </c>
    </row>
    <row r="53" spans="1:11" ht="13.8" thickBot="1" x14ac:dyDescent="0.25">
      <c r="A53" s="27" t="s">
        <v>845</v>
      </c>
      <c r="B53" s="27" t="s">
        <v>746</v>
      </c>
      <c r="C53" s="27" t="s">
        <v>25</v>
      </c>
      <c r="D53" s="28" t="s">
        <v>42</v>
      </c>
      <c r="E53" s="28" t="s">
        <v>140</v>
      </c>
      <c r="F53" s="28" t="s">
        <v>43</v>
      </c>
      <c r="G53" s="28" t="s">
        <v>13</v>
      </c>
      <c r="H53" s="28" t="s">
        <v>166</v>
      </c>
      <c r="I53" s="28" t="s">
        <v>1081</v>
      </c>
      <c r="J53" s="27" t="s">
        <v>790</v>
      </c>
      <c r="K53" s="27" t="s">
        <v>934</v>
      </c>
    </row>
    <row r="54" spans="1:11" ht="13.8" thickBot="1" x14ac:dyDescent="0.25">
      <c r="A54" s="27" t="s">
        <v>1345</v>
      </c>
      <c r="B54" s="27" t="s">
        <v>1036</v>
      </c>
      <c r="C54" s="27" t="s">
        <v>11</v>
      </c>
      <c r="D54" s="28" t="s">
        <v>48</v>
      </c>
      <c r="E54" s="28" t="s">
        <v>12</v>
      </c>
      <c r="F54" s="28" t="s">
        <v>49</v>
      </c>
      <c r="G54" s="28" t="s">
        <v>13</v>
      </c>
      <c r="H54" s="28" t="s">
        <v>168</v>
      </c>
      <c r="I54" s="28" t="s">
        <v>1346</v>
      </c>
      <c r="J54" s="27" t="s">
        <v>787</v>
      </c>
      <c r="K54" s="27" t="s">
        <v>1041</v>
      </c>
    </row>
    <row r="55" spans="1:11" ht="13.8" thickBot="1" x14ac:dyDescent="0.25">
      <c r="A55" s="27" t="s">
        <v>1189</v>
      </c>
      <c r="B55" s="27" t="s">
        <v>1036</v>
      </c>
      <c r="C55" s="27" t="s">
        <v>14</v>
      </c>
      <c r="D55" s="28" t="s">
        <v>50</v>
      </c>
      <c r="E55" s="28" t="s">
        <v>145</v>
      </c>
      <c r="F55" s="28" t="s">
        <v>51</v>
      </c>
      <c r="G55" s="28" t="s">
        <v>13</v>
      </c>
      <c r="H55" s="28" t="s">
        <v>163</v>
      </c>
      <c r="I55" s="28"/>
      <c r="J55" s="27" t="s">
        <v>799</v>
      </c>
      <c r="K55" s="27" t="s">
        <v>863</v>
      </c>
    </row>
    <row r="56" spans="1:11" ht="13.8" thickBot="1" x14ac:dyDescent="0.25">
      <c r="A56" s="27" t="s">
        <v>1190</v>
      </c>
      <c r="B56" s="27" t="s">
        <v>1036</v>
      </c>
      <c r="C56" s="27" t="s">
        <v>15</v>
      </c>
      <c r="D56" s="28" t="s">
        <v>46</v>
      </c>
      <c r="E56" s="28" t="s">
        <v>145</v>
      </c>
      <c r="F56" s="28" t="s">
        <v>47</v>
      </c>
      <c r="G56" s="28" t="s">
        <v>13</v>
      </c>
      <c r="H56" s="28" t="s">
        <v>169</v>
      </c>
      <c r="I56" s="28"/>
      <c r="J56" s="27" t="s">
        <v>844</v>
      </c>
      <c r="K56" s="27" t="s">
        <v>1040</v>
      </c>
    </row>
    <row r="57" spans="1:11" ht="13.8" thickBot="1" x14ac:dyDescent="0.25">
      <c r="A57" s="27" t="s">
        <v>1191</v>
      </c>
      <c r="B57" s="27" t="s">
        <v>1036</v>
      </c>
      <c r="C57" s="27" t="s">
        <v>16</v>
      </c>
      <c r="D57" s="28" t="s">
        <v>54</v>
      </c>
      <c r="E57" s="28" t="s">
        <v>145</v>
      </c>
      <c r="F57" s="28" t="s">
        <v>55</v>
      </c>
      <c r="G57" s="28" t="s">
        <v>13</v>
      </c>
      <c r="H57" s="28" t="s">
        <v>165</v>
      </c>
      <c r="I57" s="28"/>
      <c r="J57" s="27" t="s">
        <v>846</v>
      </c>
      <c r="K57" s="27" t="s">
        <v>1044</v>
      </c>
    </row>
    <row r="58" spans="1:11" ht="13.8" thickBot="1" x14ac:dyDescent="0.25">
      <c r="A58" s="27" t="s">
        <v>1192</v>
      </c>
      <c r="B58" s="27" t="s">
        <v>1036</v>
      </c>
      <c r="C58" s="27" t="s">
        <v>17</v>
      </c>
      <c r="D58" s="28" t="s">
        <v>54</v>
      </c>
      <c r="E58" s="28" t="s">
        <v>145</v>
      </c>
      <c r="F58" s="28" t="s">
        <v>55</v>
      </c>
      <c r="G58" s="28" t="s">
        <v>13</v>
      </c>
      <c r="H58" s="28" t="s">
        <v>165</v>
      </c>
      <c r="I58" s="28"/>
      <c r="J58" s="27" t="s">
        <v>932</v>
      </c>
      <c r="K58" s="27" t="s">
        <v>1046</v>
      </c>
    </row>
    <row r="59" spans="1:11" ht="13.8" thickBot="1" x14ac:dyDescent="0.25">
      <c r="A59" s="27" t="s">
        <v>1347</v>
      </c>
      <c r="B59" s="27" t="s">
        <v>1036</v>
      </c>
      <c r="C59" s="27" t="s">
        <v>18</v>
      </c>
      <c r="D59" s="28" t="s">
        <v>44</v>
      </c>
      <c r="E59" s="28" t="s">
        <v>1348</v>
      </c>
      <c r="F59" s="28" t="s">
        <v>45</v>
      </c>
      <c r="G59" s="28" t="s">
        <v>13</v>
      </c>
      <c r="H59" s="28" t="s">
        <v>174</v>
      </c>
      <c r="I59" s="28" t="s">
        <v>1349</v>
      </c>
      <c r="J59" s="27" t="s">
        <v>937</v>
      </c>
      <c r="K59" s="27" t="s">
        <v>1062</v>
      </c>
    </row>
    <row r="60" spans="1:11" ht="13.8" thickBot="1" x14ac:dyDescent="0.25">
      <c r="A60" s="27" t="s">
        <v>1082</v>
      </c>
      <c r="B60" s="27" t="s">
        <v>1036</v>
      </c>
      <c r="C60" s="27" t="s">
        <v>19</v>
      </c>
      <c r="D60" s="28" t="s">
        <v>42</v>
      </c>
      <c r="E60" s="28" t="s">
        <v>176</v>
      </c>
      <c r="F60" s="28" t="s">
        <v>43</v>
      </c>
      <c r="G60" s="28" t="s">
        <v>13</v>
      </c>
      <c r="H60" s="28" t="s">
        <v>166</v>
      </c>
      <c r="I60" s="28"/>
      <c r="J60" s="27" t="s">
        <v>863</v>
      </c>
      <c r="K60" s="27" t="s">
        <v>1052</v>
      </c>
    </row>
    <row r="61" spans="1:11" ht="13.8" thickBot="1" x14ac:dyDescent="0.25">
      <c r="A61" s="27" t="s">
        <v>1083</v>
      </c>
      <c r="B61" s="27" t="s">
        <v>1036</v>
      </c>
      <c r="C61" s="27" t="s">
        <v>20</v>
      </c>
      <c r="D61" s="28" t="s">
        <v>42</v>
      </c>
      <c r="E61" s="28" t="s">
        <v>1350</v>
      </c>
      <c r="F61" s="28" t="s">
        <v>43</v>
      </c>
      <c r="G61" s="28" t="s">
        <v>13</v>
      </c>
      <c r="H61" s="28" t="s">
        <v>166</v>
      </c>
      <c r="I61" s="28" t="s">
        <v>1351</v>
      </c>
      <c r="J61" s="27" t="s">
        <v>1040</v>
      </c>
      <c r="K61" s="27" t="s">
        <v>1056</v>
      </c>
    </row>
    <row r="62" spans="1:11" ht="13.8" thickBot="1" x14ac:dyDescent="0.25">
      <c r="A62" s="27" t="s">
        <v>1193</v>
      </c>
      <c r="B62" s="27" t="s">
        <v>1036</v>
      </c>
      <c r="C62" s="27" t="s">
        <v>21</v>
      </c>
      <c r="D62" s="28" t="s">
        <v>42</v>
      </c>
      <c r="E62" s="28" t="s">
        <v>12</v>
      </c>
      <c r="F62" s="28" t="s">
        <v>43</v>
      </c>
      <c r="G62" s="28" t="s">
        <v>13</v>
      </c>
      <c r="H62" s="28" t="s">
        <v>166</v>
      </c>
      <c r="I62" s="28" t="s">
        <v>1352</v>
      </c>
      <c r="J62" s="27" t="s">
        <v>1044</v>
      </c>
      <c r="K62" s="27" t="s">
        <v>1062</v>
      </c>
    </row>
    <row r="63" spans="1:11" ht="13.8" thickBot="1" x14ac:dyDescent="0.25">
      <c r="A63" s="27" t="s">
        <v>1194</v>
      </c>
      <c r="B63" s="27" t="s">
        <v>1036</v>
      </c>
      <c r="C63" s="27" t="s">
        <v>22</v>
      </c>
      <c r="D63" s="28" t="s">
        <v>42</v>
      </c>
      <c r="E63" s="28" t="s">
        <v>12</v>
      </c>
      <c r="F63" s="28" t="s">
        <v>43</v>
      </c>
      <c r="G63" s="28" t="s">
        <v>13</v>
      </c>
      <c r="H63" s="28" t="s">
        <v>166</v>
      </c>
      <c r="I63" s="28" t="s">
        <v>1353</v>
      </c>
      <c r="J63" s="27" t="s">
        <v>1046</v>
      </c>
      <c r="K63" s="27" t="s">
        <v>1064</v>
      </c>
    </row>
    <row r="64" spans="1:11" ht="13.8" thickBot="1" x14ac:dyDescent="0.25">
      <c r="A64" s="27" t="s">
        <v>1084</v>
      </c>
      <c r="B64" s="27" t="s">
        <v>1036</v>
      </c>
      <c r="C64" s="27" t="s">
        <v>23</v>
      </c>
      <c r="D64" s="28" t="s">
        <v>52</v>
      </c>
      <c r="E64" s="28" t="s">
        <v>1085</v>
      </c>
      <c r="F64" s="28" t="s">
        <v>53</v>
      </c>
      <c r="G64" s="28" t="s">
        <v>13</v>
      </c>
      <c r="H64" s="28" t="s">
        <v>164</v>
      </c>
      <c r="I64" s="28" t="s">
        <v>1086</v>
      </c>
      <c r="J64" s="27" t="s">
        <v>1051</v>
      </c>
      <c r="K64" s="27" t="s">
        <v>1067</v>
      </c>
    </row>
    <row r="65" spans="1:11" ht="13.8" thickBot="1" x14ac:dyDescent="0.25">
      <c r="A65" s="27" t="s">
        <v>1087</v>
      </c>
      <c r="B65" s="27" t="s">
        <v>1036</v>
      </c>
      <c r="C65" s="27" t="s">
        <v>24</v>
      </c>
      <c r="D65" s="28" t="s">
        <v>159</v>
      </c>
      <c r="E65" s="28" t="s">
        <v>1354</v>
      </c>
      <c r="F65" s="28" t="s">
        <v>160</v>
      </c>
      <c r="G65" s="28" t="s">
        <v>13</v>
      </c>
      <c r="H65" s="28" t="s">
        <v>167</v>
      </c>
      <c r="I65" s="28" t="s">
        <v>1355</v>
      </c>
      <c r="J65" s="27" t="s">
        <v>1054</v>
      </c>
      <c r="K65" s="27" t="s">
        <v>1071</v>
      </c>
    </row>
    <row r="66" spans="1:11" ht="13.8" thickBot="1" x14ac:dyDescent="0.25">
      <c r="A66" s="27" t="s">
        <v>1356</v>
      </c>
      <c r="B66" s="27" t="s">
        <v>1267</v>
      </c>
      <c r="C66" s="27" t="s">
        <v>11</v>
      </c>
      <c r="D66" s="28" t="s">
        <v>48</v>
      </c>
      <c r="E66" s="28" t="s">
        <v>12</v>
      </c>
      <c r="F66" s="28" t="s">
        <v>49</v>
      </c>
      <c r="G66" s="28" t="s">
        <v>13</v>
      </c>
      <c r="H66" s="28" t="s">
        <v>168</v>
      </c>
      <c r="I66" s="28" t="s">
        <v>1357</v>
      </c>
      <c r="J66" s="27" t="s">
        <v>1046</v>
      </c>
      <c r="K66" s="27" t="s">
        <v>1268</v>
      </c>
    </row>
    <row r="67" spans="1:11" ht="13.8" thickBot="1" x14ac:dyDescent="0.25">
      <c r="A67" s="27" t="s">
        <v>1358</v>
      </c>
      <c r="B67" s="27" t="s">
        <v>1267</v>
      </c>
      <c r="C67" s="27" t="s">
        <v>14</v>
      </c>
      <c r="D67" s="28" t="s">
        <v>48</v>
      </c>
      <c r="E67" s="28" t="s">
        <v>12</v>
      </c>
      <c r="F67" s="28" t="s">
        <v>49</v>
      </c>
      <c r="G67" s="28" t="s">
        <v>13</v>
      </c>
      <c r="H67" s="28" t="s">
        <v>168</v>
      </c>
      <c r="I67" s="28" t="s">
        <v>1359</v>
      </c>
      <c r="J67" s="27" t="s">
        <v>1051</v>
      </c>
      <c r="K67" s="27" t="s">
        <v>1285</v>
      </c>
    </row>
    <row r="68" spans="1:11" ht="13.8" thickBot="1" x14ac:dyDescent="0.25">
      <c r="A68" s="27" t="s">
        <v>615</v>
      </c>
      <c r="B68" s="27" t="s">
        <v>1267</v>
      </c>
      <c r="C68" s="27" t="s">
        <v>15</v>
      </c>
      <c r="D68" s="28" t="s">
        <v>48</v>
      </c>
      <c r="E68" s="28" t="s">
        <v>12</v>
      </c>
      <c r="F68" s="28" t="s">
        <v>49</v>
      </c>
      <c r="G68" s="28" t="s">
        <v>13</v>
      </c>
      <c r="H68" s="28" t="s">
        <v>168</v>
      </c>
      <c r="I68" s="28" t="s">
        <v>1360</v>
      </c>
      <c r="J68" s="27" t="s">
        <v>1056</v>
      </c>
      <c r="K68" s="27" t="s">
        <v>1291</v>
      </c>
    </row>
    <row r="69" spans="1:11" ht="13.8" thickBot="1" x14ac:dyDescent="0.25">
      <c r="A69" s="27" t="s">
        <v>1361</v>
      </c>
      <c r="B69" s="27" t="s">
        <v>1267</v>
      </c>
      <c r="C69" s="27" t="s">
        <v>16</v>
      </c>
      <c r="D69" s="28" t="s">
        <v>50</v>
      </c>
      <c r="E69" s="28" t="s">
        <v>1362</v>
      </c>
      <c r="F69" s="28" t="s">
        <v>51</v>
      </c>
      <c r="G69" s="28" t="s">
        <v>13</v>
      </c>
      <c r="H69" s="28" t="s">
        <v>163</v>
      </c>
      <c r="I69" s="28" t="s">
        <v>1363</v>
      </c>
      <c r="J69" s="27" t="s">
        <v>1062</v>
      </c>
      <c r="K69" s="27" t="s">
        <v>1285</v>
      </c>
    </row>
    <row r="70" spans="1:11" ht="13.8" thickBot="1" x14ac:dyDescent="0.25">
      <c r="A70" s="27" t="s">
        <v>1364</v>
      </c>
      <c r="B70" s="27" t="s">
        <v>1267</v>
      </c>
      <c r="C70" s="27" t="s">
        <v>17</v>
      </c>
      <c r="D70" s="28" t="s">
        <v>50</v>
      </c>
      <c r="E70" s="28" t="s">
        <v>145</v>
      </c>
      <c r="F70" s="28" t="s">
        <v>51</v>
      </c>
      <c r="G70" s="28" t="s">
        <v>13</v>
      </c>
      <c r="H70" s="28" t="s">
        <v>163</v>
      </c>
      <c r="I70" s="28"/>
      <c r="J70" s="27" t="s">
        <v>1063</v>
      </c>
      <c r="K70" s="27" t="s">
        <v>1288</v>
      </c>
    </row>
    <row r="71" spans="1:11" ht="13.8" thickBot="1" x14ac:dyDescent="0.25">
      <c r="A71" s="27" t="s">
        <v>1365</v>
      </c>
      <c r="B71" s="27" t="s">
        <v>1267</v>
      </c>
      <c r="C71" s="27" t="s">
        <v>18</v>
      </c>
      <c r="D71" s="28" t="s">
        <v>54</v>
      </c>
      <c r="E71" s="28" t="s">
        <v>145</v>
      </c>
      <c r="F71" s="28" t="s">
        <v>55</v>
      </c>
      <c r="G71" s="28" t="s">
        <v>13</v>
      </c>
      <c r="H71" s="28" t="s">
        <v>165</v>
      </c>
      <c r="I71" s="28"/>
      <c r="J71" s="27" t="s">
        <v>1065</v>
      </c>
      <c r="K71" s="27" t="s">
        <v>1291</v>
      </c>
    </row>
    <row r="72" spans="1:11" ht="13.8" thickBot="1" x14ac:dyDescent="0.25">
      <c r="A72" s="27" t="s">
        <v>1366</v>
      </c>
      <c r="B72" s="27" t="s">
        <v>1267</v>
      </c>
      <c r="C72" s="27" t="s">
        <v>19</v>
      </c>
      <c r="D72" s="28" t="s">
        <v>54</v>
      </c>
      <c r="E72" s="28" t="s">
        <v>145</v>
      </c>
      <c r="F72" s="28" t="s">
        <v>55</v>
      </c>
      <c r="G72" s="28" t="s">
        <v>13</v>
      </c>
      <c r="H72" s="28" t="s">
        <v>165</v>
      </c>
      <c r="I72" s="28"/>
      <c r="J72" s="27" t="s">
        <v>1070</v>
      </c>
      <c r="K72" s="27" t="s">
        <v>1306</v>
      </c>
    </row>
    <row r="73" spans="1:11" ht="13.8" thickBot="1" x14ac:dyDescent="0.25">
      <c r="A73" s="27" t="s">
        <v>1367</v>
      </c>
      <c r="B73" s="27" t="s">
        <v>1267</v>
      </c>
      <c r="C73" s="27" t="s">
        <v>20</v>
      </c>
      <c r="D73" s="28" t="s">
        <v>42</v>
      </c>
      <c r="E73" s="28" t="s">
        <v>12</v>
      </c>
      <c r="F73" s="28" t="s">
        <v>43</v>
      </c>
      <c r="G73" s="28" t="s">
        <v>13</v>
      </c>
      <c r="H73" s="28" t="s">
        <v>166</v>
      </c>
      <c r="I73" s="28" t="s">
        <v>1368</v>
      </c>
      <c r="J73" s="27" t="s">
        <v>1268</v>
      </c>
      <c r="K73" s="27" t="s">
        <v>1315</v>
      </c>
    </row>
    <row r="74" spans="1:11" ht="13.8" thickBot="1" x14ac:dyDescent="0.25">
      <c r="A74" s="27" t="s">
        <v>1369</v>
      </c>
      <c r="B74" s="27" t="s">
        <v>1267</v>
      </c>
      <c r="C74" s="27" t="s">
        <v>21</v>
      </c>
      <c r="D74" s="28" t="s">
        <v>42</v>
      </c>
      <c r="E74" s="28" t="s">
        <v>12</v>
      </c>
      <c r="F74" s="28" t="s">
        <v>43</v>
      </c>
      <c r="G74" s="28" t="s">
        <v>13</v>
      </c>
      <c r="H74" s="28" t="s">
        <v>166</v>
      </c>
      <c r="I74" s="28" t="s">
        <v>1370</v>
      </c>
      <c r="J74" s="27" t="s">
        <v>1273</v>
      </c>
      <c r="K74" s="27" t="s">
        <v>1322</v>
      </c>
    </row>
    <row r="75" spans="1:11" ht="13.8" thickBot="1" x14ac:dyDescent="0.25">
      <c r="A75" s="27" t="s">
        <v>1371</v>
      </c>
      <c r="B75" s="27" t="s">
        <v>1267</v>
      </c>
      <c r="C75" s="27" t="s">
        <v>22</v>
      </c>
      <c r="D75" s="28" t="s">
        <v>50</v>
      </c>
      <c r="E75" s="28" t="s">
        <v>145</v>
      </c>
      <c r="F75" s="28" t="s">
        <v>51</v>
      </c>
      <c r="G75" s="28" t="s">
        <v>13</v>
      </c>
      <c r="H75" s="28" t="s">
        <v>163</v>
      </c>
      <c r="I75" s="28"/>
      <c r="J75" s="27" t="s">
        <v>1288</v>
      </c>
      <c r="K75" s="27" t="s">
        <v>1328</v>
      </c>
    </row>
    <row r="76" spans="1:11" ht="13.8" thickBot="1" x14ac:dyDescent="0.25">
      <c r="A76" s="27" t="s">
        <v>1372</v>
      </c>
      <c r="B76" s="27" t="s">
        <v>1267</v>
      </c>
      <c r="C76" s="27" t="s">
        <v>23</v>
      </c>
      <c r="D76" s="28" t="s">
        <v>46</v>
      </c>
      <c r="E76" s="28" t="s">
        <v>145</v>
      </c>
      <c r="F76" s="28" t="s">
        <v>47</v>
      </c>
      <c r="G76" s="28" t="s">
        <v>13</v>
      </c>
      <c r="H76" s="28" t="s">
        <v>169</v>
      </c>
      <c r="I76" s="28"/>
      <c r="J76" s="27" t="s">
        <v>1291</v>
      </c>
      <c r="K76" s="27" t="s">
        <v>1336</v>
      </c>
    </row>
    <row r="77" spans="1:11" ht="13.8" thickBot="1" x14ac:dyDescent="0.25">
      <c r="A77" s="27" t="s">
        <v>1373</v>
      </c>
      <c r="B77" s="27" t="s">
        <v>1267</v>
      </c>
      <c r="C77" s="27" t="s">
        <v>24</v>
      </c>
      <c r="D77" s="28" t="s">
        <v>52</v>
      </c>
      <c r="E77" s="28" t="s">
        <v>145</v>
      </c>
      <c r="F77" s="28" t="s">
        <v>53</v>
      </c>
      <c r="G77" s="28" t="s">
        <v>13</v>
      </c>
      <c r="H77" s="28" t="s">
        <v>164</v>
      </c>
      <c r="I77" s="28"/>
      <c r="J77" s="27" t="s">
        <v>1306</v>
      </c>
      <c r="K77" s="27" t="s">
        <v>1342</v>
      </c>
    </row>
    <row r="78" spans="1:11" ht="13.8" thickBot="1" x14ac:dyDescent="0.25">
      <c r="A78" s="27" t="s">
        <v>1374</v>
      </c>
      <c r="B78" s="27" t="s">
        <v>1267</v>
      </c>
      <c r="C78" s="27" t="s">
        <v>25</v>
      </c>
      <c r="D78" s="28" t="s">
        <v>52</v>
      </c>
      <c r="E78" s="28" t="s">
        <v>145</v>
      </c>
      <c r="F78" s="28" t="s">
        <v>53</v>
      </c>
      <c r="G78" s="28" t="s">
        <v>13</v>
      </c>
      <c r="H78" s="28" t="s">
        <v>164</v>
      </c>
      <c r="I78" s="28"/>
      <c r="J78" s="27" t="s">
        <v>1311</v>
      </c>
      <c r="K78" s="27" t="s">
        <v>1375</v>
      </c>
    </row>
  </sheetData>
  <mergeCells count="11">
    <mergeCell ref="G1:G2"/>
    <mergeCell ref="H1:H2"/>
    <mergeCell ref="I1:I2"/>
    <mergeCell ref="J1:J2"/>
    <mergeCell ref="K1:K2"/>
    <mergeCell ref="F1:F2"/>
    <mergeCell ref="A1:A2"/>
    <mergeCell ref="B1:B2"/>
    <mergeCell ref="C1:C2"/>
    <mergeCell ref="D1:D2"/>
    <mergeCell ref="E1:E2"/>
  </mergeCells>
  <phoneticPr fontId="2"/>
  <pageMargins left="0.75" right="0.75" top="1" bottom="1" header="0.51200000000000001" footer="0.5120000000000000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85"/>
  <sheetViews>
    <sheetView zoomScaleNormal="100" workbookViewId="0">
      <pane ySplit="2" topLeftCell="A66" activePane="bottomLeft" state="frozen"/>
      <selection activeCell="L269" sqref="L269"/>
      <selection pane="bottomLeft" sqref="A1:XFD1048576"/>
    </sheetView>
  </sheetViews>
  <sheetFormatPr defaultRowHeight="13.2" x14ac:dyDescent="0.2"/>
  <cols>
    <col min="1" max="16384" width="8.88671875" style="33"/>
  </cols>
  <sheetData>
    <row r="1" spans="1:11" x14ac:dyDescent="0.2">
      <c r="A1" s="29" t="s">
        <v>3</v>
      </c>
      <c r="B1" s="29" t="s">
        <v>0</v>
      </c>
      <c r="C1" s="29" t="s">
        <v>1</v>
      </c>
      <c r="D1" s="29" t="s">
        <v>2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</row>
    <row r="2" spans="1:11" ht="13.8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3.8" thickBot="1" x14ac:dyDescent="0.25">
      <c r="A3" s="23" t="s">
        <v>314</v>
      </c>
      <c r="B3" s="23" t="s">
        <v>396</v>
      </c>
      <c r="C3" s="23" t="s">
        <v>11</v>
      </c>
      <c r="D3" s="24" t="s">
        <v>44</v>
      </c>
      <c r="E3" s="24" t="s">
        <v>315</v>
      </c>
      <c r="F3" s="24" t="s">
        <v>45</v>
      </c>
      <c r="G3" s="24" t="s">
        <v>13</v>
      </c>
      <c r="H3" s="24" t="s">
        <v>174</v>
      </c>
      <c r="I3" s="24" t="s">
        <v>316</v>
      </c>
      <c r="J3" s="23" t="s">
        <v>218</v>
      </c>
      <c r="K3" s="23" t="s">
        <v>284</v>
      </c>
    </row>
    <row r="4" spans="1:11" ht="13.8" thickBot="1" x14ac:dyDescent="0.25">
      <c r="A4" s="23" t="s">
        <v>324</v>
      </c>
      <c r="B4" s="23" t="s">
        <v>396</v>
      </c>
      <c r="C4" s="23" t="s">
        <v>14</v>
      </c>
      <c r="D4" s="24" t="s">
        <v>42</v>
      </c>
      <c r="E4" s="24" t="s">
        <v>140</v>
      </c>
      <c r="F4" s="24" t="s">
        <v>43</v>
      </c>
      <c r="G4" s="24" t="s">
        <v>13</v>
      </c>
      <c r="H4" s="24" t="s">
        <v>166</v>
      </c>
      <c r="I4" s="24" t="s">
        <v>432</v>
      </c>
      <c r="J4" s="23" t="s">
        <v>221</v>
      </c>
      <c r="K4" s="23" t="s">
        <v>270</v>
      </c>
    </row>
    <row r="5" spans="1:11" ht="13.8" thickBot="1" x14ac:dyDescent="0.25">
      <c r="A5" s="23" t="s">
        <v>318</v>
      </c>
      <c r="B5" s="23" t="s">
        <v>396</v>
      </c>
      <c r="C5" s="23" t="s">
        <v>15</v>
      </c>
      <c r="D5" s="24" t="s">
        <v>42</v>
      </c>
      <c r="E5" s="24" t="s">
        <v>12</v>
      </c>
      <c r="F5" s="24" t="s">
        <v>43</v>
      </c>
      <c r="G5" s="24" t="s">
        <v>13</v>
      </c>
      <c r="H5" s="24" t="s">
        <v>166</v>
      </c>
      <c r="I5" s="24" t="s">
        <v>600</v>
      </c>
      <c r="J5" s="23" t="s">
        <v>221</v>
      </c>
      <c r="K5" s="23" t="s">
        <v>270</v>
      </c>
    </row>
    <row r="6" spans="1:11" ht="13.8" thickBot="1" x14ac:dyDescent="0.25">
      <c r="A6" s="23" t="s">
        <v>319</v>
      </c>
      <c r="B6" s="23" t="s">
        <v>396</v>
      </c>
      <c r="C6" s="23" t="s">
        <v>16</v>
      </c>
      <c r="D6" s="24" t="s">
        <v>44</v>
      </c>
      <c r="E6" s="24" t="s">
        <v>320</v>
      </c>
      <c r="F6" s="24" t="s">
        <v>45</v>
      </c>
      <c r="G6" s="24" t="s">
        <v>13</v>
      </c>
      <c r="H6" s="24" t="s">
        <v>174</v>
      </c>
      <c r="I6" s="24" t="s">
        <v>321</v>
      </c>
      <c r="J6" s="23" t="s">
        <v>258</v>
      </c>
      <c r="K6" s="23" t="s">
        <v>296</v>
      </c>
    </row>
    <row r="7" spans="1:11" ht="13.8" thickBot="1" x14ac:dyDescent="0.25">
      <c r="A7" s="23" t="s">
        <v>327</v>
      </c>
      <c r="B7" s="23" t="s">
        <v>396</v>
      </c>
      <c r="C7" s="23" t="s">
        <v>17</v>
      </c>
      <c r="D7" s="24" t="s">
        <v>42</v>
      </c>
      <c r="E7" s="24" t="s">
        <v>495</v>
      </c>
      <c r="F7" s="24" t="s">
        <v>43</v>
      </c>
      <c r="G7" s="24" t="s">
        <v>13</v>
      </c>
      <c r="H7" s="24" t="s">
        <v>166</v>
      </c>
      <c r="I7" s="24" t="s">
        <v>496</v>
      </c>
      <c r="J7" s="23" t="s">
        <v>258</v>
      </c>
      <c r="K7" s="23" t="s">
        <v>278</v>
      </c>
    </row>
    <row r="8" spans="1:11" ht="13.8" thickBot="1" x14ac:dyDescent="0.25">
      <c r="A8" s="23" t="s">
        <v>328</v>
      </c>
      <c r="B8" s="23" t="s">
        <v>396</v>
      </c>
      <c r="C8" s="23" t="s">
        <v>18</v>
      </c>
      <c r="D8" s="24" t="s">
        <v>42</v>
      </c>
      <c r="E8" s="24" t="s">
        <v>12</v>
      </c>
      <c r="F8" s="24" t="s">
        <v>43</v>
      </c>
      <c r="G8" s="24" t="s">
        <v>13</v>
      </c>
      <c r="H8" s="24" t="s">
        <v>166</v>
      </c>
      <c r="I8" s="24" t="s">
        <v>497</v>
      </c>
      <c r="J8" s="23" t="s">
        <v>272</v>
      </c>
      <c r="K8" s="23" t="s">
        <v>281</v>
      </c>
    </row>
    <row r="9" spans="1:11" ht="13.8" thickBot="1" x14ac:dyDescent="0.25">
      <c r="A9" s="23" t="s">
        <v>433</v>
      </c>
      <c r="B9" s="23" t="s">
        <v>396</v>
      </c>
      <c r="C9" s="23" t="s">
        <v>19</v>
      </c>
      <c r="D9" s="24" t="s">
        <v>434</v>
      </c>
      <c r="E9" s="24" t="s">
        <v>435</v>
      </c>
      <c r="F9" s="24" t="s">
        <v>436</v>
      </c>
      <c r="G9" s="24" t="s">
        <v>13</v>
      </c>
      <c r="H9" s="24" t="s">
        <v>437</v>
      </c>
      <c r="I9" s="24" t="s">
        <v>438</v>
      </c>
      <c r="J9" s="23" t="s">
        <v>257</v>
      </c>
      <c r="K9" s="23" t="s">
        <v>298</v>
      </c>
    </row>
    <row r="10" spans="1:11" ht="13.8" thickBot="1" x14ac:dyDescent="0.25">
      <c r="A10" s="23" t="s">
        <v>329</v>
      </c>
      <c r="B10" s="23" t="s">
        <v>396</v>
      </c>
      <c r="C10" s="23" t="s">
        <v>20</v>
      </c>
      <c r="D10" s="24" t="s">
        <v>159</v>
      </c>
      <c r="E10" s="24" t="s">
        <v>498</v>
      </c>
      <c r="F10" s="24" t="s">
        <v>160</v>
      </c>
      <c r="G10" s="24" t="s">
        <v>13</v>
      </c>
      <c r="H10" s="24" t="s">
        <v>167</v>
      </c>
      <c r="I10" s="24" t="s">
        <v>499</v>
      </c>
      <c r="J10" s="23" t="s">
        <v>274</v>
      </c>
      <c r="K10" s="23" t="s">
        <v>294</v>
      </c>
    </row>
    <row r="11" spans="1:11" ht="13.8" thickBot="1" x14ac:dyDescent="0.25">
      <c r="A11" s="23" t="s">
        <v>379</v>
      </c>
      <c r="B11" s="23" t="s">
        <v>396</v>
      </c>
      <c r="C11" s="23" t="s">
        <v>21</v>
      </c>
      <c r="D11" s="24" t="s">
        <v>203</v>
      </c>
      <c r="E11" s="24" t="s">
        <v>12</v>
      </c>
      <c r="F11" s="24" t="s">
        <v>204</v>
      </c>
      <c r="G11" s="24" t="s">
        <v>13</v>
      </c>
      <c r="H11" s="24" t="s">
        <v>205</v>
      </c>
      <c r="I11" s="24" t="s">
        <v>500</v>
      </c>
      <c r="J11" s="23" t="s">
        <v>284</v>
      </c>
      <c r="K11" s="23" t="s">
        <v>300</v>
      </c>
    </row>
    <row r="12" spans="1:11" ht="13.8" thickBot="1" x14ac:dyDescent="0.25">
      <c r="A12" s="23" t="s">
        <v>439</v>
      </c>
      <c r="B12" s="23" t="s">
        <v>396</v>
      </c>
      <c r="C12" s="23" t="s">
        <v>22</v>
      </c>
      <c r="D12" s="24" t="s">
        <v>46</v>
      </c>
      <c r="E12" s="24" t="s">
        <v>440</v>
      </c>
      <c r="F12" s="24" t="s">
        <v>47</v>
      </c>
      <c r="G12" s="24" t="s">
        <v>13</v>
      </c>
      <c r="H12" s="24" t="s">
        <v>169</v>
      </c>
      <c r="I12" s="24" t="s">
        <v>441</v>
      </c>
      <c r="J12" s="23" t="s">
        <v>278</v>
      </c>
      <c r="K12" s="23" t="s">
        <v>298</v>
      </c>
    </row>
    <row r="13" spans="1:11" ht="13.8" thickBot="1" x14ac:dyDescent="0.25">
      <c r="A13" s="23" t="s">
        <v>442</v>
      </c>
      <c r="B13" s="23" t="s">
        <v>396</v>
      </c>
      <c r="C13" s="23" t="s">
        <v>23</v>
      </c>
      <c r="D13" s="24" t="s">
        <v>42</v>
      </c>
      <c r="E13" s="24" t="s">
        <v>601</v>
      </c>
      <c r="F13" s="24" t="s">
        <v>43</v>
      </c>
      <c r="G13" s="24" t="s">
        <v>13</v>
      </c>
      <c r="H13" s="24" t="s">
        <v>166</v>
      </c>
      <c r="I13" s="24" t="s">
        <v>602</v>
      </c>
      <c r="J13" s="23" t="s">
        <v>278</v>
      </c>
      <c r="K13" s="23" t="s">
        <v>298</v>
      </c>
    </row>
    <row r="14" spans="1:11" ht="13.8" thickBot="1" x14ac:dyDescent="0.25">
      <c r="A14" s="23" t="s">
        <v>811</v>
      </c>
      <c r="B14" s="23" t="s">
        <v>396</v>
      </c>
      <c r="C14" s="23" t="s">
        <v>24</v>
      </c>
      <c r="D14" s="24" t="s">
        <v>54</v>
      </c>
      <c r="E14" s="24" t="s">
        <v>33</v>
      </c>
      <c r="F14" s="24" t="s">
        <v>55</v>
      </c>
      <c r="G14" s="24" t="s">
        <v>13</v>
      </c>
      <c r="H14" s="24" t="s">
        <v>165</v>
      </c>
      <c r="I14" s="24"/>
      <c r="J14" s="23" t="s">
        <v>294</v>
      </c>
      <c r="K14" s="23" t="s">
        <v>411</v>
      </c>
    </row>
    <row r="15" spans="1:11" ht="13.8" thickBot="1" x14ac:dyDescent="0.25">
      <c r="A15" s="23" t="s">
        <v>809</v>
      </c>
      <c r="B15" s="23" t="s">
        <v>396</v>
      </c>
      <c r="C15" s="23" t="s">
        <v>25</v>
      </c>
      <c r="D15" s="24" t="s">
        <v>42</v>
      </c>
      <c r="E15" s="24" t="s">
        <v>603</v>
      </c>
      <c r="F15" s="24" t="s">
        <v>43</v>
      </c>
      <c r="G15" s="24" t="s">
        <v>13</v>
      </c>
      <c r="H15" s="24" t="s">
        <v>166</v>
      </c>
      <c r="I15" s="24" t="s">
        <v>604</v>
      </c>
      <c r="J15" s="23" t="s">
        <v>330</v>
      </c>
      <c r="K15" s="23" t="s">
        <v>419</v>
      </c>
    </row>
    <row r="16" spans="1:11" ht="13.8" thickBot="1" x14ac:dyDescent="0.25">
      <c r="A16" s="23" t="s">
        <v>810</v>
      </c>
      <c r="B16" s="23" t="s">
        <v>396</v>
      </c>
      <c r="C16" s="23" t="s">
        <v>26</v>
      </c>
      <c r="D16" s="24" t="s">
        <v>42</v>
      </c>
      <c r="E16" s="24" t="s">
        <v>603</v>
      </c>
      <c r="F16" s="24" t="s">
        <v>43</v>
      </c>
      <c r="G16" s="24" t="s">
        <v>13</v>
      </c>
      <c r="H16" s="24" t="s">
        <v>166</v>
      </c>
      <c r="I16" s="24" t="s">
        <v>605</v>
      </c>
      <c r="J16" s="23" t="s">
        <v>330</v>
      </c>
      <c r="K16" s="23" t="s">
        <v>419</v>
      </c>
    </row>
    <row r="17" spans="1:11" ht="13.8" thickBot="1" x14ac:dyDescent="0.25">
      <c r="A17" s="23" t="s">
        <v>502</v>
      </c>
      <c r="B17" s="23" t="s">
        <v>396</v>
      </c>
      <c r="C17" s="23" t="s">
        <v>27</v>
      </c>
      <c r="D17" s="24" t="s">
        <v>52</v>
      </c>
      <c r="E17" s="24" t="s">
        <v>503</v>
      </c>
      <c r="F17" s="24" t="s">
        <v>53</v>
      </c>
      <c r="G17" s="24" t="s">
        <v>13</v>
      </c>
      <c r="H17" s="24" t="s">
        <v>164</v>
      </c>
      <c r="I17" s="24" t="s">
        <v>504</v>
      </c>
      <c r="J17" s="23" t="s">
        <v>399</v>
      </c>
      <c r="K17" s="23" t="s">
        <v>428</v>
      </c>
    </row>
    <row r="18" spans="1:11" ht="13.8" thickBot="1" x14ac:dyDescent="0.25">
      <c r="A18" s="23" t="s">
        <v>506</v>
      </c>
      <c r="B18" s="23" t="s">
        <v>396</v>
      </c>
      <c r="C18" s="23" t="s">
        <v>28</v>
      </c>
      <c r="D18" s="24" t="s">
        <v>52</v>
      </c>
      <c r="E18" s="24" t="s">
        <v>225</v>
      </c>
      <c r="F18" s="24" t="s">
        <v>53</v>
      </c>
      <c r="G18" s="24" t="s">
        <v>13</v>
      </c>
      <c r="H18" s="24" t="s">
        <v>164</v>
      </c>
      <c r="I18" s="24" t="s">
        <v>507</v>
      </c>
      <c r="J18" s="23" t="s">
        <v>399</v>
      </c>
      <c r="K18" s="23" t="s">
        <v>428</v>
      </c>
    </row>
    <row r="19" spans="1:11" ht="13.8" thickBot="1" x14ac:dyDescent="0.25">
      <c r="A19" s="23" t="s">
        <v>606</v>
      </c>
      <c r="B19" s="23" t="s">
        <v>396</v>
      </c>
      <c r="C19" s="23" t="s">
        <v>29</v>
      </c>
      <c r="D19" s="24" t="s">
        <v>50</v>
      </c>
      <c r="E19" s="24" t="s">
        <v>812</v>
      </c>
      <c r="F19" s="24" t="s">
        <v>51</v>
      </c>
      <c r="G19" s="24" t="s">
        <v>13</v>
      </c>
      <c r="H19" s="24" t="s">
        <v>163</v>
      </c>
      <c r="I19" s="24" t="s">
        <v>813</v>
      </c>
      <c r="J19" s="23" t="s">
        <v>419</v>
      </c>
      <c r="K19" s="23" t="s">
        <v>548</v>
      </c>
    </row>
    <row r="20" spans="1:11" ht="13.8" thickBot="1" x14ac:dyDescent="0.25">
      <c r="A20" s="23" t="s">
        <v>814</v>
      </c>
      <c r="B20" s="23" t="s">
        <v>396</v>
      </c>
      <c r="C20" s="23" t="s">
        <v>31</v>
      </c>
      <c r="D20" s="24" t="s">
        <v>42</v>
      </c>
      <c r="E20" s="24" t="s">
        <v>12</v>
      </c>
      <c r="F20" s="24" t="s">
        <v>43</v>
      </c>
      <c r="G20" s="24" t="s">
        <v>13</v>
      </c>
      <c r="H20" s="24" t="s">
        <v>166</v>
      </c>
      <c r="I20" s="24" t="s">
        <v>815</v>
      </c>
      <c r="J20" s="23" t="s">
        <v>419</v>
      </c>
      <c r="K20" s="23" t="s">
        <v>548</v>
      </c>
    </row>
    <row r="21" spans="1:11" ht="13.8" thickBot="1" x14ac:dyDescent="0.25">
      <c r="A21" s="23" t="s">
        <v>816</v>
      </c>
      <c r="B21" s="23" t="s">
        <v>396</v>
      </c>
      <c r="C21" s="23" t="s">
        <v>32</v>
      </c>
      <c r="D21" s="24" t="s">
        <v>42</v>
      </c>
      <c r="E21" s="24" t="s">
        <v>12</v>
      </c>
      <c r="F21" s="24" t="s">
        <v>43</v>
      </c>
      <c r="G21" s="24" t="s">
        <v>13</v>
      </c>
      <c r="H21" s="24" t="s">
        <v>166</v>
      </c>
      <c r="I21" s="24" t="s">
        <v>817</v>
      </c>
      <c r="J21" s="23" t="s">
        <v>428</v>
      </c>
      <c r="K21" s="23" t="s">
        <v>451</v>
      </c>
    </row>
    <row r="22" spans="1:11" ht="13.8" thickBot="1" x14ac:dyDescent="0.25">
      <c r="A22" s="23" t="s">
        <v>818</v>
      </c>
      <c r="B22" s="23" t="s">
        <v>396</v>
      </c>
      <c r="C22" s="23" t="s">
        <v>34</v>
      </c>
      <c r="D22" s="24" t="s">
        <v>42</v>
      </c>
      <c r="E22" s="24" t="s">
        <v>140</v>
      </c>
      <c r="F22" s="24" t="s">
        <v>43</v>
      </c>
      <c r="G22" s="24" t="s">
        <v>13</v>
      </c>
      <c r="H22" s="24" t="s">
        <v>166</v>
      </c>
      <c r="I22" s="24" t="s">
        <v>819</v>
      </c>
      <c r="J22" s="23" t="s">
        <v>428</v>
      </c>
      <c r="K22" s="23" t="s">
        <v>451</v>
      </c>
    </row>
    <row r="23" spans="1:11" ht="13.8" thickBot="1" x14ac:dyDescent="0.25">
      <c r="A23" s="23" t="s">
        <v>607</v>
      </c>
      <c r="B23" s="23" t="s">
        <v>574</v>
      </c>
      <c r="C23" s="23" t="s">
        <v>11</v>
      </c>
      <c r="D23" s="24" t="s">
        <v>148</v>
      </c>
      <c r="E23" s="24" t="s">
        <v>311</v>
      </c>
      <c r="F23" s="24" t="s">
        <v>149</v>
      </c>
      <c r="G23" s="24" t="s">
        <v>13</v>
      </c>
      <c r="H23" s="24" t="s">
        <v>202</v>
      </c>
      <c r="I23" s="24" t="s">
        <v>608</v>
      </c>
      <c r="J23" s="23" t="s">
        <v>548</v>
      </c>
      <c r="K23" s="23" t="s">
        <v>583</v>
      </c>
    </row>
    <row r="24" spans="1:11" ht="13.8" thickBot="1" x14ac:dyDescent="0.25">
      <c r="A24" s="23" t="s">
        <v>609</v>
      </c>
      <c r="B24" s="23" t="s">
        <v>574</v>
      </c>
      <c r="C24" s="23" t="s">
        <v>14</v>
      </c>
      <c r="D24" s="24" t="s">
        <v>42</v>
      </c>
      <c r="E24" s="24" t="s">
        <v>610</v>
      </c>
      <c r="F24" s="24" t="s">
        <v>43</v>
      </c>
      <c r="G24" s="24" t="s">
        <v>13</v>
      </c>
      <c r="H24" s="24" t="s">
        <v>166</v>
      </c>
      <c r="I24" s="24" t="s">
        <v>611</v>
      </c>
      <c r="J24" s="23" t="s">
        <v>548</v>
      </c>
      <c r="K24" s="23" t="s">
        <v>577</v>
      </c>
    </row>
    <row r="25" spans="1:11" ht="13.8" thickBot="1" x14ac:dyDescent="0.25">
      <c r="A25" s="23" t="s">
        <v>820</v>
      </c>
      <c r="B25" s="23" t="s">
        <v>574</v>
      </c>
      <c r="C25" s="23" t="s">
        <v>15</v>
      </c>
      <c r="D25" s="24" t="s">
        <v>42</v>
      </c>
      <c r="E25" s="24" t="s">
        <v>603</v>
      </c>
      <c r="F25" s="24" t="s">
        <v>43</v>
      </c>
      <c r="G25" s="24" t="s">
        <v>13</v>
      </c>
      <c r="H25" s="24" t="s">
        <v>166</v>
      </c>
      <c r="I25" s="24" t="s">
        <v>613</v>
      </c>
      <c r="J25" s="23" t="s">
        <v>508</v>
      </c>
      <c r="K25" s="23" t="s">
        <v>980</v>
      </c>
    </row>
    <row r="26" spans="1:11" ht="13.8" thickBot="1" x14ac:dyDescent="0.25">
      <c r="A26" s="23" t="s">
        <v>821</v>
      </c>
      <c r="B26" s="23" t="s">
        <v>574</v>
      </c>
      <c r="C26" s="23" t="s">
        <v>16</v>
      </c>
      <c r="D26" s="24" t="s">
        <v>42</v>
      </c>
      <c r="E26" s="24" t="s">
        <v>603</v>
      </c>
      <c r="F26" s="24" t="s">
        <v>43</v>
      </c>
      <c r="G26" s="24" t="s">
        <v>13</v>
      </c>
      <c r="H26" s="24" t="s">
        <v>166</v>
      </c>
      <c r="I26" s="24" t="s">
        <v>614</v>
      </c>
      <c r="J26" s="23" t="s">
        <v>508</v>
      </c>
      <c r="K26" s="23" t="s">
        <v>980</v>
      </c>
    </row>
    <row r="27" spans="1:11" ht="13.8" thickBot="1" x14ac:dyDescent="0.25">
      <c r="A27" s="23" t="s">
        <v>822</v>
      </c>
      <c r="B27" s="23" t="s">
        <v>574</v>
      </c>
      <c r="C27" s="23" t="s">
        <v>17</v>
      </c>
      <c r="D27" s="24" t="s">
        <v>42</v>
      </c>
      <c r="E27" s="24" t="s">
        <v>616</v>
      </c>
      <c r="F27" s="24" t="s">
        <v>43</v>
      </c>
      <c r="G27" s="24" t="s">
        <v>13</v>
      </c>
      <c r="H27" s="24" t="s">
        <v>166</v>
      </c>
      <c r="I27" s="24" t="s">
        <v>617</v>
      </c>
      <c r="J27" s="23" t="s">
        <v>510</v>
      </c>
      <c r="K27" s="23" t="s">
        <v>583</v>
      </c>
    </row>
    <row r="28" spans="1:11" ht="13.8" thickBot="1" x14ac:dyDescent="0.25">
      <c r="A28" s="23" t="s">
        <v>823</v>
      </c>
      <c r="B28" s="23" t="s">
        <v>574</v>
      </c>
      <c r="C28" s="23" t="s">
        <v>18</v>
      </c>
      <c r="D28" s="24" t="s">
        <v>42</v>
      </c>
      <c r="E28" s="24" t="s">
        <v>616</v>
      </c>
      <c r="F28" s="24" t="s">
        <v>43</v>
      </c>
      <c r="G28" s="24" t="s">
        <v>13</v>
      </c>
      <c r="H28" s="24" t="s">
        <v>166</v>
      </c>
      <c r="I28" s="24" t="s">
        <v>618</v>
      </c>
      <c r="J28" s="23" t="s">
        <v>510</v>
      </c>
      <c r="K28" s="23" t="s">
        <v>583</v>
      </c>
    </row>
    <row r="29" spans="1:11" ht="13.8" thickBot="1" x14ac:dyDescent="0.25">
      <c r="A29" s="23" t="s">
        <v>511</v>
      </c>
      <c r="B29" s="23" t="s">
        <v>574</v>
      </c>
      <c r="C29" s="23" t="s">
        <v>19</v>
      </c>
      <c r="D29" s="24" t="s">
        <v>48</v>
      </c>
      <c r="E29" s="24" t="s">
        <v>12</v>
      </c>
      <c r="F29" s="24" t="s">
        <v>49</v>
      </c>
      <c r="G29" s="24" t="s">
        <v>13</v>
      </c>
      <c r="H29" s="24" t="s">
        <v>168</v>
      </c>
      <c r="I29" s="24" t="s">
        <v>943</v>
      </c>
      <c r="J29" s="23" t="s">
        <v>576</v>
      </c>
      <c r="K29" s="23" t="s">
        <v>728</v>
      </c>
    </row>
    <row r="30" spans="1:11" ht="13.8" thickBot="1" x14ac:dyDescent="0.25">
      <c r="A30" s="23" t="s">
        <v>824</v>
      </c>
      <c r="B30" s="23" t="s">
        <v>574</v>
      </c>
      <c r="C30" s="23" t="s">
        <v>20</v>
      </c>
      <c r="D30" s="24" t="s">
        <v>42</v>
      </c>
      <c r="E30" s="24" t="s">
        <v>616</v>
      </c>
      <c r="F30" s="24" t="s">
        <v>43</v>
      </c>
      <c r="G30" s="24" t="s">
        <v>13</v>
      </c>
      <c r="H30" s="24" t="s">
        <v>166</v>
      </c>
      <c r="I30" s="24" t="s">
        <v>619</v>
      </c>
      <c r="J30" s="23" t="s">
        <v>576</v>
      </c>
      <c r="K30" s="23" t="s">
        <v>587</v>
      </c>
    </row>
    <row r="31" spans="1:11" ht="13.8" thickBot="1" x14ac:dyDescent="0.25">
      <c r="A31" s="23" t="s">
        <v>825</v>
      </c>
      <c r="B31" s="23" t="s">
        <v>574</v>
      </c>
      <c r="C31" s="23" t="s">
        <v>21</v>
      </c>
      <c r="D31" s="24" t="s">
        <v>42</v>
      </c>
      <c r="E31" s="24" t="s">
        <v>12</v>
      </c>
      <c r="F31" s="24" t="s">
        <v>43</v>
      </c>
      <c r="G31" s="24" t="s">
        <v>13</v>
      </c>
      <c r="H31" s="24" t="s">
        <v>166</v>
      </c>
      <c r="I31" s="24" t="s">
        <v>942</v>
      </c>
      <c r="J31" s="23" t="s">
        <v>581</v>
      </c>
      <c r="K31" s="23" t="s">
        <v>728</v>
      </c>
    </row>
    <row r="32" spans="1:11" ht="13.8" thickBot="1" x14ac:dyDescent="0.25">
      <c r="A32" s="23" t="s">
        <v>826</v>
      </c>
      <c r="B32" s="23" t="s">
        <v>574</v>
      </c>
      <c r="C32" s="23" t="s">
        <v>22</v>
      </c>
      <c r="D32" s="24" t="s">
        <v>42</v>
      </c>
      <c r="E32" s="24" t="s">
        <v>140</v>
      </c>
      <c r="F32" s="24" t="s">
        <v>43</v>
      </c>
      <c r="G32" s="24" t="s">
        <v>13</v>
      </c>
      <c r="H32" s="24" t="s">
        <v>166</v>
      </c>
      <c r="I32" s="24" t="s">
        <v>1072</v>
      </c>
      <c r="J32" s="23" t="s">
        <v>581</v>
      </c>
      <c r="K32" s="23" t="s">
        <v>728</v>
      </c>
    </row>
    <row r="33" spans="1:11" ht="13.8" thickBot="1" x14ac:dyDescent="0.25">
      <c r="A33" s="23" t="s">
        <v>827</v>
      </c>
      <c r="B33" s="23" t="s">
        <v>574</v>
      </c>
      <c r="C33" s="23" t="s">
        <v>23</v>
      </c>
      <c r="D33" s="24" t="s">
        <v>52</v>
      </c>
      <c r="E33" s="24" t="s">
        <v>1186</v>
      </c>
      <c r="F33" s="24" t="s">
        <v>53</v>
      </c>
      <c r="G33" s="24" t="s">
        <v>13</v>
      </c>
      <c r="H33" s="24" t="s">
        <v>164</v>
      </c>
      <c r="I33" s="24" t="s">
        <v>1187</v>
      </c>
      <c r="J33" s="23" t="s">
        <v>587</v>
      </c>
      <c r="K33" s="23" t="s">
        <v>738</v>
      </c>
    </row>
    <row r="34" spans="1:11" ht="13.8" thickBot="1" x14ac:dyDescent="0.25">
      <c r="A34" s="23" t="s">
        <v>828</v>
      </c>
      <c r="B34" s="23" t="s">
        <v>574</v>
      </c>
      <c r="C34" s="23" t="s">
        <v>24</v>
      </c>
      <c r="D34" s="24" t="s">
        <v>52</v>
      </c>
      <c r="E34" s="24" t="s">
        <v>944</v>
      </c>
      <c r="F34" s="24" t="s">
        <v>53</v>
      </c>
      <c r="G34" s="24" t="s">
        <v>13</v>
      </c>
      <c r="H34" s="24" t="s">
        <v>164</v>
      </c>
      <c r="I34" s="24" t="s">
        <v>945</v>
      </c>
      <c r="J34" s="23" t="s">
        <v>587</v>
      </c>
      <c r="K34" s="23" t="s">
        <v>738</v>
      </c>
    </row>
    <row r="35" spans="1:11" ht="13.8" thickBot="1" x14ac:dyDescent="0.25">
      <c r="A35" s="23" t="s">
        <v>829</v>
      </c>
      <c r="B35" s="23" t="s">
        <v>746</v>
      </c>
      <c r="C35" s="23" t="s">
        <v>11</v>
      </c>
      <c r="D35" s="24" t="s">
        <v>42</v>
      </c>
      <c r="E35" s="24" t="s">
        <v>830</v>
      </c>
      <c r="F35" s="24" t="s">
        <v>43</v>
      </c>
      <c r="G35" s="24" t="s">
        <v>13</v>
      </c>
      <c r="H35" s="24" t="s">
        <v>166</v>
      </c>
      <c r="I35" s="24" t="s">
        <v>831</v>
      </c>
      <c r="J35" s="23" t="s">
        <v>598</v>
      </c>
      <c r="K35" s="23" t="s">
        <v>751</v>
      </c>
    </row>
    <row r="36" spans="1:11" ht="13.8" thickBot="1" x14ac:dyDescent="0.25">
      <c r="A36" s="23" t="s">
        <v>612</v>
      </c>
      <c r="B36" s="23" t="s">
        <v>746</v>
      </c>
      <c r="C36" s="23" t="s">
        <v>14</v>
      </c>
      <c r="D36" s="24" t="s">
        <v>48</v>
      </c>
      <c r="E36" s="24" t="s">
        <v>140</v>
      </c>
      <c r="F36" s="24" t="s">
        <v>49</v>
      </c>
      <c r="G36" s="24" t="s">
        <v>13</v>
      </c>
      <c r="H36" s="24" t="s">
        <v>168</v>
      </c>
      <c r="I36" s="24" t="s">
        <v>1073</v>
      </c>
      <c r="J36" s="23" t="s">
        <v>598</v>
      </c>
      <c r="K36" s="23" t="s">
        <v>749</v>
      </c>
    </row>
    <row r="37" spans="1:11" ht="13.8" thickBot="1" x14ac:dyDescent="0.25">
      <c r="A37" s="23" t="s">
        <v>832</v>
      </c>
      <c r="B37" s="23" t="s">
        <v>746</v>
      </c>
      <c r="C37" s="23" t="s">
        <v>15</v>
      </c>
      <c r="D37" s="24" t="s">
        <v>42</v>
      </c>
      <c r="E37" s="24" t="s">
        <v>830</v>
      </c>
      <c r="F37" s="24" t="s">
        <v>43</v>
      </c>
      <c r="G37" s="24" t="s">
        <v>13</v>
      </c>
      <c r="H37" s="24" t="s">
        <v>166</v>
      </c>
      <c r="I37" s="24" t="s">
        <v>833</v>
      </c>
      <c r="J37" s="23" t="s">
        <v>621</v>
      </c>
      <c r="K37" s="23" t="s">
        <v>756</v>
      </c>
    </row>
    <row r="38" spans="1:11" ht="13.8" thickBot="1" x14ac:dyDescent="0.25">
      <c r="A38" s="23" t="s">
        <v>834</v>
      </c>
      <c r="B38" s="23" t="s">
        <v>746</v>
      </c>
      <c r="C38" s="23" t="s">
        <v>16</v>
      </c>
      <c r="D38" s="24" t="s">
        <v>42</v>
      </c>
      <c r="E38" s="24" t="s">
        <v>830</v>
      </c>
      <c r="F38" s="24" t="s">
        <v>43</v>
      </c>
      <c r="G38" s="24" t="s">
        <v>13</v>
      </c>
      <c r="H38" s="24" t="s">
        <v>166</v>
      </c>
      <c r="I38" s="24" t="s">
        <v>835</v>
      </c>
      <c r="J38" s="23" t="s">
        <v>621</v>
      </c>
      <c r="K38" s="23" t="s">
        <v>756</v>
      </c>
    </row>
    <row r="39" spans="1:11" ht="13.8" thickBot="1" x14ac:dyDescent="0.25">
      <c r="A39" s="23" t="s">
        <v>838</v>
      </c>
      <c r="B39" s="23" t="s">
        <v>746</v>
      </c>
      <c r="C39" s="23" t="s">
        <v>17</v>
      </c>
      <c r="D39" s="24" t="s">
        <v>54</v>
      </c>
      <c r="E39" s="24" t="s">
        <v>1074</v>
      </c>
      <c r="F39" s="24" t="s">
        <v>55</v>
      </c>
      <c r="G39" s="24" t="s">
        <v>13</v>
      </c>
      <c r="H39" s="24" t="s">
        <v>165</v>
      </c>
      <c r="I39" s="24" t="s">
        <v>1075</v>
      </c>
      <c r="J39" s="23" t="s">
        <v>665</v>
      </c>
      <c r="K39" s="23" t="s">
        <v>772</v>
      </c>
    </row>
    <row r="40" spans="1:11" ht="13.8" thickBot="1" x14ac:dyDescent="0.25">
      <c r="A40" s="23" t="s">
        <v>836</v>
      </c>
      <c r="B40" s="23" t="s">
        <v>746</v>
      </c>
      <c r="C40" s="23" t="s">
        <v>18</v>
      </c>
      <c r="D40" s="24" t="s">
        <v>42</v>
      </c>
      <c r="E40" s="24" t="s">
        <v>830</v>
      </c>
      <c r="F40" s="24" t="s">
        <v>43</v>
      </c>
      <c r="G40" s="24" t="s">
        <v>13</v>
      </c>
      <c r="H40" s="24" t="s">
        <v>166</v>
      </c>
      <c r="I40" s="24" t="s">
        <v>837</v>
      </c>
      <c r="J40" s="23" t="s">
        <v>665</v>
      </c>
      <c r="K40" s="23" t="s">
        <v>772</v>
      </c>
    </row>
    <row r="41" spans="1:11" ht="13.8" thickBot="1" x14ac:dyDescent="0.25">
      <c r="A41" s="23" t="s">
        <v>839</v>
      </c>
      <c r="B41" s="23" t="s">
        <v>746</v>
      </c>
      <c r="C41" s="23" t="s">
        <v>19</v>
      </c>
      <c r="D41" s="24" t="s">
        <v>42</v>
      </c>
      <c r="E41" s="24" t="s">
        <v>12</v>
      </c>
      <c r="F41" s="24" t="s">
        <v>43</v>
      </c>
      <c r="G41" s="24" t="s">
        <v>13</v>
      </c>
      <c r="H41" s="24" t="s">
        <v>166</v>
      </c>
      <c r="I41" s="24" t="s">
        <v>1076</v>
      </c>
      <c r="J41" s="23" t="s">
        <v>747</v>
      </c>
      <c r="K41" s="23" t="s">
        <v>787</v>
      </c>
    </row>
    <row r="42" spans="1:11" ht="13.8" thickBot="1" x14ac:dyDescent="0.25">
      <c r="A42" s="23" t="s">
        <v>840</v>
      </c>
      <c r="B42" s="23" t="s">
        <v>746</v>
      </c>
      <c r="C42" s="23" t="s">
        <v>20</v>
      </c>
      <c r="D42" s="24" t="s">
        <v>42</v>
      </c>
      <c r="E42" s="24" t="s">
        <v>140</v>
      </c>
      <c r="F42" s="24" t="s">
        <v>43</v>
      </c>
      <c r="G42" s="24" t="s">
        <v>13</v>
      </c>
      <c r="H42" s="24" t="s">
        <v>166</v>
      </c>
      <c r="I42" s="24" t="s">
        <v>1077</v>
      </c>
      <c r="J42" s="23" t="s">
        <v>747</v>
      </c>
      <c r="K42" s="23" t="s">
        <v>787</v>
      </c>
    </row>
    <row r="43" spans="1:11" ht="13.8" thickBot="1" x14ac:dyDescent="0.25">
      <c r="A43" s="23" t="s">
        <v>841</v>
      </c>
      <c r="B43" s="23" t="s">
        <v>746</v>
      </c>
      <c r="C43" s="23" t="s">
        <v>21</v>
      </c>
      <c r="D43" s="24" t="s">
        <v>159</v>
      </c>
      <c r="E43" s="24" t="s">
        <v>12</v>
      </c>
      <c r="F43" s="24" t="s">
        <v>160</v>
      </c>
      <c r="G43" s="24" t="s">
        <v>13</v>
      </c>
      <c r="H43" s="24" t="s">
        <v>167</v>
      </c>
      <c r="I43" s="24" t="s">
        <v>1188</v>
      </c>
      <c r="J43" s="23" t="s">
        <v>760</v>
      </c>
      <c r="K43" s="23" t="s">
        <v>805</v>
      </c>
    </row>
    <row r="44" spans="1:11" ht="13.8" thickBot="1" x14ac:dyDescent="0.25">
      <c r="A44" s="23" t="s">
        <v>509</v>
      </c>
      <c r="B44" s="23" t="s">
        <v>746</v>
      </c>
      <c r="C44" s="23" t="s">
        <v>22</v>
      </c>
      <c r="D44" s="24" t="s">
        <v>48</v>
      </c>
      <c r="E44" s="24" t="s">
        <v>12</v>
      </c>
      <c r="F44" s="24" t="s">
        <v>49</v>
      </c>
      <c r="G44" s="24" t="s">
        <v>13</v>
      </c>
      <c r="H44" s="24" t="s">
        <v>168</v>
      </c>
      <c r="I44" s="24" t="s">
        <v>1078</v>
      </c>
      <c r="J44" s="23" t="s">
        <v>760</v>
      </c>
      <c r="K44" s="23" t="s">
        <v>1050</v>
      </c>
    </row>
    <row r="45" spans="1:11" ht="13.8" thickBot="1" x14ac:dyDescent="0.25">
      <c r="A45" s="23" t="s">
        <v>842</v>
      </c>
      <c r="B45" s="23" t="s">
        <v>746</v>
      </c>
      <c r="C45" s="23" t="s">
        <v>23</v>
      </c>
      <c r="D45" s="24" t="s">
        <v>159</v>
      </c>
      <c r="E45" s="24" t="s">
        <v>12</v>
      </c>
      <c r="F45" s="24" t="s">
        <v>160</v>
      </c>
      <c r="G45" s="24" t="s">
        <v>13</v>
      </c>
      <c r="H45" s="24" t="s">
        <v>167</v>
      </c>
      <c r="I45" s="24" t="s">
        <v>1079</v>
      </c>
      <c r="J45" s="23" t="s">
        <v>776</v>
      </c>
      <c r="K45" s="23" t="s">
        <v>846</v>
      </c>
    </row>
    <row r="46" spans="1:11" ht="13.8" thickBot="1" x14ac:dyDescent="0.25">
      <c r="A46" s="23" t="s">
        <v>843</v>
      </c>
      <c r="B46" s="23" t="s">
        <v>746</v>
      </c>
      <c r="C46" s="23" t="s">
        <v>24</v>
      </c>
      <c r="D46" s="24" t="s">
        <v>42</v>
      </c>
      <c r="E46" s="24" t="s">
        <v>12</v>
      </c>
      <c r="F46" s="24" t="s">
        <v>43</v>
      </c>
      <c r="G46" s="24" t="s">
        <v>13</v>
      </c>
      <c r="H46" s="24" t="s">
        <v>166</v>
      </c>
      <c r="I46" s="24" t="s">
        <v>1080</v>
      </c>
      <c r="J46" s="23" t="s">
        <v>776</v>
      </c>
      <c r="K46" s="23" t="s">
        <v>846</v>
      </c>
    </row>
    <row r="47" spans="1:11" ht="13.8" thickBot="1" x14ac:dyDescent="0.25">
      <c r="A47" s="23" t="s">
        <v>845</v>
      </c>
      <c r="B47" s="23" t="s">
        <v>746</v>
      </c>
      <c r="C47" s="23" t="s">
        <v>25</v>
      </c>
      <c r="D47" s="24" t="s">
        <v>42</v>
      </c>
      <c r="E47" s="24" t="s">
        <v>140</v>
      </c>
      <c r="F47" s="24" t="s">
        <v>43</v>
      </c>
      <c r="G47" s="24" t="s">
        <v>13</v>
      </c>
      <c r="H47" s="24" t="s">
        <v>166</v>
      </c>
      <c r="I47" s="24" t="s">
        <v>1081</v>
      </c>
      <c r="J47" s="23" t="s">
        <v>799</v>
      </c>
      <c r="K47" s="23" t="s">
        <v>937</v>
      </c>
    </row>
    <row r="48" spans="1:11" ht="13.8" thickBot="1" x14ac:dyDescent="0.25">
      <c r="A48" s="23" t="s">
        <v>1345</v>
      </c>
      <c r="B48" s="23" t="s">
        <v>1036</v>
      </c>
      <c r="C48" s="23" t="s">
        <v>11</v>
      </c>
      <c r="D48" s="24" t="s">
        <v>48</v>
      </c>
      <c r="E48" s="24" t="s">
        <v>12</v>
      </c>
      <c r="F48" s="24" t="s">
        <v>49</v>
      </c>
      <c r="G48" s="24" t="s">
        <v>13</v>
      </c>
      <c r="H48" s="24" t="s">
        <v>168</v>
      </c>
      <c r="I48" s="24" t="s">
        <v>1346</v>
      </c>
      <c r="J48" s="23" t="s">
        <v>799</v>
      </c>
      <c r="K48" s="23" t="s">
        <v>1041</v>
      </c>
    </row>
    <row r="49" spans="1:11" ht="13.8" thickBot="1" x14ac:dyDescent="0.25">
      <c r="A49" s="23" t="s">
        <v>1189</v>
      </c>
      <c r="B49" s="23" t="s">
        <v>1036</v>
      </c>
      <c r="C49" s="23" t="s">
        <v>14</v>
      </c>
      <c r="D49" s="24" t="s">
        <v>50</v>
      </c>
      <c r="E49" s="24" t="s">
        <v>1535</v>
      </c>
      <c r="F49" s="24" t="s">
        <v>51</v>
      </c>
      <c r="G49" s="24" t="s">
        <v>13</v>
      </c>
      <c r="H49" s="24" t="s">
        <v>163</v>
      </c>
      <c r="I49" s="24" t="s">
        <v>1536</v>
      </c>
      <c r="J49" s="23" t="s">
        <v>1032</v>
      </c>
      <c r="K49" s="23" t="s">
        <v>1040</v>
      </c>
    </row>
    <row r="50" spans="1:11" ht="13.8" thickBot="1" x14ac:dyDescent="0.25">
      <c r="A50" s="23" t="s">
        <v>1083</v>
      </c>
      <c r="B50" s="23" t="s">
        <v>1036</v>
      </c>
      <c r="C50" s="23" t="s">
        <v>15</v>
      </c>
      <c r="D50" s="24" t="s">
        <v>42</v>
      </c>
      <c r="E50" s="24" t="s">
        <v>1350</v>
      </c>
      <c r="F50" s="24" t="s">
        <v>43</v>
      </c>
      <c r="G50" s="24" t="s">
        <v>13</v>
      </c>
      <c r="H50" s="24" t="s">
        <v>166</v>
      </c>
      <c r="I50" s="24" t="s">
        <v>1351</v>
      </c>
      <c r="J50" s="23" t="s">
        <v>1032</v>
      </c>
      <c r="K50" s="23" t="s">
        <v>1040</v>
      </c>
    </row>
    <row r="51" spans="1:11" ht="13.8" thickBot="1" x14ac:dyDescent="0.25">
      <c r="A51" s="23" t="s">
        <v>1190</v>
      </c>
      <c r="B51" s="23" t="s">
        <v>1036</v>
      </c>
      <c r="C51" s="23" t="s">
        <v>16</v>
      </c>
      <c r="D51" s="24" t="s">
        <v>46</v>
      </c>
      <c r="E51" s="24" t="s">
        <v>145</v>
      </c>
      <c r="F51" s="24" t="s">
        <v>47</v>
      </c>
      <c r="G51" s="24" t="s">
        <v>13</v>
      </c>
      <c r="H51" s="24" t="s">
        <v>169</v>
      </c>
      <c r="I51" s="24"/>
      <c r="J51" s="23" t="s">
        <v>1050</v>
      </c>
      <c r="K51" s="23" t="s">
        <v>1044</v>
      </c>
    </row>
    <row r="52" spans="1:11" ht="13.8" thickBot="1" x14ac:dyDescent="0.25">
      <c r="A52" s="23" t="s">
        <v>1087</v>
      </c>
      <c r="B52" s="23" t="s">
        <v>1036</v>
      </c>
      <c r="C52" s="23" t="s">
        <v>17</v>
      </c>
      <c r="D52" s="24" t="s">
        <v>159</v>
      </c>
      <c r="E52" s="24" t="s">
        <v>1354</v>
      </c>
      <c r="F52" s="24" t="s">
        <v>160</v>
      </c>
      <c r="G52" s="24" t="s">
        <v>13</v>
      </c>
      <c r="H52" s="24" t="s">
        <v>167</v>
      </c>
      <c r="I52" s="24" t="s">
        <v>1355</v>
      </c>
      <c r="J52" s="23" t="s">
        <v>1050</v>
      </c>
      <c r="K52" s="23" t="s">
        <v>1044</v>
      </c>
    </row>
    <row r="53" spans="1:11" ht="13.8" thickBot="1" x14ac:dyDescent="0.25">
      <c r="A53" s="23" t="s">
        <v>1191</v>
      </c>
      <c r="B53" s="23" t="s">
        <v>1036</v>
      </c>
      <c r="C53" s="23" t="s">
        <v>18</v>
      </c>
      <c r="D53" s="24" t="s">
        <v>54</v>
      </c>
      <c r="E53" s="24" t="s">
        <v>1537</v>
      </c>
      <c r="F53" s="24" t="s">
        <v>55</v>
      </c>
      <c r="G53" s="24" t="s">
        <v>13</v>
      </c>
      <c r="H53" s="24" t="s">
        <v>165</v>
      </c>
      <c r="I53" s="24" t="s">
        <v>1538</v>
      </c>
      <c r="J53" s="23" t="s">
        <v>937</v>
      </c>
      <c r="K53" s="23" t="s">
        <v>1047</v>
      </c>
    </row>
    <row r="54" spans="1:11" ht="13.8" thickBot="1" x14ac:dyDescent="0.25">
      <c r="A54" s="23" t="s">
        <v>1193</v>
      </c>
      <c r="B54" s="23" t="s">
        <v>1036</v>
      </c>
      <c r="C54" s="23" t="s">
        <v>19</v>
      </c>
      <c r="D54" s="24" t="s">
        <v>42</v>
      </c>
      <c r="E54" s="24" t="s">
        <v>12</v>
      </c>
      <c r="F54" s="24" t="s">
        <v>43</v>
      </c>
      <c r="G54" s="24" t="s">
        <v>13</v>
      </c>
      <c r="H54" s="24" t="s">
        <v>166</v>
      </c>
      <c r="I54" s="24" t="s">
        <v>1352</v>
      </c>
      <c r="J54" s="23" t="s">
        <v>937</v>
      </c>
      <c r="K54" s="23" t="s">
        <v>1047</v>
      </c>
    </row>
    <row r="55" spans="1:11" ht="13.8" thickBot="1" x14ac:dyDescent="0.25">
      <c r="A55" s="23" t="s">
        <v>1192</v>
      </c>
      <c r="B55" s="23" t="s">
        <v>1036</v>
      </c>
      <c r="C55" s="23" t="s">
        <v>20</v>
      </c>
      <c r="D55" s="24" t="s">
        <v>54</v>
      </c>
      <c r="E55" s="24" t="s">
        <v>1377</v>
      </c>
      <c r="F55" s="24" t="s">
        <v>55</v>
      </c>
      <c r="G55" s="24" t="s">
        <v>13</v>
      </c>
      <c r="H55" s="24" t="s">
        <v>165</v>
      </c>
      <c r="I55" s="24" t="s">
        <v>1539</v>
      </c>
      <c r="J55" s="23" t="s">
        <v>1038</v>
      </c>
      <c r="K55" s="23" t="s">
        <v>1052</v>
      </c>
    </row>
    <row r="56" spans="1:11" ht="13.8" thickBot="1" x14ac:dyDescent="0.25">
      <c r="A56" s="23" t="s">
        <v>1194</v>
      </c>
      <c r="B56" s="23" t="s">
        <v>1036</v>
      </c>
      <c r="C56" s="23" t="s">
        <v>21</v>
      </c>
      <c r="D56" s="24" t="s">
        <v>42</v>
      </c>
      <c r="E56" s="24" t="s">
        <v>12</v>
      </c>
      <c r="F56" s="24" t="s">
        <v>43</v>
      </c>
      <c r="G56" s="24" t="s">
        <v>13</v>
      </c>
      <c r="H56" s="24" t="s">
        <v>166</v>
      </c>
      <c r="I56" s="24" t="s">
        <v>1353</v>
      </c>
      <c r="J56" s="23" t="s">
        <v>1038</v>
      </c>
      <c r="K56" s="23" t="s">
        <v>1052</v>
      </c>
    </row>
    <row r="57" spans="1:11" ht="13.8" thickBot="1" x14ac:dyDescent="0.25">
      <c r="A57" s="23" t="s">
        <v>1084</v>
      </c>
      <c r="B57" s="23" t="s">
        <v>1036</v>
      </c>
      <c r="C57" s="23" t="s">
        <v>22</v>
      </c>
      <c r="D57" s="24" t="s">
        <v>52</v>
      </c>
      <c r="E57" s="24" t="s">
        <v>1085</v>
      </c>
      <c r="F57" s="24" t="s">
        <v>53</v>
      </c>
      <c r="G57" s="24" t="s">
        <v>13</v>
      </c>
      <c r="H57" s="24" t="s">
        <v>164</v>
      </c>
      <c r="I57" s="24" t="s">
        <v>1086</v>
      </c>
      <c r="J57" s="23" t="s">
        <v>1044</v>
      </c>
      <c r="K57" s="23" t="s">
        <v>1057</v>
      </c>
    </row>
    <row r="58" spans="1:11" ht="13.8" thickBot="1" x14ac:dyDescent="0.25">
      <c r="A58" s="23" t="s">
        <v>1347</v>
      </c>
      <c r="B58" s="23" t="s">
        <v>1036</v>
      </c>
      <c r="C58" s="23" t="s">
        <v>23</v>
      </c>
      <c r="D58" s="24" t="s">
        <v>44</v>
      </c>
      <c r="E58" s="24" t="s">
        <v>1348</v>
      </c>
      <c r="F58" s="24" t="s">
        <v>45</v>
      </c>
      <c r="G58" s="24" t="s">
        <v>13</v>
      </c>
      <c r="H58" s="24" t="s">
        <v>174</v>
      </c>
      <c r="I58" s="24" t="s">
        <v>1349</v>
      </c>
      <c r="J58" s="23" t="s">
        <v>1044</v>
      </c>
      <c r="K58" s="23" t="s">
        <v>1065</v>
      </c>
    </row>
    <row r="59" spans="1:11" ht="13.8" thickBot="1" x14ac:dyDescent="0.25">
      <c r="A59" s="23" t="s">
        <v>1082</v>
      </c>
      <c r="B59" s="23" t="s">
        <v>1036</v>
      </c>
      <c r="C59" s="23" t="s">
        <v>24</v>
      </c>
      <c r="D59" s="24" t="s">
        <v>42</v>
      </c>
      <c r="E59" s="24" t="s">
        <v>176</v>
      </c>
      <c r="F59" s="24" t="s">
        <v>43</v>
      </c>
      <c r="G59" s="24" t="s">
        <v>13</v>
      </c>
      <c r="H59" s="24" t="s">
        <v>166</v>
      </c>
      <c r="I59" s="24"/>
      <c r="J59" s="23" t="s">
        <v>1047</v>
      </c>
      <c r="K59" s="23" t="s">
        <v>1064</v>
      </c>
    </row>
    <row r="60" spans="1:11" ht="13.8" thickBot="1" x14ac:dyDescent="0.25">
      <c r="A60" s="23" t="s">
        <v>1356</v>
      </c>
      <c r="B60" s="23" t="s">
        <v>1267</v>
      </c>
      <c r="C60" s="23" t="s">
        <v>11</v>
      </c>
      <c r="D60" s="24" t="s">
        <v>48</v>
      </c>
      <c r="E60" s="24" t="s">
        <v>12</v>
      </c>
      <c r="F60" s="24" t="s">
        <v>49</v>
      </c>
      <c r="G60" s="24" t="s">
        <v>13</v>
      </c>
      <c r="H60" s="24" t="s">
        <v>168</v>
      </c>
      <c r="I60" s="24" t="s">
        <v>1357</v>
      </c>
      <c r="J60" s="23" t="s">
        <v>1051</v>
      </c>
      <c r="K60" s="23" t="s">
        <v>1268</v>
      </c>
    </row>
    <row r="61" spans="1:11" ht="13.8" thickBot="1" x14ac:dyDescent="0.25">
      <c r="A61" s="23" t="s">
        <v>1358</v>
      </c>
      <c r="B61" s="23" t="s">
        <v>1267</v>
      </c>
      <c r="C61" s="23" t="s">
        <v>14</v>
      </c>
      <c r="D61" s="24" t="s">
        <v>48</v>
      </c>
      <c r="E61" s="24" t="s">
        <v>12</v>
      </c>
      <c r="F61" s="24" t="s">
        <v>49</v>
      </c>
      <c r="G61" s="24" t="s">
        <v>13</v>
      </c>
      <c r="H61" s="24" t="s">
        <v>168</v>
      </c>
      <c r="I61" s="24" t="s">
        <v>1359</v>
      </c>
      <c r="J61" s="23" t="s">
        <v>1054</v>
      </c>
      <c r="K61" s="23" t="s">
        <v>1285</v>
      </c>
    </row>
    <row r="62" spans="1:11" ht="13.8" thickBot="1" x14ac:dyDescent="0.25">
      <c r="A62" s="23" t="s">
        <v>615</v>
      </c>
      <c r="B62" s="23" t="s">
        <v>1267</v>
      </c>
      <c r="C62" s="23" t="s">
        <v>15</v>
      </c>
      <c r="D62" s="24" t="s">
        <v>48</v>
      </c>
      <c r="E62" s="24" t="s">
        <v>12</v>
      </c>
      <c r="F62" s="24" t="s">
        <v>49</v>
      </c>
      <c r="G62" s="24" t="s">
        <v>13</v>
      </c>
      <c r="H62" s="24" t="s">
        <v>168</v>
      </c>
      <c r="I62" s="24" t="s">
        <v>1360</v>
      </c>
      <c r="J62" s="23" t="s">
        <v>1062</v>
      </c>
      <c r="K62" s="23" t="s">
        <v>1291</v>
      </c>
    </row>
    <row r="63" spans="1:11" ht="13.8" thickBot="1" x14ac:dyDescent="0.25">
      <c r="A63" s="23" t="s">
        <v>1361</v>
      </c>
      <c r="B63" s="23" t="s">
        <v>1267</v>
      </c>
      <c r="C63" s="23" t="s">
        <v>16</v>
      </c>
      <c r="D63" s="24" t="s">
        <v>50</v>
      </c>
      <c r="E63" s="24" t="s">
        <v>1362</v>
      </c>
      <c r="F63" s="24" t="s">
        <v>51</v>
      </c>
      <c r="G63" s="24" t="s">
        <v>13</v>
      </c>
      <c r="H63" s="24" t="s">
        <v>163</v>
      </c>
      <c r="I63" s="24" t="s">
        <v>1363</v>
      </c>
      <c r="J63" s="23" t="s">
        <v>1063</v>
      </c>
      <c r="K63" s="23" t="s">
        <v>1285</v>
      </c>
    </row>
    <row r="64" spans="1:11" ht="13.8" thickBot="1" x14ac:dyDescent="0.25">
      <c r="A64" s="23" t="s">
        <v>1364</v>
      </c>
      <c r="B64" s="23" t="s">
        <v>1267</v>
      </c>
      <c r="C64" s="23" t="s">
        <v>17</v>
      </c>
      <c r="D64" s="24" t="s">
        <v>50</v>
      </c>
      <c r="E64" s="24" t="s">
        <v>1540</v>
      </c>
      <c r="F64" s="24" t="s">
        <v>51</v>
      </c>
      <c r="G64" s="24" t="s">
        <v>13</v>
      </c>
      <c r="H64" s="24" t="s">
        <v>163</v>
      </c>
      <c r="I64" s="24" t="s">
        <v>1541</v>
      </c>
      <c r="J64" s="23" t="s">
        <v>1065</v>
      </c>
      <c r="K64" s="23" t="s">
        <v>1293</v>
      </c>
    </row>
    <row r="65" spans="1:11" ht="13.8" thickBot="1" x14ac:dyDescent="0.25">
      <c r="A65" s="23" t="s">
        <v>1367</v>
      </c>
      <c r="B65" s="23" t="s">
        <v>1267</v>
      </c>
      <c r="C65" s="23" t="s">
        <v>18</v>
      </c>
      <c r="D65" s="24" t="s">
        <v>42</v>
      </c>
      <c r="E65" s="24" t="s">
        <v>12</v>
      </c>
      <c r="F65" s="24" t="s">
        <v>43</v>
      </c>
      <c r="G65" s="24" t="s">
        <v>13</v>
      </c>
      <c r="H65" s="24" t="s">
        <v>166</v>
      </c>
      <c r="I65" s="24" t="s">
        <v>1368</v>
      </c>
      <c r="J65" s="23" t="s">
        <v>1273</v>
      </c>
      <c r="K65" s="23" t="s">
        <v>1315</v>
      </c>
    </row>
    <row r="66" spans="1:11" ht="13.8" thickBot="1" x14ac:dyDescent="0.25">
      <c r="A66" s="23" t="s">
        <v>1369</v>
      </c>
      <c r="B66" s="23" t="s">
        <v>1267</v>
      </c>
      <c r="C66" s="23" t="s">
        <v>19</v>
      </c>
      <c r="D66" s="24" t="s">
        <v>42</v>
      </c>
      <c r="E66" s="24" t="s">
        <v>12</v>
      </c>
      <c r="F66" s="24" t="s">
        <v>43</v>
      </c>
      <c r="G66" s="24" t="s">
        <v>13</v>
      </c>
      <c r="H66" s="24" t="s">
        <v>166</v>
      </c>
      <c r="I66" s="24" t="s">
        <v>1370</v>
      </c>
      <c r="J66" s="23" t="s">
        <v>1288</v>
      </c>
      <c r="K66" s="23" t="s">
        <v>1325</v>
      </c>
    </row>
    <row r="67" spans="1:11" ht="13.8" thickBot="1" x14ac:dyDescent="0.25">
      <c r="A67" s="23" t="s">
        <v>1371</v>
      </c>
      <c r="B67" s="23" t="s">
        <v>1267</v>
      </c>
      <c r="C67" s="23" t="s">
        <v>20</v>
      </c>
      <c r="D67" s="24" t="s">
        <v>50</v>
      </c>
      <c r="E67" s="24" t="s">
        <v>1540</v>
      </c>
      <c r="F67" s="24" t="s">
        <v>51</v>
      </c>
      <c r="G67" s="24" t="s">
        <v>13</v>
      </c>
      <c r="H67" s="24" t="s">
        <v>163</v>
      </c>
      <c r="I67" s="24" t="s">
        <v>1542</v>
      </c>
      <c r="J67" s="23" t="s">
        <v>1293</v>
      </c>
      <c r="K67" s="23" t="s">
        <v>1328</v>
      </c>
    </row>
    <row r="68" spans="1:11" ht="13.8" thickBot="1" x14ac:dyDescent="0.25">
      <c r="A68" s="23" t="s">
        <v>1372</v>
      </c>
      <c r="B68" s="23" t="s">
        <v>1267</v>
      </c>
      <c r="C68" s="23" t="s">
        <v>21</v>
      </c>
      <c r="D68" s="24" t="s">
        <v>46</v>
      </c>
      <c r="E68" s="24" t="s">
        <v>145</v>
      </c>
      <c r="F68" s="24" t="s">
        <v>47</v>
      </c>
      <c r="G68" s="24" t="s">
        <v>13</v>
      </c>
      <c r="H68" s="24" t="s">
        <v>169</v>
      </c>
      <c r="I68" s="24"/>
      <c r="J68" s="23" t="s">
        <v>1303</v>
      </c>
      <c r="K68" s="23" t="s">
        <v>1336</v>
      </c>
    </row>
    <row r="69" spans="1:11" ht="13.8" thickBot="1" x14ac:dyDescent="0.25">
      <c r="A69" s="23" t="s">
        <v>1373</v>
      </c>
      <c r="B69" s="23" t="s">
        <v>1267</v>
      </c>
      <c r="C69" s="23" t="s">
        <v>22</v>
      </c>
      <c r="D69" s="24" t="s">
        <v>52</v>
      </c>
      <c r="E69" s="24" t="s">
        <v>145</v>
      </c>
      <c r="F69" s="24" t="s">
        <v>53</v>
      </c>
      <c r="G69" s="24" t="s">
        <v>13</v>
      </c>
      <c r="H69" s="24" t="s">
        <v>164</v>
      </c>
      <c r="I69" s="24"/>
      <c r="J69" s="23" t="s">
        <v>1311</v>
      </c>
      <c r="K69" s="23" t="s">
        <v>1342</v>
      </c>
    </row>
    <row r="70" spans="1:11" ht="13.8" thickBot="1" x14ac:dyDescent="0.25">
      <c r="A70" s="23" t="s">
        <v>1543</v>
      </c>
      <c r="B70" s="23" t="s">
        <v>1267</v>
      </c>
      <c r="C70" s="23" t="s">
        <v>23</v>
      </c>
      <c r="D70" s="24" t="s">
        <v>50</v>
      </c>
      <c r="E70" s="24" t="s">
        <v>145</v>
      </c>
      <c r="F70" s="24" t="s">
        <v>51</v>
      </c>
      <c r="G70" s="24" t="s">
        <v>13</v>
      </c>
      <c r="H70" s="24" t="s">
        <v>163</v>
      </c>
      <c r="I70" s="24"/>
      <c r="J70" s="23" t="s">
        <v>1311</v>
      </c>
      <c r="K70" s="23" t="s">
        <v>1342</v>
      </c>
    </row>
    <row r="71" spans="1:11" ht="13.8" thickBot="1" x14ac:dyDescent="0.25">
      <c r="A71" s="23" t="s">
        <v>1374</v>
      </c>
      <c r="B71" s="23" t="s">
        <v>1267</v>
      </c>
      <c r="C71" s="23" t="s">
        <v>24</v>
      </c>
      <c r="D71" s="24" t="s">
        <v>52</v>
      </c>
      <c r="E71" s="24" t="s">
        <v>145</v>
      </c>
      <c r="F71" s="24" t="s">
        <v>53</v>
      </c>
      <c r="G71" s="24" t="s">
        <v>13</v>
      </c>
      <c r="H71" s="24" t="s">
        <v>164</v>
      </c>
      <c r="I71" s="24"/>
      <c r="J71" s="23" t="s">
        <v>1315</v>
      </c>
      <c r="K71" s="23" t="s">
        <v>1375</v>
      </c>
    </row>
    <row r="72" spans="1:11" ht="13.8" thickBot="1" x14ac:dyDescent="0.25">
      <c r="A72" s="23" t="s">
        <v>1544</v>
      </c>
      <c r="B72" s="23" t="s">
        <v>1267</v>
      </c>
      <c r="C72" s="23" t="s">
        <v>25</v>
      </c>
      <c r="D72" s="24" t="s">
        <v>50</v>
      </c>
      <c r="E72" s="24" t="s">
        <v>145</v>
      </c>
      <c r="F72" s="24" t="s">
        <v>51</v>
      </c>
      <c r="G72" s="24" t="s">
        <v>13</v>
      </c>
      <c r="H72" s="24" t="s">
        <v>163</v>
      </c>
      <c r="I72" s="24"/>
      <c r="J72" s="23" t="s">
        <v>1315</v>
      </c>
      <c r="K72" s="23" t="s">
        <v>1375</v>
      </c>
    </row>
    <row r="73" spans="1:11" ht="13.8" thickBot="1" x14ac:dyDescent="0.25">
      <c r="A73" s="23" t="s">
        <v>1545</v>
      </c>
      <c r="B73" s="23" t="s">
        <v>1462</v>
      </c>
      <c r="C73" s="23" t="s">
        <v>11</v>
      </c>
      <c r="D73" s="24" t="s">
        <v>48</v>
      </c>
      <c r="E73" s="24" t="s">
        <v>12</v>
      </c>
      <c r="F73" s="24" t="s">
        <v>49</v>
      </c>
      <c r="G73" s="24" t="s">
        <v>13</v>
      </c>
      <c r="H73" s="24" t="s">
        <v>168</v>
      </c>
      <c r="I73" s="24" t="s">
        <v>1546</v>
      </c>
      <c r="J73" s="23" t="s">
        <v>1303</v>
      </c>
      <c r="K73" s="23" t="s">
        <v>1463</v>
      </c>
    </row>
    <row r="74" spans="1:11" ht="13.8" thickBot="1" x14ac:dyDescent="0.25">
      <c r="A74" s="23" t="s">
        <v>1547</v>
      </c>
      <c r="B74" s="23" t="s">
        <v>1462</v>
      </c>
      <c r="C74" s="23" t="s">
        <v>14</v>
      </c>
      <c r="D74" s="24" t="s">
        <v>48</v>
      </c>
      <c r="E74" s="24" t="s">
        <v>12</v>
      </c>
      <c r="F74" s="24" t="s">
        <v>49</v>
      </c>
      <c r="G74" s="24" t="s">
        <v>13</v>
      </c>
      <c r="H74" s="24" t="s">
        <v>168</v>
      </c>
      <c r="I74" s="24" t="s">
        <v>1548</v>
      </c>
      <c r="J74" s="23" t="s">
        <v>1315</v>
      </c>
      <c r="K74" s="23" t="s">
        <v>1468</v>
      </c>
    </row>
    <row r="75" spans="1:11" ht="13.8" thickBot="1" x14ac:dyDescent="0.25">
      <c r="A75" s="23" t="s">
        <v>1549</v>
      </c>
      <c r="B75" s="23" t="s">
        <v>1462</v>
      </c>
      <c r="C75" s="23" t="s">
        <v>15</v>
      </c>
      <c r="D75" s="24" t="s">
        <v>52</v>
      </c>
      <c r="E75" s="24" t="s">
        <v>145</v>
      </c>
      <c r="F75" s="24" t="s">
        <v>53</v>
      </c>
      <c r="G75" s="24" t="s">
        <v>13</v>
      </c>
      <c r="H75" s="24" t="s">
        <v>164</v>
      </c>
      <c r="I75" s="24"/>
      <c r="J75" s="23" t="s">
        <v>1325</v>
      </c>
      <c r="K75" s="23" t="s">
        <v>1465</v>
      </c>
    </row>
    <row r="76" spans="1:11" ht="13.8" thickBot="1" x14ac:dyDescent="0.25">
      <c r="A76" s="23" t="s">
        <v>1550</v>
      </c>
      <c r="B76" s="23" t="s">
        <v>1462</v>
      </c>
      <c r="C76" s="23" t="s">
        <v>16</v>
      </c>
      <c r="D76" s="24" t="s">
        <v>54</v>
      </c>
      <c r="E76" s="24" t="s">
        <v>145</v>
      </c>
      <c r="F76" s="24" t="s">
        <v>55</v>
      </c>
      <c r="G76" s="24" t="s">
        <v>13</v>
      </c>
      <c r="H76" s="24" t="s">
        <v>165</v>
      </c>
      <c r="I76" s="24"/>
      <c r="J76" s="23" t="s">
        <v>1331</v>
      </c>
      <c r="K76" s="23" t="s">
        <v>1468</v>
      </c>
    </row>
    <row r="77" spans="1:11" ht="13.8" thickBot="1" x14ac:dyDescent="0.25">
      <c r="A77" s="23" t="s">
        <v>1551</v>
      </c>
      <c r="B77" s="23" t="s">
        <v>1462</v>
      </c>
      <c r="C77" s="23" t="s">
        <v>17</v>
      </c>
      <c r="D77" s="24" t="s">
        <v>54</v>
      </c>
      <c r="E77" s="24" t="s">
        <v>145</v>
      </c>
      <c r="F77" s="24" t="s">
        <v>55</v>
      </c>
      <c r="G77" s="24" t="s">
        <v>13</v>
      </c>
      <c r="H77" s="24" t="s">
        <v>165</v>
      </c>
      <c r="I77" s="24"/>
      <c r="J77" s="23" t="s">
        <v>1339</v>
      </c>
      <c r="K77" s="23" t="s">
        <v>1483</v>
      </c>
    </row>
    <row r="78" spans="1:11" ht="13.8" thickBot="1" x14ac:dyDescent="0.25">
      <c r="A78" s="23" t="s">
        <v>1552</v>
      </c>
      <c r="B78" s="23" t="s">
        <v>1462</v>
      </c>
      <c r="C78" s="23" t="s">
        <v>18</v>
      </c>
      <c r="D78" s="24" t="s">
        <v>42</v>
      </c>
      <c r="E78" s="24" t="s">
        <v>12</v>
      </c>
      <c r="F78" s="24" t="s">
        <v>43</v>
      </c>
      <c r="G78" s="24" t="s">
        <v>13</v>
      </c>
      <c r="H78" s="24" t="s">
        <v>166</v>
      </c>
      <c r="I78" s="24" t="s">
        <v>1553</v>
      </c>
      <c r="J78" s="23" t="s">
        <v>1375</v>
      </c>
      <c r="K78" s="23" t="s">
        <v>1492</v>
      </c>
    </row>
    <row r="79" spans="1:11" ht="13.8" thickBot="1" x14ac:dyDescent="0.25">
      <c r="A79" s="23" t="s">
        <v>1554</v>
      </c>
      <c r="B79" s="23" t="s">
        <v>1462</v>
      </c>
      <c r="C79" s="23" t="s">
        <v>19</v>
      </c>
      <c r="D79" s="24" t="s">
        <v>42</v>
      </c>
      <c r="E79" s="24" t="s">
        <v>12</v>
      </c>
      <c r="F79" s="24" t="s">
        <v>43</v>
      </c>
      <c r="G79" s="24" t="s">
        <v>13</v>
      </c>
      <c r="H79" s="24" t="s">
        <v>166</v>
      </c>
      <c r="I79" s="24" t="s">
        <v>1555</v>
      </c>
      <c r="J79" s="23" t="s">
        <v>1465</v>
      </c>
      <c r="K79" s="23" t="s">
        <v>1496</v>
      </c>
    </row>
    <row r="80" spans="1:11" ht="13.8" thickBot="1" x14ac:dyDescent="0.25">
      <c r="A80" s="23" t="s">
        <v>1556</v>
      </c>
      <c r="B80" s="23" t="s">
        <v>1462</v>
      </c>
      <c r="C80" s="23" t="s">
        <v>20</v>
      </c>
      <c r="D80" s="24" t="s">
        <v>42</v>
      </c>
      <c r="E80" s="24" t="s">
        <v>181</v>
      </c>
      <c r="F80" s="24" t="s">
        <v>43</v>
      </c>
      <c r="G80" s="24" t="s">
        <v>13</v>
      </c>
      <c r="H80" s="24" t="s">
        <v>166</v>
      </c>
      <c r="I80" s="24"/>
      <c r="J80" s="23" t="s">
        <v>1468</v>
      </c>
      <c r="K80" s="23" t="s">
        <v>1503</v>
      </c>
    </row>
    <row r="81" spans="1:11" ht="13.8" thickBot="1" x14ac:dyDescent="0.25">
      <c r="A81" s="23" t="s">
        <v>1557</v>
      </c>
      <c r="B81" s="23" t="s">
        <v>1462</v>
      </c>
      <c r="C81" s="23" t="s">
        <v>21</v>
      </c>
      <c r="D81" s="24" t="s">
        <v>42</v>
      </c>
      <c r="E81" s="24" t="s">
        <v>181</v>
      </c>
      <c r="F81" s="24" t="s">
        <v>43</v>
      </c>
      <c r="G81" s="24" t="s">
        <v>13</v>
      </c>
      <c r="H81" s="24" t="s">
        <v>166</v>
      </c>
      <c r="I81" s="24"/>
      <c r="J81" s="23" t="s">
        <v>1483</v>
      </c>
      <c r="K81" s="23" t="s">
        <v>1509</v>
      </c>
    </row>
    <row r="82" spans="1:11" ht="13.8" thickBot="1" x14ac:dyDescent="0.25">
      <c r="A82" s="23" t="s">
        <v>1558</v>
      </c>
      <c r="B82" s="23" t="s">
        <v>1462</v>
      </c>
      <c r="C82" s="23" t="s">
        <v>22</v>
      </c>
      <c r="D82" s="24" t="s">
        <v>42</v>
      </c>
      <c r="E82" s="24" t="s">
        <v>181</v>
      </c>
      <c r="F82" s="24" t="s">
        <v>43</v>
      </c>
      <c r="G82" s="24" t="s">
        <v>13</v>
      </c>
      <c r="H82" s="24" t="s">
        <v>166</v>
      </c>
      <c r="I82" s="24"/>
      <c r="J82" s="23" t="s">
        <v>1492</v>
      </c>
      <c r="K82" s="23" t="s">
        <v>1514</v>
      </c>
    </row>
    <row r="83" spans="1:11" ht="13.8" thickBot="1" x14ac:dyDescent="0.25">
      <c r="A83" s="23" t="s">
        <v>1559</v>
      </c>
      <c r="B83" s="23" t="s">
        <v>1462</v>
      </c>
      <c r="C83" s="23" t="s">
        <v>23</v>
      </c>
      <c r="D83" s="24" t="s">
        <v>42</v>
      </c>
      <c r="E83" s="24" t="s">
        <v>181</v>
      </c>
      <c r="F83" s="24" t="s">
        <v>43</v>
      </c>
      <c r="G83" s="24" t="s">
        <v>13</v>
      </c>
      <c r="H83" s="24" t="s">
        <v>166</v>
      </c>
      <c r="I83" s="24"/>
      <c r="J83" s="23" t="s">
        <v>1496</v>
      </c>
      <c r="K83" s="23" t="s">
        <v>1519</v>
      </c>
    </row>
    <row r="84" spans="1:11" ht="13.8" thickBot="1" x14ac:dyDescent="0.25">
      <c r="A84" s="23" t="s">
        <v>1560</v>
      </c>
      <c r="B84" s="23" t="s">
        <v>1462</v>
      </c>
      <c r="C84" s="23" t="s">
        <v>24</v>
      </c>
      <c r="D84" s="24" t="s">
        <v>52</v>
      </c>
      <c r="E84" s="24" t="s">
        <v>145</v>
      </c>
      <c r="F84" s="24" t="s">
        <v>53</v>
      </c>
      <c r="G84" s="24" t="s">
        <v>13</v>
      </c>
      <c r="H84" s="24" t="s">
        <v>164</v>
      </c>
      <c r="I84" s="24"/>
      <c r="J84" s="23" t="s">
        <v>1503</v>
      </c>
      <c r="K84" s="23" t="s">
        <v>1527</v>
      </c>
    </row>
    <row r="85" spans="1:11" ht="13.8" thickBot="1" x14ac:dyDescent="0.25">
      <c r="A85" s="23" t="s">
        <v>1561</v>
      </c>
      <c r="B85" s="23" t="s">
        <v>1462</v>
      </c>
      <c r="C85" s="23" t="s">
        <v>25</v>
      </c>
      <c r="D85" s="24" t="s">
        <v>203</v>
      </c>
      <c r="E85" s="24" t="s">
        <v>183</v>
      </c>
      <c r="F85" s="24" t="s">
        <v>204</v>
      </c>
      <c r="G85" s="24" t="s">
        <v>13</v>
      </c>
      <c r="H85" s="24" t="s">
        <v>205</v>
      </c>
      <c r="I85" s="24"/>
      <c r="J85" s="23" t="s">
        <v>1509</v>
      </c>
      <c r="K85" s="23" t="s">
        <v>1533</v>
      </c>
    </row>
  </sheetData>
  <mergeCells count="11">
    <mergeCell ref="I1:I2"/>
    <mergeCell ref="J1:J2"/>
    <mergeCell ref="K1:K2"/>
    <mergeCell ref="A1:A2"/>
    <mergeCell ref="E1:E2"/>
    <mergeCell ref="F1:F2"/>
    <mergeCell ref="G1:G2"/>
    <mergeCell ref="H1:H2"/>
    <mergeCell ref="C1:C2"/>
    <mergeCell ref="D1:D2"/>
    <mergeCell ref="B1:B2"/>
  </mergeCells>
  <phoneticPr fontId="2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I328"/>
  <sheetViews>
    <sheetView topLeftCell="A37" workbookViewId="0">
      <selection activeCell="G33" sqref="G33"/>
    </sheetView>
  </sheetViews>
  <sheetFormatPr defaultRowHeight="13.2" x14ac:dyDescent="0.2"/>
  <cols>
    <col min="1" max="1" width="4" bestFit="1" customWidth="1"/>
    <col min="3" max="3" width="14.109375" bestFit="1" customWidth="1"/>
    <col min="4" max="4" width="41.33203125" bestFit="1" customWidth="1"/>
    <col min="5" max="5" width="11.88671875" bestFit="1" customWidth="1"/>
    <col min="6" max="6" width="8.6640625" customWidth="1"/>
    <col min="7" max="7" width="13.109375" bestFit="1" customWidth="1"/>
    <col min="9" max="9" width="14.109375" bestFit="1" customWidth="1"/>
  </cols>
  <sheetData>
    <row r="1" spans="1:9" x14ac:dyDescent="0.2">
      <c r="A1" s="1" t="s">
        <v>61</v>
      </c>
      <c r="B1" s="2" t="s">
        <v>56</v>
      </c>
      <c r="C1" s="1" t="s">
        <v>57</v>
      </c>
      <c r="D1" s="3" t="s">
        <v>58</v>
      </c>
      <c r="E1" s="4" t="s">
        <v>62</v>
      </c>
      <c r="F1" s="5" t="s">
        <v>59</v>
      </c>
      <c r="G1" s="6" t="s">
        <v>63</v>
      </c>
      <c r="H1" s="6"/>
      <c r="I1" s="6" t="s">
        <v>64</v>
      </c>
    </row>
    <row r="2" spans="1:9" s="19" customFormat="1" ht="13.8" thickBot="1" x14ac:dyDescent="0.2">
      <c r="A2" s="11">
        <v>1</v>
      </c>
      <c r="B2" s="7" t="str">
        <f>IFERROR(VLOOKUP(E2,'(新)ﾍﾞﾝﾀﾞｰ中型'!$A$3:$K$187,2,0),"")</f>
        <v>10月 </v>
      </c>
      <c r="C2" s="7" t="str">
        <f>IFERROR(VLOOKUP(E2,'(新)ﾍﾞﾝﾀﾞｰ中型'!$A$3:$K$187,4,0),"")</f>
        <v>HG2204ATC </v>
      </c>
      <c r="D2" s="7" t="str">
        <f>IFERROR(VLOOKUP(E2,'(新)ﾍﾞﾝﾀﾞｰ中型'!$A$3:$K$187,5,0),"")</f>
        <v> 安田技研（株） </v>
      </c>
      <c r="E2" s="23" t="str">
        <f>'(新)ﾍﾞﾝﾀﾞｰ中型'!A3</f>
        <v> HG22404200 </v>
      </c>
      <c r="F2" s="8" t="str">
        <f>IFERROR(VLOOKUP(E2,'(新)ﾍﾞﾝﾀﾞｰ中型'!$A$3:$K$187,8,0),"")</f>
        <v>0F9375 </v>
      </c>
      <c r="G2" s="7" t="str">
        <f>IFERROR(VLOOKUP(E2,'(旧)ﾍﾞﾝﾀﾞｰ中型'!$A$3:$K$200,10,0),"")</f>
        <v>2026/08/25 </v>
      </c>
      <c r="H2" s="12" t="s">
        <v>60</v>
      </c>
      <c r="I2" s="7" t="str">
        <f>IFERROR(VLOOKUP(E2,'(新)ﾍﾞﾝﾀﾞｰ中型'!$A$3:$K$187,10,0),"")</f>
        <v>2026/08/25 </v>
      </c>
    </row>
    <row r="3" spans="1:9" s="19" customFormat="1" ht="13.8" thickBot="1" x14ac:dyDescent="0.2">
      <c r="A3" s="11">
        <v>2</v>
      </c>
      <c r="B3" s="7" t="str">
        <f>IFERROR(VLOOKUP(E3,'(新)ﾍﾞﾝﾀﾞｰ中型'!$A$3:$K$187,2,0),"")</f>
        <v>10月 </v>
      </c>
      <c r="C3" s="7" t="str">
        <f>IFERROR(VLOOKUP(E3,'(新)ﾍﾞﾝﾀﾞｰ中型'!$A$3:$K$187,4,0),"")</f>
        <v>HG2204.EXP </v>
      </c>
      <c r="D3" s="7" t="str">
        <f>IFERROR(VLOOKUP(E3,'(新)ﾍﾞﾝﾀﾞｰ中型'!$A$3:$K$187,5,0),"")</f>
        <v> ＡＭＡＤＡ　ＣＡＮＡＤＡ　ＬＴＤ． </v>
      </c>
      <c r="E3" s="23" t="str">
        <f>'(新)ﾍﾞﾝﾀﾞｰ中型'!A4</f>
        <v> HG22402954 </v>
      </c>
      <c r="F3" s="8" t="str">
        <f>IFERROR(VLOOKUP(E3,'(新)ﾍﾞﾝﾀﾞｰ中型'!$A$3:$K$187,8,0),"")</f>
        <v>0F9379 </v>
      </c>
      <c r="G3" s="7" t="str">
        <f>IFERROR(VLOOKUP(E3,'(旧)ﾍﾞﾝﾀﾞｰ中型'!$A$3:$K$200,10,0),"")</f>
        <v>2026/08/28 </v>
      </c>
      <c r="H3" s="12" t="s">
        <v>60</v>
      </c>
      <c r="I3" s="7" t="str">
        <f>IFERROR(VLOOKUP(E3,'(新)ﾍﾞﾝﾀﾞｰ中型'!$A$3:$K$187,10,0),"")</f>
        <v>2026/08/28 </v>
      </c>
    </row>
    <row r="4" spans="1:9" s="19" customFormat="1" ht="13.8" thickBot="1" x14ac:dyDescent="0.2">
      <c r="A4" s="11">
        <v>3</v>
      </c>
      <c r="B4" s="7" t="str">
        <f>IFERROR(VLOOKUP(E4,'(新)ﾍﾞﾝﾀﾞｰ中型'!$A$3:$K$187,2,0),"")</f>
        <v>10月 </v>
      </c>
      <c r="C4" s="7" t="str">
        <f>IFERROR(VLOOKUP(E4,'(新)ﾍﾞﾝﾀﾞｰ中型'!$A$3:$K$187,4,0),"")</f>
        <v>HG2204.EXP </v>
      </c>
      <c r="D4" s="7" t="str">
        <f>IFERROR(VLOOKUP(E4,'(新)ﾍﾞﾝﾀﾞｰ中型'!$A$3:$K$187,5,0),"")</f>
        <v> ＡＭＡＤＡ　ＡＭＥＲＩＣＡ　ＩＮＣ． </v>
      </c>
      <c r="E4" s="23" t="str">
        <f>'(新)ﾍﾞﾝﾀﾞｰ中型'!A5</f>
        <v> HG22402956 </v>
      </c>
      <c r="F4" s="8" t="str">
        <f>IFERROR(VLOOKUP(E4,'(新)ﾍﾞﾝﾀﾞｰ中型'!$A$3:$K$187,8,0),"")</f>
        <v>0F9379 </v>
      </c>
      <c r="G4" s="7" t="str">
        <f>IFERROR(VLOOKUP(E4,'(旧)ﾍﾞﾝﾀﾞｰ中型'!$A$3:$K$200,10,0),"")</f>
        <v>2026/08/28 </v>
      </c>
      <c r="H4" s="12" t="s">
        <v>60</v>
      </c>
      <c r="I4" s="7" t="str">
        <f>IFERROR(VLOOKUP(E4,'(新)ﾍﾞﾝﾀﾞｰ中型'!$A$3:$K$187,10,0),"")</f>
        <v>2026/08/28 </v>
      </c>
    </row>
    <row r="5" spans="1:9" s="19" customFormat="1" ht="13.8" thickBot="1" x14ac:dyDescent="0.2">
      <c r="A5" s="11">
        <v>4</v>
      </c>
      <c r="B5" s="7" t="str">
        <f>IFERROR(VLOOKUP(E5,'(新)ﾍﾞﾝﾀﾞｰ中型'!$A$3:$K$187,2,0),"")</f>
        <v>10月 </v>
      </c>
      <c r="C5" s="7" t="str">
        <f>IFERROR(VLOOKUP(E5,'(新)ﾍﾞﾝﾀﾞｰ中型'!$A$3:$K$187,4,0),"")</f>
        <v>HG2204ATC </v>
      </c>
      <c r="D5" s="7" t="str">
        <f>IFERROR(VLOOKUP(E5,'(新)ﾍﾞﾝﾀﾞｰ中型'!$A$3:$K$187,5,0),"")</f>
        <v> （株）廣澤精機製作所 </v>
      </c>
      <c r="E5" s="23" t="str">
        <f>'(新)ﾍﾞﾝﾀﾞｰ中型'!A6</f>
        <v> HG22404195 </v>
      </c>
      <c r="F5" s="8" t="str">
        <f>IFERROR(VLOOKUP(E5,'(新)ﾍﾞﾝﾀﾞｰ中型'!$A$3:$K$187,8,0),"")</f>
        <v>0F9375 </v>
      </c>
      <c r="G5" s="7" t="str">
        <f>IFERROR(VLOOKUP(E5,'(旧)ﾍﾞﾝﾀﾞｰ中型'!$A$3:$K$200,10,0),"")</f>
        <v>2026/09/02 </v>
      </c>
      <c r="H5" s="12" t="s">
        <v>60</v>
      </c>
      <c r="I5" s="7" t="str">
        <f>IFERROR(VLOOKUP(E5,'(新)ﾍﾞﾝﾀﾞｰ中型'!$A$3:$K$187,10,0),"")</f>
        <v>2026/09/02 </v>
      </c>
    </row>
    <row r="6" spans="1:9" s="19" customFormat="1" ht="13.8" thickBot="1" x14ac:dyDescent="0.2">
      <c r="A6" s="11">
        <v>5</v>
      </c>
      <c r="B6" s="7" t="str">
        <f>IFERROR(VLOOKUP(E6,'(新)ﾍﾞﾝﾀﾞｰ中型'!$A$3:$K$187,2,0),"")</f>
        <v>10月 </v>
      </c>
      <c r="C6" s="7" t="str">
        <f>IFERROR(VLOOKUP(E6,'(新)ﾍﾞﾝﾀﾞｰ中型'!$A$3:$K$187,4,0),"")</f>
        <v>HG2204.EXP </v>
      </c>
      <c r="D6" s="7" t="str">
        <f>IFERROR(VLOOKUP(E6,'(新)ﾍﾞﾝﾀﾞｰ中型'!$A$3:$K$187,5,0),"")</f>
        <v> 【ACL】Metal Contracting </v>
      </c>
      <c r="E6" s="23" t="str">
        <f>'(新)ﾍﾞﾝﾀﾞｰ中型'!A7</f>
        <v> HG22402952 </v>
      </c>
      <c r="F6" s="8" t="str">
        <f>IFERROR(VLOOKUP(E6,'(新)ﾍﾞﾝﾀﾞｰ中型'!$A$3:$K$187,8,0),"")</f>
        <v>0F9379 </v>
      </c>
      <c r="G6" s="7" t="str">
        <f>IFERROR(VLOOKUP(E6,'(旧)ﾍﾞﾝﾀﾞｰ中型'!$A$3:$K$200,10,0),"")</f>
        <v>2026/09/02 </v>
      </c>
      <c r="H6" s="12" t="s">
        <v>60</v>
      </c>
      <c r="I6" s="7" t="str">
        <f>IFERROR(VLOOKUP(E6,'(新)ﾍﾞﾝﾀﾞｰ中型'!$A$3:$K$187,10,0),"")</f>
        <v>2026/09/02 </v>
      </c>
    </row>
    <row r="7" spans="1:9" s="19" customFormat="1" ht="13.8" thickBot="1" x14ac:dyDescent="0.2">
      <c r="A7" s="11">
        <v>6</v>
      </c>
      <c r="B7" s="7" t="str">
        <f>IFERROR(VLOOKUP(E7,'(新)ﾍﾞﾝﾀﾞｰ中型'!$A$3:$K$187,2,0),"")</f>
        <v>10月 </v>
      </c>
      <c r="C7" s="7" t="str">
        <f>IFERROR(VLOOKUP(E7,'(新)ﾍﾞﾝﾀﾞｰ中型'!$A$3:$K$187,4,0),"")</f>
        <v>HG2204.EXP </v>
      </c>
      <c r="D7" s="7" t="str">
        <f>IFERROR(VLOOKUP(E7,'(新)ﾍﾞﾝﾀﾞｰ中型'!$A$3:$K$187,5,0),"")</f>
        <v> ＡＭＡＤＡ　ＡＭＥＲＩＣＡ　ＩＮＣ． </v>
      </c>
      <c r="E7" s="23" t="str">
        <f>'(新)ﾍﾞﾝﾀﾞｰ中型'!A8</f>
        <v> HG22402955 </v>
      </c>
      <c r="F7" s="8" t="str">
        <f>IFERROR(VLOOKUP(E7,'(新)ﾍﾞﾝﾀﾞｰ中型'!$A$3:$K$187,8,0),"")</f>
        <v>0F9379 </v>
      </c>
      <c r="G7" s="7" t="str">
        <f>IFERROR(VLOOKUP(E7,'(旧)ﾍﾞﾝﾀﾞｰ中型'!$A$3:$K$200,10,0),"")</f>
        <v>2026/09/04 </v>
      </c>
      <c r="H7" s="12" t="s">
        <v>60</v>
      </c>
      <c r="I7" s="7" t="str">
        <f>IFERROR(VLOOKUP(E7,'(新)ﾍﾞﾝﾀﾞｰ中型'!$A$3:$K$187,10,0),"")</f>
        <v>2026/09/04 </v>
      </c>
    </row>
    <row r="8" spans="1:9" s="19" customFormat="1" ht="13.8" thickBot="1" x14ac:dyDescent="0.2">
      <c r="A8" s="11">
        <v>7</v>
      </c>
      <c r="B8" s="7" t="str">
        <f>IFERROR(VLOOKUP(E8,'(新)ﾍﾞﾝﾀﾞｰ中型'!$A$3:$K$187,2,0),"")</f>
        <v>10月 </v>
      </c>
      <c r="C8" s="7" t="str">
        <f>IFERROR(VLOOKUP(E8,'(新)ﾍﾞﾝﾀﾞｰ中型'!$A$3:$K$187,4,0),"")</f>
        <v>HG2204ARM.EXP </v>
      </c>
      <c r="D8" s="7" t="str">
        <f>IFERROR(VLOOKUP(E8,'(新)ﾍﾞﾝﾀﾞｰ中型'!$A$3:$K$187,5,0),"")</f>
        <v> 【ブラジル】PERTO </v>
      </c>
      <c r="E8" s="23" t="str">
        <f>'(新)ﾍﾞﾝﾀﾞｰ中型'!A9</f>
        <v> HG22448034 </v>
      </c>
      <c r="F8" s="8" t="str">
        <f>IFERROR(VLOOKUP(E8,'(新)ﾍﾞﾝﾀﾞｰ中型'!$A$3:$K$187,8,0),"")</f>
        <v>0A9529 </v>
      </c>
      <c r="G8" s="7" t="str">
        <f>IFERROR(VLOOKUP(E8,'(旧)ﾍﾞﾝﾀﾞｰ中型'!$A$3:$K$200,10,0),"")</f>
        <v>2026/09/08 </v>
      </c>
      <c r="H8" s="12" t="s">
        <v>60</v>
      </c>
      <c r="I8" s="7" t="str">
        <f>IFERROR(VLOOKUP(E8,'(新)ﾍﾞﾝﾀﾞｰ中型'!$A$3:$K$187,10,0),"")</f>
        <v>2026/09/08 </v>
      </c>
    </row>
    <row r="9" spans="1:9" s="19" customFormat="1" ht="13.8" thickBot="1" x14ac:dyDescent="0.2">
      <c r="A9" s="11">
        <v>8</v>
      </c>
      <c r="B9" s="7" t="str">
        <f>IFERROR(VLOOKUP(E9,'(新)ﾍﾞﾝﾀﾞｰ中型'!$A$3:$K$187,2,0),"")</f>
        <v>10月 </v>
      </c>
      <c r="C9" s="7" t="str">
        <f>IFERROR(VLOOKUP(E9,'(新)ﾍﾞﾝﾀﾞｰ中型'!$A$3:$K$187,4,0),"")</f>
        <v>HG1703.EXP </v>
      </c>
      <c r="D9" s="7" t="str">
        <f>IFERROR(VLOOKUP(E9,'(新)ﾍﾞﾝﾀﾞｰ中型'!$A$3:$K$187,5,0),"")</f>
        <v> 【ACL】Bercomac </v>
      </c>
      <c r="E9" s="23" t="str">
        <f>'(新)ﾍﾞﾝﾀﾞｰ中型'!A10</f>
        <v> HG17302381 </v>
      </c>
      <c r="F9" s="8" t="str">
        <f>IFERROR(VLOOKUP(E9,'(新)ﾍﾞﾝﾀﾞｰ中型'!$A$3:$K$187,8,0),"")</f>
        <v>0F9376 </v>
      </c>
      <c r="G9" s="7" t="str">
        <f>IFERROR(VLOOKUP(E9,'(旧)ﾍﾞﾝﾀﾞｰ中型'!$A$3:$K$200,10,0),"")</f>
        <v>2026/09/11 </v>
      </c>
      <c r="H9" s="12" t="s">
        <v>60</v>
      </c>
      <c r="I9" s="7" t="str">
        <f>IFERROR(VLOOKUP(E9,'(新)ﾍﾞﾝﾀﾞｰ中型'!$A$3:$K$187,10,0),"")</f>
        <v>2026/09/11 </v>
      </c>
    </row>
    <row r="10" spans="1:9" s="19" customFormat="1" ht="13.8" thickBot="1" x14ac:dyDescent="0.2">
      <c r="A10" s="11">
        <v>9</v>
      </c>
      <c r="B10" s="7" t="str">
        <f>IFERROR(VLOOKUP(E10,'(新)ﾍﾞﾝﾀﾞｰ中型'!$A$3:$K$187,2,0),"")</f>
        <v>10月 </v>
      </c>
      <c r="C10" s="7" t="str">
        <f>IFERROR(VLOOKUP(E10,'(新)ﾍﾞﾝﾀﾞｰ中型'!$A$3:$K$187,4,0),"")</f>
        <v>HG2203.EXP </v>
      </c>
      <c r="D10" s="7" t="str">
        <f>IFERROR(VLOOKUP(E10,'(新)ﾍﾞﾝﾀﾞｰ中型'!$A$3:$K$187,5,0),"")</f>
        <v> ＡＭＡＤＡ　ＡＭＥＲＩＣＡ　ＩＮＣ． </v>
      </c>
      <c r="E10" s="23" t="str">
        <f>'(新)ﾍﾞﾝﾀﾞｰ中型'!A11</f>
        <v> HG22302245 </v>
      </c>
      <c r="F10" s="8" t="str">
        <f>IFERROR(VLOOKUP(E10,'(新)ﾍﾞﾝﾀﾞｰ中型'!$A$3:$K$187,8,0),"")</f>
        <v>0F9378 </v>
      </c>
      <c r="G10" s="7" t="str">
        <f>IFERROR(VLOOKUP(E10,'(旧)ﾍﾞﾝﾀﾞｰ中型'!$A$3:$K$200,10,0),"")</f>
        <v>2026/09/12 </v>
      </c>
      <c r="H10" s="12" t="s">
        <v>60</v>
      </c>
      <c r="I10" s="7" t="str">
        <f>IFERROR(VLOOKUP(E10,'(新)ﾍﾞﾝﾀﾞｰ中型'!$A$3:$K$187,10,0),"")</f>
        <v>2026/09/12 </v>
      </c>
    </row>
    <row r="11" spans="1:9" s="19" customFormat="1" ht="13.8" thickBot="1" x14ac:dyDescent="0.2">
      <c r="A11" s="11">
        <v>10</v>
      </c>
      <c r="B11" s="7" t="str">
        <f>IFERROR(VLOOKUP(E11,'(新)ﾍﾞﾝﾀﾞｰ中型'!$A$3:$K$187,2,0),"")</f>
        <v>10月 </v>
      </c>
      <c r="C11" s="7" t="str">
        <f>IFERROR(VLOOKUP(E11,'(新)ﾍﾞﾝﾀﾞｰ中型'!$A$3:$K$187,4,0),"")</f>
        <v>HG1704 </v>
      </c>
      <c r="D11" s="7" t="str">
        <f>IFERROR(VLOOKUP(E11,'(新)ﾍﾞﾝﾀﾞｰ中型'!$A$3:$K$187,5,0),"")</f>
        <v> （株）平島 </v>
      </c>
      <c r="E11" s="23" t="str">
        <f>'(新)ﾍﾞﾝﾀﾞｰ中型'!A12</f>
        <v> HG17402207 </v>
      </c>
      <c r="F11" s="8" t="str">
        <f>IFERROR(VLOOKUP(E11,'(新)ﾍﾞﾝﾀﾞｰ中型'!$A$3:$K$187,8,0),"")</f>
        <v>0F9263 </v>
      </c>
      <c r="G11" s="7" t="str">
        <f>IFERROR(VLOOKUP(E11,'(旧)ﾍﾞﾝﾀﾞｰ中型'!$A$3:$K$200,10,0),"")</f>
        <v>2026/09/15 </v>
      </c>
      <c r="H11" s="12" t="s">
        <v>60</v>
      </c>
      <c r="I11" s="7" t="str">
        <f>IFERROR(VLOOKUP(E11,'(新)ﾍﾞﾝﾀﾞｰ中型'!$A$3:$K$187,10,0),"")</f>
        <v>2026/09/15 </v>
      </c>
    </row>
    <row r="12" spans="1:9" s="19" customFormat="1" ht="13.8" thickBot="1" x14ac:dyDescent="0.2">
      <c r="A12" s="11">
        <v>11</v>
      </c>
      <c r="B12" s="7" t="str">
        <f>IFERROR(VLOOKUP(E12,'(新)ﾍﾞﾝﾀﾞｰ中型'!$A$3:$K$187,2,0),"")</f>
        <v>10月 </v>
      </c>
      <c r="C12" s="7" t="str">
        <f>IFERROR(VLOOKUP(E12,'(新)ﾍﾞﾝﾀﾞｰ中型'!$A$3:$K$187,4,0),"")</f>
        <v>HG2204.EXP </v>
      </c>
      <c r="D12" s="7" t="str">
        <f>IFERROR(VLOOKUP(E12,'(新)ﾍﾞﾝﾀﾞｰ中型'!$A$3:$K$187,5,0),"")</f>
        <v> Bao Tien Industrial Company </v>
      </c>
      <c r="E12" s="23" t="str">
        <f>'(新)ﾍﾞﾝﾀﾞｰ中型'!A13</f>
        <v> HG22402957 </v>
      </c>
      <c r="F12" s="8" t="str">
        <f>IFERROR(VLOOKUP(E12,'(新)ﾍﾞﾝﾀﾞｰ中型'!$A$3:$K$187,8,0),"")</f>
        <v>0F9379 </v>
      </c>
      <c r="G12" s="7" t="str">
        <f>IFERROR(VLOOKUP(E12,'(旧)ﾍﾞﾝﾀﾞｰ中型'!$A$3:$K$200,10,0),"")</f>
        <v>2026/09/15 </v>
      </c>
      <c r="H12" s="12" t="s">
        <v>60</v>
      </c>
      <c r="I12" s="7" t="str">
        <f>IFERROR(VLOOKUP(E12,'(新)ﾍﾞﾝﾀﾞｰ中型'!$A$3:$K$187,10,0),"")</f>
        <v>2026/09/15 </v>
      </c>
    </row>
    <row r="13" spans="1:9" s="19" customFormat="1" ht="13.8" thickBot="1" x14ac:dyDescent="0.2">
      <c r="A13" s="11">
        <v>12</v>
      </c>
      <c r="B13" s="7" t="str">
        <f>IFERROR(VLOOKUP(E13,'(新)ﾍﾞﾝﾀﾞｰ中型'!$A$3:$K$187,2,0),"")</f>
        <v>10月 </v>
      </c>
      <c r="C13" s="7" t="str">
        <f>IFERROR(VLOOKUP(E13,'(新)ﾍﾞﾝﾀﾞｰ中型'!$A$3:$K$187,4,0),"")</f>
        <v>HG2204 </v>
      </c>
      <c r="D13" s="7" t="str">
        <f>IFERROR(VLOOKUP(E13,'(新)ﾍﾞﾝﾀﾞｰ中型'!$A$3:$K$187,5,0),"")</f>
        <v> （株）アマダベンディングＳ部 </v>
      </c>
      <c r="E13" s="23" t="str">
        <f>'(新)ﾍﾞﾝﾀﾞｰ中型'!A14</f>
        <v> HG22402961 </v>
      </c>
      <c r="F13" s="8" t="str">
        <f>IFERROR(VLOOKUP(E13,'(新)ﾍﾞﾝﾀﾞｰ中型'!$A$3:$K$187,8,0),"")</f>
        <v>0F9374 </v>
      </c>
      <c r="G13" s="7" t="str">
        <f>IFERROR(VLOOKUP(E13,'(旧)ﾍﾞﾝﾀﾞｰ中型'!$A$3:$K$200,10,0),"")</f>
        <v>2026/09/25 </v>
      </c>
      <c r="H13" s="12" t="s">
        <v>60</v>
      </c>
      <c r="I13" s="7" t="str">
        <f>IFERROR(VLOOKUP(E13,'(新)ﾍﾞﾝﾀﾞｰ中型'!$A$3:$K$187,10,0),"")</f>
        <v>2026/09/25 </v>
      </c>
    </row>
    <row r="14" spans="1:9" s="19" customFormat="1" ht="13.8" thickBot="1" x14ac:dyDescent="0.2">
      <c r="A14" s="11">
        <v>13</v>
      </c>
      <c r="B14" s="7" t="str">
        <f>IFERROR(VLOOKUP(E14,'(新)ﾍﾞﾝﾀﾞｰ中型'!$A$3:$K$187,2,0),"")</f>
        <v>10月 </v>
      </c>
      <c r="C14" s="7" t="str">
        <f>IFERROR(VLOOKUP(E14,'(新)ﾍﾞﾝﾀﾞｰ中型'!$A$3:$K$187,4,0),"")</f>
        <v>HG2204.EXP </v>
      </c>
      <c r="D14" s="7" t="str">
        <f>IFERROR(VLOOKUP(E14,'(新)ﾍﾞﾝﾀﾞｰ中型'!$A$3:$K$187,5,0),"")</f>
        <v> 【CHINA】Delta </v>
      </c>
      <c r="E14" s="23" t="str">
        <f>'(新)ﾍﾞﾝﾀﾞｰ中型'!A15</f>
        <v> HG22402962 </v>
      </c>
      <c r="F14" s="8" t="str">
        <f>IFERROR(VLOOKUP(E14,'(新)ﾍﾞﾝﾀﾞｰ中型'!$A$3:$K$187,8,0),"")</f>
        <v>0F9379 </v>
      </c>
      <c r="G14" s="7" t="str">
        <f>IFERROR(VLOOKUP(E14,'(旧)ﾍﾞﾝﾀﾞｰ中型'!$A$3:$K$200,10,0),"")</f>
        <v>2026/09/30 </v>
      </c>
      <c r="H14" s="12" t="s">
        <v>60</v>
      </c>
      <c r="I14" s="7" t="str">
        <f>IFERROR(VLOOKUP(E14,'(新)ﾍﾞﾝﾀﾞｰ中型'!$A$3:$K$187,10,0),"")</f>
        <v>2026/09/30 </v>
      </c>
    </row>
    <row r="15" spans="1:9" s="19" customFormat="1" ht="13.8" thickBot="1" x14ac:dyDescent="0.2">
      <c r="A15" s="11">
        <v>14</v>
      </c>
      <c r="B15" s="7" t="str">
        <f>IFERROR(VLOOKUP(E15,'(新)ﾍﾞﾝﾀﾞｰ中型'!$A$3:$K$187,2,0),"")</f>
        <v>10月 </v>
      </c>
      <c r="C15" s="7" t="str">
        <f>IFERROR(VLOOKUP(E15,'(新)ﾍﾞﾝﾀﾞｰ中型'!$A$3:$K$187,4,0),"")</f>
        <v>HG2204.EXP </v>
      </c>
      <c r="D15" s="7" t="str">
        <f>IFERROR(VLOOKUP(E15,'(新)ﾍﾞﾝﾀﾞｰ中型'!$A$3:$K$187,5,0),"")</f>
        <v> 【CHINA】Delta </v>
      </c>
      <c r="E15" s="23" t="str">
        <f>'(新)ﾍﾞﾝﾀﾞｰ中型'!A16</f>
        <v> HG22402963 </v>
      </c>
      <c r="F15" s="8" t="str">
        <f>IFERROR(VLOOKUP(E15,'(新)ﾍﾞﾝﾀﾞｰ中型'!$A$3:$K$187,8,0),"")</f>
        <v>0F9379 </v>
      </c>
      <c r="G15" s="7" t="str">
        <f>IFERROR(VLOOKUP(E15,'(旧)ﾍﾞﾝﾀﾞｰ中型'!$A$3:$K$200,10,0),"")</f>
        <v>2026/09/30 </v>
      </c>
      <c r="H15" s="12" t="s">
        <v>60</v>
      </c>
      <c r="I15" s="7" t="str">
        <f>IFERROR(VLOOKUP(E15,'(新)ﾍﾞﾝﾀﾞｰ中型'!$A$3:$K$187,10,0),"")</f>
        <v>2026/09/30 </v>
      </c>
    </row>
    <row r="16" spans="1:9" s="19" customFormat="1" ht="13.8" thickBot="1" x14ac:dyDescent="0.2">
      <c r="A16" s="11">
        <v>15</v>
      </c>
      <c r="B16" s="7" t="str">
        <f>IFERROR(VLOOKUP(E16,'(新)ﾍﾞﾝﾀﾞｰ中型'!$A$3:$K$187,2,0),"")</f>
        <v>10月 </v>
      </c>
      <c r="C16" s="7" t="str">
        <f>IFERROR(VLOOKUP(E16,'(新)ﾍﾞﾝﾀﾞｰ中型'!$A$3:$K$187,4,0),"")</f>
        <v>HG2203 </v>
      </c>
      <c r="D16" s="7" t="str">
        <f>IFERROR(VLOOKUP(E16,'(新)ﾍﾞﾝﾀﾞｰ中型'!$A$3:$K$187,5,0),"")</f>
        <v> ＩＭＣ（株） </v>
      </c>
      <c r="E16" s="23" t="str">
        <f>'(新)ﾍﾞﾝﾀﾞｰ中型'!A17</f>
        <v> HG22302246 </v>
      </c>
      <c r="F16" s="8" t="str">
        <f>IFERROR(VLOOKUP(E16,'(新)ﾍﾞﾝﾀﾞｰ中型'!$A$3:$K$187,8,0),"")</f>
        <v>0F9373 </v>
      </c>
      <c r="G16" s="7" t="str">
        <f>IFERROR(VLOOKUP(E16,'(旧)ﾍﾞﾝﾀﾞｰ中型'!$A$3:$K$200,10,0),"")</f>
        <v>2026/10/02 </v>
      </c>
      <c r="H16" s="12" t="s">
        <v>60</v>
      </c>
      <c r="I16" s="7" t="str">
        <f>IFERROR(VLOOKUP(E16,'(新)ﾍﾞﾝﾀﾞｰ中型'!$A$3:$K$187,10,0),"")</f>
        <v>2026/10/02 </v>
      </c>
    </row>
    <row r="17" spans="1:9" s="19" customFormat="1" ht="13.8" thickBot="1" x14ac:dyDescent="0.2">
      <c r="A17" s="11">
        <v>16</v>
      </c>
      <c r="B17" s="7" t="str">
        <f>IFERROR(VLOOKUP(E17,'(新)ﾍﾞﾝﾀﾞｰ中型'!$A$3:$K$187,2,0),"")</f>
        <v>10月 </v>
      </c>
      <c r="C17" s="7" t="str">
        <f>IFERROR(VLOOKUP(E17,'(新)ﾍﾞﾝﾀﾞｰ中型'!$A$3:$K$187,4,0),"")</f>
        <v>HG2203 </v>
      </c>
      <c r="D17" s="7" t="str">
        <f>IFERROR(VLOOKUP(E17,'(新)ﾍﾞﾝﾀﾞｰ中型'!$A$3:$K$187,5,0),"")</f>
        <v> （株）シンコー </v>
      </c>
      <c r="E17" s="23" t="str">
        <f>'(新)ﾍﾞﾝﾀﾞｰ中型'!A18</f>
        <v> HG22302247 </v>
      </c>
      <c r="F17" s="8" t="str">
        <f>IFERROR(VLOOKUP(E17,'(新)ﾍﾞﾝﾀﾞｰ中型'!$A$3:$K$187,8,0),"")</f>
        <v>0F9373 </v>
      </c>
      <c r="G17" s="7" t="str">
        <f>IFERROR(VLOOKUP(E17,'(旧)ﾍﾞﾝﾀﾞｰ中型'!$A$3:$K$200,10,0),"")</f>
        <v>2026/10/02 </v>
      </c>
      <c r="H17" s="12" t="s">
        <v>60</v>
      </c>
      <c r="I17" s="7" t="str">
        <f>IFERROR(VLOOKUP(E17,'(新)ﾍﾞﾝﾀﾞｰ中型'!$A$3:$K$187,10,0),"")</f>
        <v>2026/10/02 </v>
      </c>
    </row>
    <row r="18" spans="1:9" s="19" customFormat="1" ht="13.8" thickBot="1" x14ac:dyDescent="0.2">
      <c r="A18" s="11">
        <v>17</v>
      </c>
      <c r="B18" s="7" t="str">
        <f>IFERROR(VLOOKUP(E18,'(新)ﾍﾞﾝﾀﾞｰ中型'!$A$3:$K$187,2,0),"")</f>
        <v>10月 </v>
      </c>
      <c r="C18" s="7" t="str">
        <f>IFERROR(VLOOKUP(E18,'(新)ﾍﾞﾝﾀﾞｰ中型'!$A$3:$K$187,4,0),"")</f>
        <v>HG1703 </v>
      </c>
      <c r="D18" s="7" t="str">
        <f>IFERROR(VLOOKUP(E18,'(新)ﾍﾞﾝﾀﾞｰ中型'!$A$3:$K$187,5,0),"")</f>
        <v> （株）日立アイイーシステム </v>
      </c>
      <c r="E18" s="23" t="str">
        <f>'(新)ﾍﾞﾝﾀﾞｰ中型'!A19</f>
        <v> HG17302383 </v>
      </c>
      <c r="F18" s="8" t="str">
        <f>IFERROR(VLOOKUP(E18,'(新)ﾍﾞﾝﾀﾞｰ中型'!$A$3:$K$187,8,0),"")</f>
        <v>0F9262 </v>
      </c>
      <c r="G18" s="7" t="str">
        <f>IFERROR(VLOOKUP(E18,'(旧)ﾍﾞﾝﾀﾞｰ中型'!$A$3:$K$200,10,0),"")</f>
        <v>2026/10/10 </v>
      </c>
      <c r="H18" s="12" t="s">
        <v>60</v>
      </c>
      <c r="I18" s="7" t="str">
        <f>IFERROR(VLOOKUP(E18,'(新)ﾍﾞﾝﾀﾞｰ中型'!$A$3:$K$187,10,0),"")</f>
        <v>2026/10/10 </v>
      </c>
    </row>
    <row r="19" spans="1:9" s="19" customFormat="1" ht="13.8" thickBot="1" x14ac:dyDescent="0.2">
      <c r="A19" s="11">
        <v>18</v>
      </c>
      <c r="B19" s="7" t="str">
        <f>IFERROR(VLOOKUP(E19,'(新)ﾍﾞﾝﾀﾞｰ中型'!$A$3:$K$187,2,0),"")</f>
        <v>10月 </v>
      </c>
      <c r="C19" s="7" t="str">
        <f>IFERROR(VLOOKUP(E19,'(新)ﾍﾞﾝﾀﾞｰ中型'!$A$3:$K$187,4,0),"")</f>
        <v>HG2204.EXP </v>
      </c>
      <c r="D19" s="7" t="str">
        <f>IFERROR(VLOOKUP(E19,'(新)ﾍﾞﾝﾀﾞｰ中型'!$A$3:$K$187,5,0),"")</f>
        <v> ＡＭＡＤＡ　ＡＭＥＲＩＣＡ　ＩＮＣ． </v>
      </c>
      <c r="E19" s="23" t="str">
        <f>'(新)ﾍﾞﾝﾀﾞｰ中型'!A20</f>
        <v> HG22402969 </v>
      </c>
      <c r="F19" s="8" t="str">
        <f>IFERROR(VLOOKUP(E19,'(新)ﾍﾞﾝﾀﾞｰ中型'!$A$3:$K$187,8,0),"")</f>
        <v>0F9379 </v>
      </c>
      <c r="G19" s="7" t="str">
        <f>IFERROR(VLOOKUP(E19,'(旧)ﾍﾞﾝﾀﾞｰ中型'!$A$3:$K$200,10,0),"")</f>
        <v>2026/10/10 </v>
      </c>
      <c r="H19" s="12" t="s">
        <v>60</v>
      </c>
      <c r="I19" s="7" t="str">
        <f>IFERROR(VLOOKUP(E19,'(新)ﾍﾞﾝﾀﾞｰ中型'!$A$3:$K$187,10,0),"")</f>
        <v>2026/10/10 </v>
      </c>
    </row>
    <row r="20" spans="1:9" s="19" customFormat="1" ht="13.8" thickBot="1" x14ac:dyDescent="0.2">
      <c r="A20" s="11">
        <v>19</v>
      </c>
      <c r="B20" s="7" t="str">
        <f>IFERROR(VLOOKUP(E20,'(新)ﾍﾞﾝﾀﾞｰ中型'!$A$3:$K$187,2,0),"")</f>
        <v>10月 </v>
      </c>
      <c r="C20" s="7" t="str">
        <f>IFERROR(VLOOKUP(E20,'(新)ﾍﾞﾝﾀﾞｰ中型'!$A$3:$K$187,4,0),"")</f>
        <v>HG2204.EXP </v>
      </c>
      <c r="D20" s="7" t="str">
        <f>IFERROR(VLOOKUP(E20,'(新)ﾍﾞﾝﾀﾞｰ中型'!$A$3:$K$187,5,0),"")</f>
        <v> ＡＭＡＤＡ　ＡＭＥＲＩＣＡ　ＩＮＣ． </v>
      </c>
      <c r="E20" s="23" t="str">
        <f>'(新)ﾍﾞﾝﾀﾞｰ中型'!A21</f>
        <v> HG22402970 </v>
      </c>
      <c r="F20" s="8" t="str">
        <f>IFERROR(VLOOKUP(E20,'(新)ﾍﾞﾝﾀﾞｰ中型'!$A$3:$K$187,8,0),"")</f>
        <v>0F9379 </v>
      </c>
      <c r="G20" s="7" t="str">
        <f>IFERROR(VLOOKUP(E20,'(旧)ﾍﾞﾝﾀﾞｰ中型'!$A$3:$K$200,10,0),"")</f>
        <v>2026/10/14 </v>
      </c>
      <c r="H20" s="12" t="s">
        <v>60</v>
      </c>
      <c r="I20" s="7" t="str">
        <f>IFERROR(VLOOKUP(E20,'(新)ﾍﾞﾝﾀﾞｰ中型'!$A$3:$K$187,10,0),"")</f>
        <v>2026/10/14 </v>
      </c>
    </row>
    <row r="21" spans="1:9" s="19" customFormat="1" ht="13.8" thickBot="1" x14ac:dyDescent="0.2">
      <c r="A21" s="11">
        <v>20</v>
      </c>
      <c r="B21" s="7" t="str">
        <f>IFERROR(VLOOKUP(E21,'(新)ﾍﾞﾝﾀﾞｰ中型'!$A$3:$K$187,2,0),"")</f>
        <v>10月 </v>
      </c>
      <c r="C21" s="7" t="str">
        <f>IFERROR(VLOOKUP(E21,'(新)ﾍﾞﾝﾀﾞｰ中型'!$A$3:$K$187,4,0),"")</f>
        <v>HG2204.EXP </v>
      </c>
      <c r="D21" s="7" t="str">
        <f>IFERROR(VLOOKUP(E21,'(新)ﾍﾞﾝﾀﾞｰ中型'!$A$3:$K$187,5,0),"")</f>
        <v> ＡＭＡＤＡ　ＣＡＮＡＤＡ　ＬＴＤ． </v>
      </c>
      <c r="E21" s="23" t="str">
        <f>'(新)ﾍﾞﾝﾀﾞｰ中型'!A22</f>
        <v> HG22402971 </v>
      </c>
      <c r="F21" s="8" t="str">
        <f>IFERROR(VLOOKUP(E21,'(新)ﾍﾞﾝﾀﾞｰ中型'!$A$3:$K$187,8,0),"")</f>
        <v>0F9379 </v>
      </c>
      <c r="G21" s="7" t="str">
        <f>IFERROR(VLOOKUP(E21,'(旧)ﾍﾞﾝﾀﾞｰ中型'!$A$3:$K$200,10,0),"")</f>
        <v>2026/10/14 </v>
      </c>
      <c r="H21" s="12" t="s">
        <v>60</v>
      </c>
      <c r="I21" s="7" t="str">
        <f>IFERROR(VLOOKUP(E21,'(新)ﾍﾞﾝﾀﾞｰ中型'!$A$3:$K$187,10,0),"")</f>
        <v>2026/10/14 </v>
      </c>
    </row>
    <row r="22" spans="1:9" s="19" customFormat="1" ht="13.8" thickBot="1" x14ac:dyDescent="0.2">
      <c r="A22" s="11">
        <v>21</v>
      </c>
      <c r="B22" s="7" t="str">
        <f>IFERROR(VLOOKUP(E22,'(新)ﾍﾞﾝﾀﾞｰ中型'!$A$3:$K$187,2,0),"")</f>
        <v>11月 </v>
      </c>
      <c r="C22" s="7" t="str">
        <f>IFERROR(VLOOKUP(E22,'(新)ﾍﾞﾝﾀﾞｰ中型'!$A$3:$K$187,4,0),"")</f>
        <v>HG2204ARM </v>
      </c>
      <c r="D22" s="7" t="str">
        <f>IFERROR(VLOOKUP(E22,'(新)ﾍﾞﾝﾀﾞｰ中型'!$A$3:$K$187,5,0),"")</f>
        <v> （株）徹工業 </v>
      </c>
      <c r="E22" s="23" t="str">
        <f>'(新)ﾍﾞﾝﾀﾞｰ中型'!A23</f>
        <v> HG22448036 </v>
      </c>
      <c r="F22" s="8" t="str">
        <f>IFERROR(VLOOKUP(E22,'(新)ﾍﾞﾝﾀﾞｰ中型'!$A$3:$K$187,8,0),"")</f>
        <v>0A0837 </v>
      </c>
      <c r="G22" s="7" t="str">
        <f>IFERROR(VLOOKUP(E22,'(旧)ﾍﾞﾝﾀﾞｰ中型'!$A$3:$K$200,10,0),"")</f>
        <v>2026/10/23 </v>
      </c>
      <c r="H22" s="12" t="s">
        <v>60</v>
      </c>
      <c r="I22" s="7" t="str">
        <f>IFERROR(VLOOKUP(E22,'(新)ﾍﾞﾝﾀﾞｰ中型'!$A$3:$K$187,10,0),"")</f>
        <v>2026/10/23 </v>
      </c>
    </row>
    <row r="23" spans="1:9" s="19" customFormat="1" ht="13.8" thickBot="1" x14ac:dyDescent="0.2">
      <c r="A23" s="11">
        <v>22</v>
      </c>
      <c r="B23" s="7" t="str">
        <f>IFERROR(VLOOKUP(E23,'(新)ﾍﾞﾝﾀﾞｰ中型'!$A$3:$K$187,2,0),"")</f>
        <v>11月 </v>
      </c>
      <c r="C23" s="7" t="str">
        <f>IFERROR(VLOOKUP(E23,'(新)ﾍﾞﾝﾀﾞｰ中型'!$A$3:$K$187,4,0),"")</f>
        <v>HG2204.EXP </v>
      </c>
      <c r="D23" s="7" t="str">
        <f>IFERROR(VLOOKUP(E23,'(新)ﾍﾞﾝﾀﾞｰ中型'!$A$3:$K$187,5,0),"")</f>
        <v> 【OCEANIA】TEMPERZONE </v>
      </c>
      <c r="E23" s="23" t="str">
        <f>'(新)ﾍﾞﾝﾀﾞｰ中型'!A24</f>
        <v> HG22402958 </v>
      </c>
      <c r="F23" s="8" t="str">
        <f>IFERROR(VLOOKUP(E23,'(新)ﾍﾞﾝﾀﾞｰ中型'!$A$3:$K$187,8,0),"")</f>
        <v>0F9379 </v>
      </c>
      <c r="G23" s="7" t="str">
        <f>IFERROR(VLOOKUP(E23,'(旧)ﾍﾞﾝﾀﾞｰ中型'!$A$3:$K$200,10,0),"")</f>
        <v>2026/10/23 </v>
      </c>
      <c r="H23" s="12" t="s">
        <v>60</v>
      </c>
      <c r="I23" s="7" t="str">
        <f>IFERROR(VLOOKUP(E23,'(新)ﾍﾞﾝﾀﾞｰ中型'!$A$3:$K$187,10,0),"")</f>
        <v>2026/10/23 </v>
      </c>
    </row>
    <row r="24" spans="1:9" s="19" customFormat="1" ht="13.8" thickBot="1" x14ac:dyDescent="0.2">
      <c r="A24" s="11">
        <v>23</v>
      </c>
      <c r="B24" s="7" t="str">
        <f>IFERROR(VLOOKUP(E24,'(新)ﾍﾞﾝﾀﾞｰ中型'!$A$3:$K$187,2,0),"")</f>
        <v>11月 </v>
      </c>
      <c r="C24" s="7" t="str">
        <f>IFERROR(VLOOKUP(E24,'(新)ﾍﾞﾝﾀﾞｰ中型'!$A$3:$K$187,4,0),"")</f>
        <v>HG2204.EXP </v>
      </c>
      <c r="D24" s="7" t="str">
        <f>IFERROR(VLOOKUP(E24,'(新)ﾍﾞﾝﾀﾞｰ中型'!$A$3:$K$187,5,0),"")</f>
        <v> 【CHINA】Delta </v>
      </c>
      <c r="E24" s="23" t="str">
        <f>'(新)ﾍﾞﾝﾀﾞｰ中型'!A25</f>
        <v> HG22402964 </v>
      </c>
      <c r="F24" s="8" t="str">
        <f>IFERROR(VLOOKUP(E24,'(新)ﾍﾞﾝﾀﾞｰ中型'!$A$3:$K$187,8,0),"")</f>
        <v>0F9379 </v>
      </c>
      <c r="G24" s="7" t="str">
        <f>IFERROR(VLOOKUP(E24,'(旧)ﾍﾞﾝﾀﾞｰ中型'!$A$3:$K$200,10,0),"")</f>
        <v>2026/10/28 </v>
      </c>
      <c r="H24" s="12" t="s">
        <v>60</v>
      </c>
      <c r="I24" s="7" t="str">
        <f>IFERROR(VLOOKUP(E24,'(新)ﾍﾞﾝﾀﾞｰ中型'!$A$3:$K$187,10,0),"")</f>
        <v>2026/10/28 </v>
      </c>
    </row>
    <row r="25" spans="1:9" s="19" customFormat="1" ht="13.8" thickBot="1" x14ac:dyDescent="0.2">
      <c r="A25" s="11">
        <v>24</v>
      </c>
      <c r="B25" s="7" t="str">
        <f>IFERROR(VLOOKUP(E25,'(新)ﾍﾞﾝﾀﾞｰ中型'!$A$3:$K$187,2,0),"")</f>
        <v>11月 </v>
      </c>
      <c r="C25" s="7" t="str">
        <f>IFERROR(VLOOKUP(E25,'(新)ﾍﾞﾝﾀﾞｰ中型'!$A$3:$K$187,4,0),"")</f>
        <v>HG2204.EXP </v>
      </c>
      <c r="D25" s="7" t="str">
        <f>IFERROR(VLOOKUP(E25,'(新)ﾍﾞﾝﾀﾞｰ中型'!$A$3:$K$187,5,0),"")</f>
        <v> 【CHINA】Delta </v>
      </c>
      <c r="E25" s="23" t="str">
        <f>'(新)ﾍﾞﾝﾀﾞｰ中型'!A26</f>
        <v> HG22402965 </v>
      </c>
      <c r="F25" s="8" t="str">
        <f>IFERROR(VLOOKUP(E25,'(新)ﾍﾞﾝﾀﾞｰ中型'!$A$3:$K$187,8,0),"")</f>
        <v>0F9379 </v>
      </c>
      <c r="G25" s="7" t="str">
        <f>IFERROR(VLOOKUP(E25,'(旧)ﾍﾞﾝﾀﾞｰ中型'!$A$3:$K$200,10,0),"")</f>
        <v>2026/10/28 </v>
      </c>
      <c r="H25" s="12" t="s">
        <v>60</v>
      </c>
      <c r="I25" s="7" t="str">
        <f>IFERROR(VLOOKUP(E25,'(新)ﾍﾞﾝﾀﾞｰ中型'!$A$3:$K$187,10,0),"")</f>
        <v>2026/10/28 </v>
      </c>
    </row>
    <row r="26" spans="1:9" s="19" customFormat="1" ht="13.8" thickBot="1" x14ac:dyDescent="0.2">
      <c r="A26" s="11">
        <v>25</v>
      </c>
      <c r="B26" s="7" t="str">
        <f>IFERROR(VLOOKUP(E26,'(新)ﾍﾞﾝﾀﾞｰ中型'!$A$3:$K$187,2,0),"")</f>
        <v>11月 </v>
      </c>
      <c r="C26" s="7" t="str">
        <f>IFERROR(VLOOKUP(E26,'(新)ﾍﾞﾝﾀﾞｰ中型'!$A$3:$K$187,4,0),"")</f>
        <v>HG2204.EXP </v>
      </c>
      <c r="D26" s="7" t="str">
        <f>IFERROR(VLOOKUP(E26,'(新)ﾍﾞﾝﾀﾞｰ中型'!$A$3:$K$187,5,0),"")</f>
        <v> 【AAI】Delta </v>
      </c>
      <c r="E26" s="23" t="str">
        <f>'(新)ﾍﾞﾝﾀﾞｰ中型'!A27</f>
        <v> HG22402966 </v>
      </c>
      <c r="F26" s="8" t="str">
        <f>IFERROR(VLOOKUP(E26,'(新)ﾍﾞﾝﾀﾞｰ中型'!$A$3:$K$187,8,0),"")</f>
        <v>0F9379 </v>
      </c>
      <c r="G26" s="7" t="str">
        <f>IFERROR(VLOOKUP(E26,'(旧)ﾍﾞﾝﾀﾞｰ中型'!$A$3:$K$200,10,0),"")</f>
        <v>2026/10/30 </v>
      </c>
      <c r="H26" s="12" t="s">
        <v>60</v>
      </c>
      <c r="I26" s="7" t="str">
        <f>IFERROR(VLOOKUP(E26,'(新)ﾍﾞﾝﾀﾞｰ中型'!$A$3:$K$187,10,0),"")</f>
        <v>2026/10/30 </v>
      </c>
    </row>
    <row r="27" spans="1:9" s="19" customFormat="1" ht="13.8" thickBot="1" x14ac:dyDescent="0.2">
      <c r="A27" s="11">
        <v>26</v>
      </c>
      <c r="B27" s="7" t="str">
        <f>IFERROR(VLOOKUP(E27,'(新)ﾍﾞﾝﾀﾞｰ中型'!$A$3:$K$187,2,0),"")</f>
        <v>11月 </v>
      </c>
      <c r="C27" s="7" t="str">
        <f>IFERROR(VLOOKUP(E27,'(新)ﾍﾞﾝﾀﾞｰ中型'!$A$3:$K$187,4,0),"")</f>
        <v>HG2204.EXP </v>
      </c>
      <c r="D27" s="7" t="str">
        <f>IFERROR(VLOOKUP(E27,'(新)ﾍﾞﾝﾀﾞｰ中型'!$A$3:$K$187,5,0),"")</f>
        <v> 【AAI】Delta </v>
      </c>
      <c r="E27" s="23" t="str">
        <f>'(新)ﾍﾞﾝﾀﾞｰ中型'!A28</f>
        <v> HG22402967 </v>
      </c>
      <c r="F27" s="8" t="str">
        <f>IFERROR(VLOOKUP(E27,'(新)ﾍﾞﾝﾀﾞｰ中型'!$A$3:$K$187,8,0),"")</f>
        <v>0F9379 </v>
      </c>
      <c r="G27" s="7" t="str">
        <f>IFERROR(VLOOKUP(E27,'(旧)ﾍﾞﾝﾀﾞｰ中型'!$A$3:$K$200,10,0),"")</f>
        <v>2026/10/30 </v>
      </c>
      <c r="H27" s="12" t="s">
        <v>60</v>
      </c>
      <c r="I27" s="7" t="str">
        <f>IFERROR(VLOOKUP(E27,'(新)ﾍﾞﾝﾀﾞｰ中型'!$A$3:$K$187,10,0),"")</f>
        <v>2026/10/30 </v>
      </c>
    </row>
    <row r="28" spans="1:9" s="19" customFormat="1" ht="13.8" thickBot="1" x14ac:dyDescent="0.2">
      <c r="A28" s="11">
        <v>27</v>
      </c>
      <c r="B28" s="7" t="str">
        <f>IFERROR(VLOOKUP(E28,'(新)ﾍﾞﾝﾀﾞｰ中型'!$A$3:$K$187,2,0),"")</f>
        <v>11月 </v>
      </c>
      <c r="C28" s="7" t="str">
        <f>IFERROR(VLOOKUP(E28,'(新)ﾍﾞﾝﾀﾞｰ中型'!$A$3:$K$187,4,0),"")</f>
        <v>HG2204ATC.EXP </v>
      </c>
      <c r="D28" s="7" t="str">
        <f>IFERROR(VLOOKUP(E28,'(新)ﾍﾞﾝﾀﾞｰ中型'!$A$3:$K$187,5,0),"")</f>
        <v> ＡＭＡＤＡ　ＡＭＥＲＩＣＡ　ＩＮＣ． </v>
      </c>
      <c r="E28" s="23" t="str">
        <f>'(新)ﾍﾞﾝﾀﾞｰ中型'!A29</f>
        <v> HG22404201 </v>
      </c>
      <c r="F28" s="8" t="str">
        <f>IFERROR(VLOOKUP(E28,'(新)ﾍﾞﾝﾀﾞｰ中型'!$A$3:$K$187,8,0),"")</f>
        <v>0F9380 </v>
      </c>
      <c r="G28" s="7" t="str">
        <f>IFERROR(VLOOKUP(E28,'(旧)ﾍﾞﾝﾀﾞｰ中型'!$A$3:$K$200,10,0),"")</f>
        <v>2026/11/04 </v>
      </c>
      <c r="H28" s="12" t="s">
        <v>60</v>
      </c>
      <c r="I28" s="7" t="str">
        <f>IFERROR(VLOOKUP(E28,'(新)ﾍﾞﾝﾀﾞｰ中型'!$A$3:$K$187,10,0),"")</f>
        <v>2026/11/04 </v>
      </c>
    </row>
    <row r="29" spans="1:9" s="19" customFormat="1" ht="13.8" thickBot="1" x14ac:dyDescent="0.2">
      <c r="A29" s="11">
        <v>28</v>
      </c>
      <c r="B29" s="7" t="str">
        <f>IFERROR(VLOOKUP(E29,'(新)ﾍﾞﾝﾀﾞｰ中型'!$A$3:$K$187,2,0),"")</f>
        <v>11月 </v>
      </c>
      <c r="C29" s="7" t="str">
        <f>IFERROR(VLOOKUP(E29,'(新)ﾍﾞﾝﾀﾞｰ中型'!$A$3:$K$187,4,0),"")</f>
        <v>HG2204.EXP </v>
      </c>
      <c r="D29" s="7" t="str">
        <f>IFERROR(VLOOKUP(E29,'(新)ﾍﾞﾝﾀﾞｰ中型'!$A$3:$K$187,5,0),"")</f>
        <v> 【AAI】Delta </v>
      </c>
      <c r="E29" s="23" t="str">
        <f>'(新)ﾍﾞﾝﾀﾞｰ中型'!A30</f>
        <v> HG22402968 </v>
      </c>
      <c r="F29" s="8" t="str">
        <f>IFERROR(VLOOKUP(E29,'(新)ﾍﾞﾝﾀﾞｰ中型'!$A$3:$K$187,8,0),"")</f>
        <v>0F9379 </v>
      </c>
      <c r="G29" s="7" t="str">
        <f>IFERROR(VLOOKUP(E29,'(旧)ﾍﾞﾝﾀﾞｰ中型'!$A$3:$K$200,10,0),"")</f>
        <v>2026/11/04 </v>
      </c>
      <c r="H29" s="12" t="s">
        <v>60</v>
      </c>
      <c r="I29" s="7" t="str">
        <f>IFERROR(VLOOKUP(E29,'(新)ﾍﾞﾝﾀﾞｰ中型'!$A$3:$K$187,10,0),"")</f>
        <v>2026/11/04 </v>
      </c>
    </row>
    <row r="30" spans="1:9" s="19" customFormat="1" ht="13.8" thickBot="1" x14ac:dyDescent="0.2">
      <c r="A30" s="11">
        <v>29</v>
      </c>
      <c r="B30" s="7" t="str">
        <f>IFERROR(VLOOKUP(E30,'(新)ﾍﾞﾝﾀﾞｰ中型'!$A$3:$K$187,2,0),"")</f>
        <v>11月 </v>
      </c>
      <c r="C30" s="7" t="str">
        <f>IFERROR(VLOOKUP(E30,'(新)ﾍﾞﾝﾀﾞｰ中型'!$A$3:$K$187,4,0),"")</f>
        <v>HG2204.EXP </v>
      </c>
      <c r="D30" s="7" t="str">
        <f>IFERROR(VLOOKUP(E30,'(新)ﾍﾞﾝﾀﾞｰ中型'!$A$3:$K$187,5,0),"")</f>
        <v> ＡＭＡＤＡ　ＡＭＥＲＩＣＡ　ＩＮＣ． </v>
      </c>
      <c r="E30" s="23" t="str">
        <f>'(新)ﾍﾞﾝﾀﾞｰ中型'!A31</f>
        <v> HG22402959 </v>
      </c>
      <c r="F30" s="8" t="str">
        <f>IFERROR(VLOOKUP(E30,'(新)ﾍﾞﾝﾀﾞｰ中型'!$A$3:$K$187,8,0),"")</f>
        <v>0F9379 </v>
      </c>
      <c r="G30" s="7" t="str">
        <f>IFERROR(VLOOKUP(E30,'(旧)ﾍﾞﾝﾀﾞｰ中型'!$A$3:$K$200,10,0),"")</f>
        <v>2026/11/10 </v>
      </c>
      <c r="H30" s="12" t="s">
        <v>60</v>
      </c>
      <c r="I30" s="7" t="str">
        <f>IFERROR(VLOOKUP(E30,'(新)ﾍﾞﾝﾀﾞｰ中型'!$A$3:$K$187,10,0),"")</f>
        <v>2026/11/10 </v>
      </c>
    </row>
    <row r="31" spans="1:9" s="19" customFormat="1" ht="13.8" thickBot="1" x14ac:dyDescent="0.2">
      <c r="A31" s="11">
        <v>30</v>
      </c>
      <c r="B31" s="7" t="str">
        <f>IFERROR(VLOOKUP(E31,'(新)ﾍﾞﾝﾀﾞｰ中型'!$A$3:$K$187,2,0),"")</f>
        <v>11月 </v>
      </c>
      <c r="C31" s="7" t="str">
        <f>IFERROR(VLOOKUP(E31,'(新)ﾍﾞﾝﾀﾞｰ中型'!$A$3:$K$187,4,0),"")</f>
        <v>HG2204.EXP </v>
      </c>
      <c r="D31" s="7" t="str">
        <f>IFERROR(VLOOKUP(E31,'(新)ﾍﾞﾝﾀﾞｰ中型'!$A$3:$K$187,5,0),"")</f>
        <v> ＡＭＡＤＡ　ＣＡＮＡＤＡ　ＬＴＤ． </v>
      </c>
      <c r="E31" s="23" t="str">
        <f>'(新)ﾍﾞﾝﾀﾞｰ中型'!A32</f>
        <v> HG22402960 </v>
      </c>
      <c r="F31" s="8" t="str">
        <f>IFERROR(VLOOKUP(E31,'(新)ﾍﾞﾝﾀﾞｰ中型'!$A$3:$K$187,8,0),"")</f>
        <v>0F9379 </v>
      </c>
      <c r="G31" s="7" t="str">
        <f>IFERROR(VLOOKUP(E31,'(旧)ﾍﾞﾝﾀﾞｰ中型'!$A$3:$K$200,10,0),"")</f>
        <v>2026/11/10 </v>
      </c>
      <c r="H31" s="12" t="s">
        <v>60</v>
      </c>
      <c r="I31" s="7" t="str">
        <f>IFERROR(VLOOKUP(E31,'(新)ﾍﾞﾝﾀﾞｰ中型'!$A$3:$K$187,10,0),"")</f>
        <v>2026/11/10 </v>
      </c>
    </row>
    <row r="32" spans="1:9" s="19" customFormat="1" ht="13.8" thickBot="1" x14ac:dyDescent="0.2">
      <c r="A32" s="11">
        <v>31</v>
      </c>
      <c r="B32" s="7" t="str">
        <f>IFERROR(VLOOKUP(E32,'(新)ﾍﾞﾝﾀﾞｰ中型'!$A$3:$K$187,2,0),"")</f>
        <v>11月 </v>
      </c>
      <c r="C32" s="7" t="str">
        <f>IFERROR(VLOOKUP(E32,'(新)ﾍﾞﾝﾀﾞｰ中型'!$A$3:$K$187,4,0),"")</f>
        <v>HG2203 </v>
      </c>
      <c r="D32" s="7" t="str">
        <f>IFERROR(VLOOKUP(E32,'(新)ﾍﾞﾝﾀﾞｰ中型'!$A$3:$K$187,5,0),"")</f>
        <v> （有）共伸テクニカル </v>
      </c>
      <c r="E32" s="23" t="str">
        <f>'(新)ﾍﾞﾝﾀﾞｰ中型'!A33</f>
        <v> HG22302248 </v>
      </c>
      <c r="F32" s="8" t="str">
        <f>IFERROR(VLOOKUP(E32,'(新)ﾍﾞﾝﾀﾞｰ中型'!$A$3:$K$187,8,0),"")</f>
        <v>0F9373 </v>
      </c>
      <c r="G32" s="7" t="str">
        <f>IFERROR(VLOOKUP(E32,'(旧)ﾍﾞﾝﾀﾞｰ中型'!$A$3:$K$200,10,0),"")</f>
        <v>2026/11/13 </v>
      </c>
      <c r="H32" s="12" t="s">
        <v>60</v>
      </c>
      <c r="I32" s="7" t="str">
        <f>IFERROR(VLOOKUP(E32,'(新)ﾍﾞﾝﾀﾞｰ中型'!$A$3:$K$187,10,0),"")</f>
        <v>2026/11/13 </v>
      </c>
    </row>
    <row r="33" spans="1:9" s="19" customFormat="1" ht="13.8" thickBot="1" x14ac:dyDescent="0.2">
      <c r="A33" s="11">
        <v>32</v>
      </c>
      <c r="B33" s="7" t="str">
        <f>IFERROR(VLOOKUP(E33,'(新)ﾍﾞﾝﾀﾞｰ中型'!$A$3:$K$187,2,0),"")</f>
        <v>11月 </v>
      </c>
      <c r="C33" s="7" t="str">
        <f>IFERROR(VLOOKUP(E33,'(新)ﾍﾞﾝﾀﾞｰ中型'!$A$3:$K$187,4,0),"")</f>
        <v>HG2203 </v>
      </c>
      <c r="D33" s="7" t="str">
        <f>IFERROR(VLOOKUP(E33,'(新)ﾍﾞﾝﾀﾞｰ中型'!$A$3:$K$187,5,0),"")</f>
        <v> （株）日越工業 </v>
      </c>
      <c r="E33" s="23" t="str">
        <f>'(新)ﾍﾞﾝﾀﾞｰ中型'!A34</f>
        <v> HG22302249 </v>
      </c>
      <c r="F33" s="8" t="str">
        <f>IFERROR(VLOOKUP(E33,'(新)ﾍﾞﾝﾀﾞｰ中型'!$A$3:$K$187,8,0),"")</f>
        <v>0F9373 </v>
      </c>
      <c r="G33" s="7" t="str">
        <f>IFERROR(VLOOKUP(E33,'(旧)ﾍﾞﾝﾀﾞｰ中型'!$A$3:$K$200,10,0),"")</f>
        <v>2026/11/13 </v>
      </c>
      <c r="H33" s="12" t="s">
        <v>60</v>
      </c>
      <c r="I33" s="7" t="str">
        <f>IFERROR(VLOOKUP(E33,'(新)ﾍﾞﾝﾀﾞｰ中型'!$A$3:$K$187,10,0),"")</f>
        <v>2026/11/13 </v>
      </c>
    </row>
    <row r="34" spans="1:9" s="19" customFormat="1" ht="13.8" thickBot="1" x14ac:dyDescent="0.2">
      <c r="A34" s="11">
        <v>33</v>
      </c>
      <c r="B34" s="7" t="str">
        <f>IFERROR(VLOOKUP(E34,'(新)ﾍﾞﾝﾀﾞｰ中型'!$A$3:$K$187,2,0),"")</f>
        <v>12月 </v>
      </c>
      <c r="C34" s="7" t="str">
        <f>IFERROR(VLOOKUP(E34,'(新)ﾍﾞﾝﾀﾞｰ中型'!$A$3:$K$187,4,0),"")</f>
        <v>HG2204.EXP </v>
      </c>
      <c r="D34" s="7" t="str">
        <f>IFERROR(VLOOKUP(E34,'(新)ﾍﾞﾝﾀﾞｰ中型'!$A$3:$K$187,5,0),"")</f>
        <v> 【ベトナム】Foxconnベトナム </v>
      </c>
      <c r="E34" s="23" t="str">
        <f>'(新)ﾍﾞﾝﾀﾞｰ中型'!A35</f>
        <v> HG22402972 </v>
      </c>
      <c r="F34" s="8" t="str">
        <f>IFERROR(VLOOKUP(E34,'(新)ﾍﾞﾝﾀﾞｰ中型'!$A$3:$K$187,8,0),"")</f>
        <v>0F9379 </v>
      </c>
      <c r="G34" s="7" t="str">
        <f>IFERROR(VLOOKUP(E34,'(旧)ﾍﾞﾝﾀﾞｰ中型'!$A$3:$K$200,10,0),"")</f>
        <v>2026/11/19 </v>
      </c>
      <c r="H34" s="12" t="s">
        <v>60</v>
      </c>
      <c r="I34" s="7" t="str">
        <f>IFERROR(VLOOKUP(E34,'(新)ﾍﾞﾝﾀﾞｰ中型'!$A$3:$K$187,10,0),"")</f>
        <v>2026/11/19 </v>
      </c>
    </row>
    <row r="35" spans="1:9" s="19" customFormat="1" ht="13.8" thickBot="1" x14ac:dyDescent="0.2">
      <c r="A35" s="11">
        <v>34</v>
      </c>
      <c r="B35" s="7" t="str">
        <f>IFERROR(VLOOKUP(E35,'(新)ﾍﾞﾝﾀﾞｰ中型'!$A$3:$K$187,2,0),"")</f>
        <v>12月 </v>
      </c>
      <c r="C35" s="7" t="str">
        <f>IFERROR(VLOOKUP(E35,'(新)ﾍﾞﾝﾀﾞｰ中型'!$A$3:$K$187,4,0),"")</f>
        <v>HG2204ATC.EXP </v>
      </c>
      <c r="D35" s="7" t="str">
        <f>IFERROR(VLOOKUP(E35,'(新)ﾍﾞﾝﾀﾞｰ中型'!$A$3:$K$187,5,0),"")</f>
        <v> ＡＭＡＤＡ　ＣＡＮＡＤＡ　ＬＴＤ． </v>
      </c>
      <c r="E35" s="23" t="str">
        <f>'(新)ﾍﾞﾝﾀﾞｰ中型'!A36</f>
        <v> HG22404203 </v>
      </c>
      <c r="F35" s="8" t="str">
        <f>IFERROR(VLOOKUP(E35,'(新)ﾍﾞﾝﾀﾞｰ中型'!$A$3:$K$187,8,0),"")</f>
        <v>0F9380 </v>
      </c>
      <c r="G35" s="7" t="str">
        <f>IFERROR(VLOOKUP(E35,'(旧)ﾍﾞﾝﾀﾞｰ中型'!$A$3:$K$200,10,0),"")</f>
        <v>2026/11/19 </v>
      </c>
      <c r="H35" s="12" t="s">
        <v>60</v>
      </c>
      <c r="I35" s="7" t="str">
        <f>IFERROR(VLOOKUP(E35,'(新)ﾍﾞﾝﾀﾞｰ中型'!$A$3:$K$187,10,0),"")</f>
        <v>2026/11/19 </v>
      </c>
    </row>
    <row r="36" spans="1:9" s="19" customFormat="1" ht="13.8" thickBot="1" x14ac:dyDescent="0.2">
      <c r="A36" s="11">
        <v>35</v>
      </c>
      <c r="B36" s="7" t="str">
        <f>IFERROR(VLOOKUP(E36,'(新)ﾍﾞﾝﾀﾞｰ中型'!$A$3:$K$187,2,0),"")</f>
        <v>12月 </v>
      </c>
      <c r="C36" s="7" t="str">
        <f>IFERROR(VLOOKUP(E36,'(新)ﾍﾞﾝﾀﾞｰ中型'!$A$3:$K$187,4,0),"")</f>
        <v>HG2204.EXP </v>
      </c>
      <c r="D36" s="7" t="str">
        <f>IFERROR(VLOOKUP(E36,'(新)ﾍﾞﾝﾀﾞｰ中型'!$A$3:$K$187,5,0),"")</f>
        <v> 【ベトナム】Foxconnベトナム </v>
      </c>
      <c r="E36" s="23" t="str">
        <f>'(新)ﾍﾞﾝﾀﾞｰ中型'!A37</f>
        <v> HG22402973 </v>
      </c>
      <c r="F36" s="8" t="str">
        <f>IFERROR(VLOOKUP(E36,'(新)ﾍﾞﾝﾀﾞｰ中型'!$A$3:$K$187,8,0),"")</f>
        <v>0F9379 </v>
      </c>
      <c r="G36" s="7" t="str">
        <f>IFERROR(VLOOKUP(E36,'(旧)ﾍﾞﾝﾀﾞｰ中型'!$A$3:$K$200,10,0),"")</f>
        <v>2026/11/24 </v>
      </c>
      <c r="H36" s="12" t="s">
        <v>60</v>
      </c>
      <c r="I36" s="7" t="str">
        <f>IFERROR(VLOOKUP(E36,'(新)ﾍﾞﾝﾀﾞｰ中型'!$A$3:$K$187,10,0),"")</f>
        <v>2026/11/24 </v>
      </c>
    </row>
    <row r="37" spans="1:9" s="19" customFormat="1" ht="13.8" thickBot="1" x14ac:dyDescent="0.2">
      <c r="A37" s="11">
        <v>36</v>
      </c>
      <c r="B37" s="7" t="str">
        <f>IFERROR(VLOOKUP(E37,'(新)ﾍﾞﾝﾀﾞｰ中型'!$A$3:$K$187,2,0),"")</f>
        <v>12月 </v>
      </c>
      <c r="C37" s="7" t="str">
        <f>IFERROR(VLOOKUP(E37,'(新)ﾍﾞﾝﾀﾞｰ中型'!$A$3:$K$187,4,0),"")</f>
        <v>HG2204.EXP </v>
      </c>
      <c r="D37" s="7" t="str">
        <f>IFERROR(VLOOKUP(E37,'(新)ﾍﾞﾝﾀﾞｰ中型'!$A$3:$K$187,5,0),"")</f>
        <v> 【ベトナム】Foxconnベトナム </v>
      </c>
      <c r="E37" s="23" t="str">
        <f>'(新)ﾍﾞﾝﾀﾞｰ中型'!A38</f>
        <v> HG22402974 </v>
      </c>
      <c r="F37" s="8" t="str">
        <f>IFERROR(VLOOKUP(E37,'(新)ﾍﾞﾝﾀﾞｰ中型'!$A$3:$K$187,8,0),"")</f>
        <v>0F9379 </v>
      </c>
      <c r="G37" s="7" t="str">
        <f>IFERROR(VLOOKUP(E37,'(旧)ﾍﾞﾝﾀﾞｰ中型'!$A$3:$K$200,10,0),"")</f>
        <v>2026/11/24 </v>
      </c>
      <c r="H37" s="12" t="s">
        <v>60</v>
      </c>
      <c r="I37" s="7" t="str">
        <f>IFERROR(VLOOKUP(E37,'(新)ﾍﾞﾝﾀﾞｰ中型'!$A$3:$K$187,10,0),"")</f>
        <v>2026/11/24 </v>
      </c>
    </row>
    <row r="38" spans="1:9" s="19" customFormat="1" ht="13.8" thickBot="1" x14ac:dyDescent="0.2">
      <c r="A38" s="11">
        <v>37</v>
      </c>
      <c r="B38" s="7" t="str">
        <f>IFERROR(VLOOKUP(E38,'(新)ﾍﾞﾝﾀﾞｰ中型'!$A$3:$K$187,2,0),"")</f>
        <v>12月 </v>
      </c>
      <c r="C38" s="7" t="str">
        <f>IFERROR(VLOOKUP(E38,'(新)ﾍﾞﾝﾀﾞｰ中型'!$A$3:$K$187,4,0),"")</f>
        <v>HG2204 </v>
      </c>
      <c r="D38" s="7" t="str">
        <f>IFERROR(VLOOKUP(E38,'(新)ﾍﾞﾝﾀﾞｰ中型'!$A$3:$K$187,5,0),"")</f>
        <v> （株）小山金属 </v>
      </c>
      <c r="E38" s="23" t="str">
        <f>'(新)ﾍﾞﾝﾀﾞｰ中型'!A39</f>
        <v> HG22402980 </v>
      </c>
      <c r="F38" s="8" t="str">
        <f>IFERROR(VLOOKUP(E38,'(新)ﾍﾞﾝﾀﾞｰ中型'!$A$3:$K$187,8,0),"")</f>
        <v>0F9374 </v>
      </c>
      <c r="G38" s="7" t="str">
        <f>IFERROR(VLOOKUP(E38,'(旧)ﾍﾞﾝﾀﾞｰ中型'!$A$3:$K$200,10,0),"")</f>
        <v>2026/11/27 </v>
      </c>
      <c r="H38" s="12" t="s">
        <v>60</v>
      </c>
      <c r="I38" s="7" t="str">
        <f>IFERROR(VLOOKUP(E38,'(新)ﾍﾞﾝﾀﾞｰ中型'!$A$3:$K$187,10,0),"")</f>
        <v>2026/11/27 </v>
      </c>
    </row>
    <row r="39" spans="1:9" s="19" customFormat="1" ht="13.8" thickBot="1" x14ac:dyDescent="0.2">
      <c r="A39" s="11">
        <v>38</v>
      </c>
      <c r="B39" s="7" t="str">
        <f>IFERROR(VLOOKUP(E39,'(新)ﾍﾞﾝﾀﾞｰ中型'!$A$3:$K$187,2,0),"")</f>
        <v>12月 </v>
      </c>
      <c r="C39" s="7" t="str">
        <f>IFERROR(VLOOKUP(E39,'(新)ﾍﾞﾝﾀﾞｰ中型'!$A$3:$K$187,4,0),"")</f>
        <v>HG2204.EXP </v>
      </c>
      <c r="D39" s="7" t="str">
        <f>IFERROR(VLOOKUP(E39,'(新)ﾍﾞﾝﾀﾞｰ中型'!$A$3:$K$187,5,0),"")</f>
        <v> 【ベトナム】Foxconnベトナム </v>
      </c>
      <c r="E39" s="23" t="str">
        <f>'(新)ﾍﾞﾝﾀﾞｰ中型'!A40</f>
        <v> HG22402975 </v>
      </c>
      <c r="F39" s="8" t="str">
        <f>IFERROR(VLOOKUP(E39,'(新)ﾍﾞﾝﾀﾞｰ中型'!$A$3:$K$187,8,0),"")</f>
        <v>0F9379 </v>
      </c>
      <c r="G39" s="7" t="str">
        <f>IFERROR(VLOOKUP(E39,'(旧)ﾍﾞﾝﾀﾞｰ中型'!$A$3:$K$200,10,0),"")</f>
        <v>2026/11/27 </v>
      </c>
      <c r="H39" s="12" t="s">
        <v>60</v>
      </c>
      <c r="I39" s="7" t="str">
        <f>IFERROR(VLOOKUP(E39,'(新)ﾍﾞﾝﾀﾞｰ中型'!$A$3:$K$187,10,0),"")</f>
        <v>2026/11/27 </v>
      </c>
    </row>
    <row r="40" spans="1:9" s="19" customFormat="1" ht="13.8" thickBot="1" x14ac:dyDescent="0.2">
      <c r="A40" s="11">
        <v>39</v>
      </c>
      <c r="B40" s="7" t="str">
        <f>IFERROR(VLOOKUP(E40,'(新)ﾍﾞﾝﾀﾞｰ中型'!$A$3:$K$187,2,0),"")</f>
        <v>12月 </v>
      </c>
      <c r="C40" s="7" t="str">
        <f>IFERROR(VLOOKUP(E40,'(新)ﾍﾞﾝﾀﾞｰ中型'!$A$3:$K$187,4,0),"")</f>
        <v>HG2204.EXP </v>
      </c>
      <c r="D40" s="7" t="str">
        <f>IFERROR(VLOOKUP(E40,'(新)ﾍﾞﾝﾀﾞｰ中型'!$A$3:$K$187,5,0),"")</f>
        <v> ＡＭＡＤＡ　ＡＭＥＲＩＣＡ　ＩＮＣ． </v>
      </c>
      <c r="E40" s="23" t="str">
        <f>'(新)ﾍﾞﾝﾀﾞｰ中型'!A41</f>
        <v> HG22402976 </v>
      </c>
      <c r="F40" s="8" t="str">
        <f>IFERROR(VLOOKUP(E40,'(新)ﾍﾞﾝﾀﾞｰ中型'!$A$3:$K$187,8,0),"")</f>
        <v>0F9379 </v>
      </c>
      <c r="G40" s="7" t="str">
        <f>IFERROR(VLOOKUP(E40,'(旧)ﾍﾞﾝﾀﾞｰ中型'!$A$3:$K$200,10,0),"")</f>
        <v>2026/12/02 </v>
      </c>
      <c r="H40" s="12" t="s">
        <v>60</v>
      </c>
      <c r="I40" s="7" t="str">
        <f>IFERROR(VLOOKUP(E40,'(新)ﾍﾞﾝﾀﾞｰ中型'!$A$3:$K$187,10,0),"")</f>
        <v>2026/12/02 </v>
      </c>
    </row>
    <row r="41" spans="1:9" s="19" customFormat="1" ht="13.8" thickBot="1" x14ac:dyDescent="0.2">
      <c r="A41" s="11">
        <v>40</v>
      </c>
      <c r="B41" s="7" t="str">
        <f>IFERROR(VLOOKUP(E41,'(新)ﾍﾞﾝﾀﾞｰ中型'!$A$3:$K$187,2,0),"")</f>
        <v>12月 </v>
      </c>
      <c r="C41" s="7" t="str">
        <f>IFERROR(VLOOKUP(E41,'(新)ﾍﾞﾝﾀﾞｰ中型'!$A$3:$K$187,4,0),"")</f>
        <v>HG2204.EXP </v>
      </c>
      <c r="D41" s="7" t="str">
        <f>IFERROR(VLOOKUP(E41,'(新)ﾍﾞﾝﾀﾞｰ中型'!$A$3:$K$187,5,0),"")</f>
        <v> ＡＭＡＤＡ　ＣＡＮＡＤＡ　ＬＴＤ． </v>
      </c>
      <c r="E41" s="23" t="str">
        <f>'(新)ﾍﾞﾝﾀﾞｰ中型'!A42</f>
        <v> HG22402977 </v>
      </c>
      <c r="F41" s="8" t="str">
        <f>IFERROR(VLOOKUP(E41,'(新)ﾍﾞﾝﾀﾞｰ中型'!$A$3:$K$187,8,0),"")</f>
        <v>0F9379 </v>
      </c>
      <c r="G41" s="7" t="str">
        <f>IFERROR(VLOOKUP(E41,'(旧)ﾍﾞﾝﾀﾞｰ中型'!$A$3:$K$200,10,0),"")</f>
        <v>2026/12/02 </v>
      </c>
      <c r="H41" s="12" t="s">
        <v>60</v>
      </c>
      <c r="I41" s="7" t="str">
        <f>IFERROR(VLOOKUP(E41,'(新)ﾍﾞﾝﾀﾞｰ中型'!$A$3:$K$187,10,0),"")</f>
        <v>2026/12/02 </v>
      </c>
    </row>
    <row r="42" spans="1:9" s="19" customFormat="1" ht="13.8" thickBot="1" x14ac:dyDescent="0.2">
      <c r="A42" s="11">
        <v>41</v>
      </c>
      <c r="B42" s="7" t="str">
        <f>IFERROR(VLOOKUP(E42,'(新)ﾍﾞﾝﾀﾞｰ中型'!$A$3:$K$187,2,0),"")</f>
        <v>12月 </v>
      </c>
      <c r="C42" s="7" t="str">
        <f>IFERROR(VLOOKUP(E42,'(新)ﾍﾞﾝﾀﾞｰ中型'!$A$3:$K$187,4,0),"")</f>
        <v>HG1703.EXP </v>
      </c>
      <c r="D42" s="7" t="str">
        <f>IFERROR(VLOOKUP(E42,'(新)ﾍﾞﾝﾀﾞｰ中型'!$A$3:$K$187,5,0),"")</f>
        <v> ＡＭＡＤＡ　ＡＭＥＲＩＣＡ　ＩＮＣ． </v>
      </c>
      <c r="E42" s="23" t="str">
        <f>'(新)ﾍﾞﾝﾀﾞｰ中型'!A43</f>
        <v> HG17302384 </v>
      </c>
      <c r="F42" s="8" t="str">
        <f>IFERROR(VLOOKUP(E42,'(新)ﾍﾞﾝﾀﾞｰ中型'!$A$3:$K$187,8,0),"")</f>
        <v>0F9376 </v>
      </c>
      <c r="G42" s="7" t="str">
        <f>IFERROR(VLOOKUP(E42,'(旧)ﾍﾞﾝﾀﾞｰ中型'!$A$3:$K$200,10,0),"")</f>
        <v>2026/12/05 </v>
      </c>
      <c r="H42" s="12" t="s">
        <v>60</v>
      </c>
      <c r="I42" s="7" t="str">
        <f>IFERROR(VLOOKUP(E42,'(新)ﾍﾞﾝﾀﾞｰ中型'!$A$3:$K$187,10,0),"")</f>
        <v>2026/12/05 </v>
      </c>
    </row>
    <row r="43" spans="1:9" s="19" customFormat="1" ht="13.8" thickBot="1" x14ac:dyDescent="0.2">
      <c r="A43" s="11">
        <v>42</v>
      </c>
      <c r="B43" s="7" t="str">
        <f>IFERROR(VLOOKUP(E43,'(新)ﾍﾞﾝﾀﾞｰ中型'!$A$3:$K$187,2,0),"")</f>
        <v>12月 </v>
      </c>
      <c r="C43" s="7" t="str">
        <f>IFERROR(VLOOKUP(E43,'(新)ﾍﾞﾝﾀﾞｰ中型'!$A$3:$K$187,4,0),"")</f>
        <v>HG2204ATC.EXP </v>
      </c>
      <c r="D43" s="7" t="str">
        <f>IFERROR(VLOOKUP(E43,'(新)ﾍﾞﾝﾀﾞｰ中型'!$A$3:$K$187,5,0),"")</f>
        <v> ＡＭＡＤＡ　ＡＭＥＲＩＣＡ　ＩＮＣ． </v>
      </c>
      <c r="E43" s="23" t="str">
        <f>'(新)ﾍﾞﾝﾀﾞｰ中型'!A44</f>
        <v> HG22404202 </v>
      </c>
      <c r="F43" s="8" t="str">
        <f>IFERROR(VLOOKUP(E43,'(新)ﾍﾞﾝﾀﾞｰ中型'!$A$3:$K$187,8,0),"")</f>
        <v>0F9380 </v>
      </c>
      <c r="G43" s="7" t="str">
        <f>IFERROR(VLOOKUP(E43,'(旧)ﾍﾞﾝﾀﾞｰ中型'!$A$3:$K$200,10,0),"")</f>
        <v>2026/12/05 </v>
      </c>
      <c r="H43" s="12" t="s">
        <v>60</v>
      </c>
      <c r="I43" s="7" t="str">
        <f>IFERROR(VLOOKUP(E43,'(新)ﾍﾞﾝﾀﾞｰ中型'!$A$3:$K$187,10,0),"")</f>
        <v>2026/12/05 </v>
      </c>
    </row>
    <row r="44" spans="1:9" s="19" customFormat="1" ht="13.8" thickBot="1" x14ac:dyDescent="0.2">
      <c r="A44" s="11">
        <v>43</v>
      </c>
      <c r="B44" s="7" t="str">
        <f>IFERROR(VLOOKUP(E44,'(新)ﾍﾞﾝﾀﾞｰ中型'!$A$3:$K$187,2,0),"")</f>
        <v>12月 </v>
      </c>
      <c r="C44" s="7" t="str">
        <f>IFERROR(VLOOKUP(E44,'(新)ﾍﾞﾝﾀﾞｰ中型'!$A$3:$K$187,4,0),"")</f>
        <v>HG1703.EXP </v>
      </c>
      <c r="D44" s="7" t="str">
        <f>IFERROR(VLOOKUP(E44,'(新)ﾍﾞﾝﾀﾞｰ中型'!$A$3:$K$187,5,0),"")</f>
        <v> ＡＭＡＤＡ　ＡＭＥＲＩＣＡ　ＩＮＣ． </v>
      </c>
      <c r="E44" s="23" t="str">
        <f>'(新)ﾍﾞﾝﾀﾞｰ中型'!A45</f>
        <v> HG17302385 </v>
      </c>
      <c r="F44" s="8" t="str">
        <f>IFERROR(VLOOKUP(E44,'(新)ﾍﾞﾝﾀﾞｰ中型'!$A$3:$K$187,8,0),"")</f>
        <v>0F9376 </v>
      </c>
      <c r="G44" s="7" t="str">
        <f>IFERROR(VLOOKUP(E44,'(旧)ﾍﾞﾝﾀﾞｰ中型'!$A$3:$K$200,10,0),"")</f>
        <v>2026/12/10 </v>
      </c>
      <c r="H44" s="12" t="s">
        <v>60</v>
      </c>
      <c r="I44" s="7" t="str">
        <f>IFERROR(VLOOKUP(E44,'(新)ﾍﾞﾝﾀﾞｰ中型'!$A$3:$K$187,10,0),"")</f>
        <v>2026/12/10 </v>
      </c>
    </row>
    <row r="45" spans="1:9" s="19" customFormat="1" ht="13.8" thickBot="1" x14ac:dyDescent="0.2">
      <c r="A45" s="11">
        <v>44</v>
      </c>
      <c r="B45" s="7" t="str">
        <f>IFERROR(VLOOKUP(E45,'(新)ﾍﾞﾝﾀﾞｰ中型'!$A$3:$K$187,2,0),"")</f>
        <v>12月 </v>
      </c>
      <c r="C45" s="7" t="str">
        <f>IFERROR(VLOOKUP(E45,'(新)ﾍﾞﾝﾀﾞｰ中型'!$A$3:$K$187,4,0),"")</f>
        <v>HG2204.EXP </v>
      </c>
      <c r="D45" s="7" t="str">
        <f>IFERROR(VLOOKUP(E45,'(新)ﾍﾞﾝﾀﾞｰ中型'!$A$3:$K$187,5,0),"")</f>
        <v> ＡＭＡＤＡ　ＡＭＥＲＩＣＡ　ＩＮＣ． </v>
      </c>
      <c r="E45" s="23" t="str">
        <f>'(新)ﾍﾞﾝﾀﾞｰ中型'!A46</f>
        <v> HG22402978 </v>
      </c>
      <c r="F45" s="8" t="str">
        <f>IFERROR(VLOOKUP(E45,'(新)ﾍﾞﾝﾀﾞｰ中型'!$A$3:$K$187,8,0),"")</f>
        <v>0F9379 </v>
      </c>
      <c r="G45" s="7" t="str">
        <f>IFERROR(VLOOKUP(E45,'(旧)ﾍﾞﾝﾀﾞｰ中型'!$A$3:$K$200,10,0),"")</f>
        <v>2026/12/10 </v>
      </c>
      <c r="H45" s="12" t="s">
        <v>60</v>
      </c>
      <c r="I45" s="7" t="str">
        <f>IFERROR(VLOOKUP(E45,'(新)ﾍﾞﾝﾀﾞｰ中型'!$A$3:$K$187,10,0),"")</f>
        <v>2026/12/10 </v>
      </c>
    </row>
    <row r="46" spans="1:9" s="19" customFormat="1" ht="13.8" thickBot="1" x14ac:dyDescent="0.2">
      <c r="A46" s="11">
        <v>45</v>
      </c>
      <c r="B46" s="7" t="str">
        <f>IFERROR(VLOOKUP(E46,'(新)ﾍﾞﾝﾀﾞｰ中型'!$A$3:$K$187,2,0),"")</f>
        <v>12月 </v>
      </c>
      <c r="C46" s="7" t="str">
        <f>IFERROR(VLOOKUP(E46,'(新)ﾍﾞﾝﾀﾞｰ中型'!$A$3:$K$187,4,0),"")</f>
        <v>HG2204.EXP </v>
      </c>
      <c r="D46" s="7" t="str">
        <f>IFERROR(VLOOKUP(E46,'(新)ﾍﾞﾝﾀﾞｰ中型'!$A$3:$K$187,5,0),"")</f>
        <v> ＡＭＡＤＡ　ＣＡＮＡＤＡ　ＬＴＤ． </v>
      </c>
      <c r="E46" s="23" t="str">
        <f>'(新)ﾍﾞﾝﾀﾞｰ中型'!A47</f>
        <v> HG22402979 </v>
      </c>
      <c r="F46" s="8" t="str">
        <f>IFERROR(VLOOKUP(E46,'(新)ﾍﾞﾝﾀﾞｰ中型'!$A$3:$K$187,8,0),"")</f>
        <v>0F9379 </v>
      </c>
      <c r="G46" s="7" t="str">
        <f>IFERROR(VLOOKUP(E46,'(旧)ﾍﾞﾝﾀﾞｰ中型'!$A$3:$K$200,10,0),"")</f>
        <v>2026/12/15 </v>
      </c>
      <c r="H46" s="12" t="s">
        <v>60</v>
      </c>
      <c r="I46" s="7" t="str">
        <f>IFERROR(VLOOKUP(E46,'(新)ﾍﾞﾝﾀﾞｰ中型'!$A$3:$K$187,10,0),"")</f>
        <v>2026/12/16 </v>
      </c>
    </row>
    <row r="47" spans="1:9" s="19" customFormat="1" ht="13.8" thickBot="1" x14ac:dyDescent="0.2">
      <c r="A47" s="11">
        <v>46</v>
      </c>
      <c r="B47" s="7" t="str">
        <f>IFERROR(VLOOKUP(E47,'(新)ﾍﾞﾝﾀﾞｰ中型'!$A$3:$K$187,2,0),"")</f>
        <v>01月 </v>
      </c>
      <c r="C47" s="7" t="str">
        <f>IFERROR(VLOOKUP(E47,'(新)ﾍﾞﾝﾀﾞｰ中型'!$A$3:$K$187,4,0),"")</f>
        <v>HG2204ATC.EXP </v>
      </c>
      <c r="D47" s="7" t="str">
        <f>IFERROR(VLOOKUP(E47,'(新)ﾍﾞﾝﾀﾞｰ中型'!$A$3:$K$187,5,0),"")</f>
        <v> ＡＭＡＤＡ　ＡＭＥＲＩＣＡ　ＩＮＣ． </v>
      </c>
      <c r="E47" s="23" t="str">
        <f>'(新)ﾍﾞﾝﾀﾞｰ中型'!A48</f>
        <v> HG22404211 </v>
      </c>
      <c r="F47" s="8" t="str">
        <f>IFERROR(VLOOKUP(E47,'(新)ﾍﾞﾝﾀﾞｰ中型'!$A$3:$K$187,8,0),"")</f>
        <v>0F9380 </v>
      </c>
      <c r="G47" s="7" t="str">
        <f>IFERROR(VLOOKUP(E47,'(旧)ﾍﾞﾝﾀﾞｰ中型'!$A$3:$K$200,10,0),"")</f>
        <v>2026/12/12 </v>
      </c>
      <c r="H47" s="12" t="s">
        <v>60</v>
      </c>
      <c r="I47" s="7" t="str">
        <f>IFERROR(VLOOKUP(E47,'(新)ﾍﾞﾝﾀﾞｰ中型'!$A$3:$K$187,10,0),"")</f>
        <v>2026/12/16 </v>
      </c>
    </row>
    <row r="48" spans="1:9" s="19" customFormat="1" ht="13.8" thickBot="1" x14ac:dyDescent="0.2">
      <c r="A48" s="11">
        <v>47</v>
      </c>
      <c r="B48" s="7" t="str">
        <f>IFERROR(VLOOKUP(E48,'(新)ﾍﾞﾝﾀﾞｰ中型'!$A$3:$K$187,2,0),"")</f>
        <v>01月 </v>
      </c>
      <c r="C48" s="7" t="str">
        <f>IFERROR(VLOOKUP(E48,'(新)ﾍﾞﾝﾀﾞｰ中型'!$A$3:$K$187,4,0),"")</f>
        <v>HG1703 </v>
      </c>
      <c r="D48" s="7" t="str">
        <f>IFERROR(VLOOKUP(E48,'(新)ﾍﾞﾝﾀﾞｰ中型'!$A$3:$K$187,5,0),"")</f>
        <v> （株）御池鐵工所 </v>
      </c>
      <c r="E48" s="23" t="str">
        <f>'(新)ﾍﾞﾝﾀﾞｰ中型'!A49</f>
        <v> HG17302387 </v>
      </c>
      <c r="F48" s="8" t="str">
        <f>IFERROR(VLOOKUP(E48,'(新)ﾍﾞﾝﾀﾞｰ中型'!$A$3:$K$187,8,0),"")</f>
        <v>0F9262 </v>
      </c>
      <c r="G48" s="7" t="str">
        <f>IFERROR(VLOOKUP(E48,'(旧)ﾍﾞﾝﾀﾞｰ中型'!$A$3:$K$200,10,0),"")</f>
        <v>2026/12/16 </v>
      </c>
      <c r="H48" s="12" t="s">
        <v>60</v>
      </c>
      <c r="I48" s="7" t="str">
        <f>IFERROR(VLOOKUP(E48,'(新)ﾍﾞﾝﾀﾞｰ中型'!$A$3:$K$187,10,0),"")</f>
        <v>2026/12/19 </v>
      </c>
    </row>
    <row r="49" spans="1:9" s="19" customFormat="1" ht="13.8" thickBot="1" x14ac:dyDescent="0.2">
      <c r="A49" s="11">
        <v>48</v>
      </c>
      <c r="B49" s="7" t="str">
        <f>IFERROR(VLOOKUP(E49,'(新)ﾍﾞﾝﾀﾞｰ中型'!$A$3:$K$187,2,0),"")</f>
        <v>01月 </v>
      </c>
      <c r="C49" s="7" t="str">
        <f>IFERROR(VLOOKUP(E49,'(新)ﾍﾞﾝﾀﾞｰ中型'!$A$3:$K$187,4,0),"")</f>
        <v>HG2204.EXP </v>
      </c>
      <c r="D49" s="7" t="str">
        <f>IFERROR(VLOOKUP(E49,'(新)ﾍﾞﾝﾀﾞｰ中型'!$A$3:$K$187,5,0),"")</f>
        <v> 【CHINA】北京埃鉑精密 </v>
      </c>
      <c r="E49" s="23" t="str">
        <f>'(新)ﾍﾞﾝﾀﾞｰ中型'!A50</f>
        <v> HG22402982 </v>
      </c>
      <c r="F49" s="8" t="str">
        <f>IFERROR(VLOOKUP(E49,'(新)ﾍﾞﾝﾀﾞｰ中型'!$A$3:$K$187,8,0),"")</f>
        <v>0F9379 </v>
      </c>
      <c r="G49" s="7" t="str">
        <f>IFERROR(VLOOKUP(E49,'(旧)ﾍﾞﾝﾀﾞｰ中型'!$A$3:$K$200,10,0),"")</f>
        <v>2027/01/07 </v>
      </c>
      <c r="H49" s="12" t="s">
        <v>60</v>
      </c>
      <c r="I49" s="7" t="str">
        <f>IFERROR(VLOOKUP(E49,'(新)ﾍﾞﾝﾀﾞｰ中型'!$A$3:$K$187,10,0),"")</f>
        <v>2026/12/19 </v>
      </c>
    </row>
    <row r="50" spans="1:9" s="19" customFormat="1" ht="13.8" thickBot="1" x14ac:dyDescent="0.2">
      <c r="A50" s="11">
        <v>49</v>
      </c>
      <c r="B50" s="7" t="str">
        <f>IFERROR(VLOOKUP(E50,'(新)ﾍﾞﾝﾀﾞｰ中型'!$A$3:$K$187,2,0),"")</f>
        <v>01月 </v>
      </c>
      <c r="C50" s="7" t="str">
        <f>IFERROR(VLOOKUP(E50,'(新)ﾍﾞﾝﾀﾞｰ中型'!$A$3:$K$187,4,0),"")</f>
        <v>HG1704 </v>
      </c>
      <c r="D50" s="7" t="str">
        <f>IFERROR(VLOOKUP(E50,'(新)ﾍﾞﾝﾀﾞｰ中型'!$A$3:$K$187,5,0),"")</f>
        <v>  </v>
      </c>
      <c r="E50" s="23" t="str">
        <f>'(新)ﾍﾞﾝﾀﾞｰ中型'!A51</f>
        <v> HG17402208 </v>
      </c>
      <c r="F50" s="8" t="str">
        <f>IFERROR(VLOOKUP(E50,'(新)ﾍﾞﾝﾀﾞｰ中型'!$A$3:$K$187,8,0),"")</f>
        <v>0F9263 </v>
      </c>
      <c r="G50" s="7" t="str">
        <f>IFERROR(VLOOKUP(E50,'(旧)ﾍﾞﾝﾀﾞｰ中型'!$A$3:$K$200,10,0),"")</f>
        <v>2026/12/18 </v>
      </c>
      <c r="H50" s="12" t="s">
        <v>60</v>
      </c>
      <c r="I50" s="7" t="str">
        <f>IFERROR(VLOOKUP(E50,'(新)ﾍﾞﾝﾀﾞｰ中型'!$A$3:$K$187,10,0),"")</f>
        <v>2026/12/23 </v>
      </c>
    </row>
    <row r="51" spans="1:9" s="19" customFormat="1" ht="13.8" thickBot="1" x14ac:dyDescent="0.2">
      <c r="A51" s="11">
        <v>50</v>
      </c>
      <c r="B51" s="7" t="str">
        <f>IFERROR(VLOOKUP(E51,'(新)ﾍﾞﾝﾀﾞｰ中型'!$A$3:$K$187,2,0),"")</f>
        <v>01月 </v>
      </c>
      <c r="C51" s="7" t="str">
        <f>IFERROR(VLOOKUP(E51,'(新)ﾍﾞﾝﾀﾞｰ中型'!$A$3:$K$187,4,0),"")</f>
        <v>HG1703.EXP </v>
      </c>
      <c r="D51" s="7" t="str">
        <f>IFERROR(VLOOKUP(E51,'(新)ﾍﾞﾝﾀﾞｰ中型'!$A$3:$K$187,5,0),"")</f>
        <v> 【ACL】Greidy Labs </v>
      </c>
      <c r="E51" s="23" t="str">
        <f>'(新)ﾍﾞﾝﾀﾞｰ中型'!A52</f>
        <v> HG17302386 </v>
      </c>
      <c r="F51" s="8" t="str">
        <f>IFERROR(VLOOKUP(E51,'(新)ﾍﾞﾝﾀﾞｰ中型'!$A$3:$K$187,8,0),"")</f>
        <v>0F9376 </v>
      </c>
      <c r="G51" s="7" t="str">
        <f>IFERROR(VLOOKUP(E51,'(旧)ﾍﾞﾝﾀﾞｰ中型'!$A$3:$K$200,10,0),"")</f>
        <v>2027/01/19 </v>
      </c>
      <c r="H51" s="12" t="s">
        <v>60</v>
      </c>
      <c r="I51" s="7" t="str">
        <f>IFERROR(VLOOKUP(E51,'(新)ﾍﾞﾝﾀﾞｰ中型'!$A$3:$K$187,10,0),"")</f>
        <v>2026/12/23 </v>
      </c>
    </row>
    <row r="52" spans="1:9" s="19" customFormat="1" ht="13.8" thickBot="1" x14ac:dyDescent="0.2">
      <c r="A52" s="11">
        <v>51</v>
      </c>
      <c r="B52" s="7" t="str">
        <f>IFERROR(VLOOKUP(E52,'(新)ﾍﾞﾝﾀﾞｰ中型'!$A$3:$K$187,2,0),"")</f>
        <v>01月 </v>
      </c>
      <c r="C52" s="7" t="str">
        <f>IFERROR(VLOOKUP(E52,'(新)ﾍﾞﾝﾀﾞｰ中型'!$A$3:$K$187,4,0),"")</f>
        <v>HG2204 </v>
      </c>
      <c r="D52" s="7" t="str">
        <f>IFERROR(VLOOKUP(E52,'(新)ﾍﾞﾝﾀﾞｰ中型'!$A$3:$K$187,5,0),"")</f>
        <v> マルマテクニカ（株） </v>
      </c>
      <c r="E52" s="23" t="str">
        <f>'(新)ﾍﾞﾝﾀﾞｰ中型'!A53</f>
        <v> HG22402983 </v>
      </c>
      <c r="F52" s="8" t="str">
        <f>IFERROR(VLOOKUP(E52,'(新)ﾍﾞﾝﾀﾞｰ中型'!$A$3:$K$187,8,0),"")</f>
        <v>0F9374 </v>
      </c>
      <c r="G52" s="7" t="str">
        <f>IFERROR(VLOOKUP(E52,'(旧)ﾍﾞﾝﾀﾞｰ中型'!$A$3:$K$200,10,0),"")</f>
        <v>2026/12/22 </v>
      </c>
      <c r="H52" s="12" t="s">
        <v>60</v>
      </c>
      <c r="I52" s="7" t="str">
        <f>IFERROR(VLOOKUP(E52,'(新)ﾍﾞﾝﾀﾞｰ中型'!$A$3:$K$187,10,0),"")</f>
        <v>2026/12/26 </v>
      </c>
    </row>
    <row r="53" spans="1:9" s="19" customFormat="1" ht="13.8" thickBot="1" x14ac:dyDescent="0.2">
      <c r="A53" s="11">
        <v>52</v>
      </c>
      <c r="B53" s="7" t="str">
        <f>IFERROR(VLOOKUP(E53,'(新)ﾍﾞﾝﾀﾞｰ中型'!$A$3:$K$187,2,0),"")</f>
        <v>01月 </v>
      </c>
      <c r="C53" s="7" t="str">
        <f>IFERROR(VLOOKUP(E53,'(新)ﾍﾞﾝﾀﾞｰ中型'!$A$3:$K$187,4,0),"")</f>
        <v>HG2204.EXP </v>
      </c>
      <c r="D53" s="7" t="str">
        <f>IFERROR(VLOOKUP(E53,'(新)ﾍﾞﾝﾀﾞｰ中型'!$A$3:$K$187,5,0),"")</f>
        <v> ＡＭＡＤＡ　ＡＭＥＲＩＣＡ　ＩＮＣ． </v>
      </c>
      <c r="E53" s="23" t="str">
        <f>'(新)ﾍﾞﾝﾀﾞｰ中型'!A54</f>
        <v> HG22402986 </v>
      </c>
      <c r="F53" s="8" t="str">
        <f>IFERROR(VLOOKUP(E53,'(新)ﾍﾞﾝﾀﾞｰ中型'!$A$3:$K$187,8,0),"")</f>
        <v>0F9379 </v>
      </c>
      <c r="G53" s="7" t="str">
        <f>IFERROR(VLOOKUP(E53,'(旧)ﾍﾞﾝﾀﾞｰ中型'!$A$3:$K$200,10,0),"")</f>
        <v>2027/01/09 </v>
      </c>
      <c r="H53" s="12" t="s">
        <v>60</v>
      </c>
      <c r="I53" s="7" t="str">
        <f>IFERROR(VLOOKUP(E53,'(新)ﾍﾞﾝﾀﾞｰ中型'!$A$3:$K$187,10,0),"")</f>
        <v>2026/12/26 </v>
      </c>
    </row>
    <row r="54" spans="1:9" s="19" customFormat="1" ht="13.8" thickBot="1" x14ac:dyDescent="0.2">
      <c r="A54" s="11">
        <v>53</v>
      </c>
      <c r="B54" s="7" t="str">
        <f>IFERROR(VLOOKUP(E54,'(新)ﾍﾞﾝﾀﾞｰ中型'!$A$3:$K$187,2,0),"")</f>
        <v>01月 </v>
      </c>
      <c r="C54" s="7" t="str">
        <f>IFERROR(VLOOKUP(E54,'(新)ﾍﾞﾝﾀﾞｰ中型'!$A$3:$K$187,4,0),"")</f>
        <v>HG2204 </v>
      </c>
      <c r="D54" s="7" t="str">
        <f>IFERROR(VLOOKUP(E54,'(新)ﾍﾞﾝﾀﾞｰ中型'!$A$3:$K$187,5,0),"")</f>
        <v> パナソニック　ＨＶＡＣ　＆　ＣＣシステム </v>
      </c>
      <c r="E54" s="23" t="str">
        <f>'(新)ﾍﾞﾝﾀﾞｰ中型'!A55</f>
        <v> HG22402984 </v>
      </c>
      <c r="F54" s="8" t="str">
        <f>IFERROR(VLOOKUP(E54,'(新)ﾍﾞﾝﾀﾞｰ中型'!$A$3:$K$187,8,0),"")</f>
        <v>0F9374 </v>
      </c>
      <c r="G54" s="7" t="str">
        <f>IFERROR(VLOOKUP(E54,'(旧)ﾍﾞﾝﾀﾞｰ中型'!$A$3:$K$200,10,0),"")</f>
        <v>2026/12/24 </v>
      </c>
      <c r="H54" s="12" t="s">
        <v>60</v>
      </c>
      <c r="I54" s="7" t="str">
        <f>IFERROR(VLOOKUP(E54,'(新)ﾍﾞﾝﾀﾞｰ中型'!$A$3:$K$187,10,0),"")</f>
        <v>2027/01/06 </v>
      </c>
    </row>
    <row r="55" spans="1:9" s="19" customFormat="1" ht="13.8" thickBot="1" x14ac:dyDescent="0.2">
      <c r="A55" s="11">
        <v>54</v>
      </c>
      <c r="B55" s="7" t="str">
        <f>IFERROR(VLOOKUP(E55,'(新)ﾍﾞﾝﾀﾞｰ中型'!$A$3:$K$187,2,0),"")</f>
        <v>01月 </v>
      </c>
      <c r="C55" s="7" t="str">
        <f>IFERROR(VLOOKUP(E55,'(新)ﾍﾞﾝﾀﾞｰ中型'!$A$3:$K$187,4,0),"")</f>
        <v>HG2204.EXP </v>
      </c>
      <c r="D55" s="7" t="str">
        <f>IFERROR(VLOOKUP(E55,'(新)ﾍﾞﾝﾀﾞｰ中型'!$A$3:$K$187,5,0),"")</f>
        <v> ＡＭＡＤＡ　ＡＭＥＲＩＣＡ　ＩＮＣ． </v>
      </c>
      <c r="E55" s="23" t="str">
        <f>'(新)ﾍﾞﾝﾀﾞｰ中型'!A56</f>
        <v> HG22402987 </v>
      </c>
      <c r="F55" s="8" t="str">
        <f>IFERROR(VLOOKUP(E55,'(新)ﾍﾞﾝﾀﾞｰ中型'!$A$3:$K$187,8,0),"")</f>
        <v>0F9379 </v>
      </c>
      <c r="G55" s="7" t="str">
        <f>IFERROR(VLOOKUP(E55,'(旧)ﾍﾞﾝﾀﾞｰ中型'!$A$3:$K$200,10,0),"")</f>
        <v>2027/01/13 </v>
      </c>
      <c r="H55" s="12" t="s">
        <v>60</v>
      </c>
      <c r="I55" s="7" t="str">
        <f>IFERROR(VLOOKUP(E55,'(新)ﾍﾞﾝﾀﾞｰ中型'!$A$3:$K$187,10,0),"")</f>
        <v>2027/01/06 </v>
      </c>
    </row>
    <row r="56" spans="1:9" s="19" customFormat="1" ht="13.8" thickBot="1" x14ac:dyDescent="0.2">
      <c r="A56" s="11">
        <v>55</v>
      </c>
      <c r="B56" s="7" t="str">
        <f>IFERROR(VLOOKUP(E56,'(新)ﾍﾞﾝﾀﾞｰ中型'!$A$3:$K$187,2,0),"")</f>
        <v>01月 </v>
      </c>
      <c r="C56" s="7" t="str">
        <f>IFERROR(VLOOKUP(E56,'(新)ﾍﾞﾝﾀﾞｰ中型'!$A$3:$K$187,4,0),"")</f>
        <v>HG2203 </v>
      </c>
      <c r="D56" s="7" t="str">
        <f>IFERROR(VLOOKUP(E56,'(新)ﾍﾞﾝﾀﾞｰ中型'!$A$3:$K$187,5,0),"")</f>
        <v> 筑波工業（株） </v>
      </c>
      <c r="E56" s="23" t="str">
        <f>'(新)ﾍﾞﾝﾀﾞｰ中型'!A57</f>
        <v> HG22302250 </v>
      </c>
      <c r="F56" s="8" t="str">
        <f>IFERROR(VLOOKUP(E56,'(新)ﾍﾞﾝﾀﾞｰ中型'!$A$3:$K$187,8,0),"")</f>
        <v>0F9373 </v>
      </c>
      <c r="G56" s="7" t="str">
        <f>IFERROR(VLOOKUP(E56,'(旧)ﾍﾞﾝﾀﾞｰ中型'!$A$3:$K$200,10,0),"")</f>
        <v>2027/01/15 </v>
      </c>
      <c r="H56" s="12" t="s">
        <v>60</v>
      </c>
      <c r="I56" s="7" t="str">
        <f>IFERROR(VLOOKUP(E56,'(新)ﾍﾞﾝﾀﾞｰ中型'!$A$3:$K$187,10,0),"")</f>
        <v>2027/01/09 </v>
      </c>
    </row>
    <row r="57" spans="1:9" s="19" customFormat="1" ht="13.8" thickBot="1" x14ac:dyDescent="0.2">
      <c r="A57" s="11">
        <v>56</v>
      </c>
      <c r="B57" s="7" t="str">
        <f>IFERROR(VLOOKUP(E57,'(新)ﾍﾞﾝﾀﾞｰ中型'!$A$3:$K$187,2,0),"")</f>
        <v>01月 </v>
      </c>
      <c r="C57" s="7" t="str">
        <f>IFERROR(VLOOKUP(E57,'(新)ﾍﾞﾝﾀﾞｰ中型'!$A$3:$K$187,4,0),"")</f>
        <v>HG2204ATC </v>
      </c>
      <c r="D57" s="7" t="str">
        <f>IFERROR(VLOOKUP(E57,'(新)ﾍﾞﾝﾀﾞｰ中型'!$A$3:$K$187,5,0),"")</f>
        <v> （株）大明 </v>
      </c>
      <c r="E57" s="23" t="str">
        <f>'(新)ﾍﾞﾝﾀﾞｰ中型'!A58</f>
        <v> HG22404210 </v>
      </c>
      <c r="F57" s="8" t="str">
        <f>IFERROR(VLOOKUP(E57,'(新)ﾍﾞﾝﾀﾞｰ中型'!$A$3:$K$187,8,0),"")</f>
        <v>0F9375 </v>
      </c>
      <c r="G57" s="7" t="str">
        <f>IFERROR(VLOOKUP(E57,'(旧)ﾍﾞﾝﾀﾞｰ中型'!$A$3:$K$200,10,0),"")</f>
        <v>2026/12/26 </v>
      </c>
      <c r="H57" s="12" t="s">
        <v>60</v>
      </c>
      <c r="I57" s="7" t="str">
        <f>IFERROR(VLOOKUP(E57,'(新)ﾍﾞﾝﾀﾞｰ中型'!$A$3:$K$187,10,0),"")</f>
        <v>2027/01/09 </v>
      </c>
    </row>
    <row r="58" spans="1:9" s="19" customFormat="1" ht="13.8" thickBot="1" x14ac:dyDescent="0.2">
      <c r="A58" s="11">
        <v>57</v>
      </c>
      <c r="B58" s="7" t="str">
        <f>IFERROR(VLOOKUP(E58,'(新)ﾍﾞﾝﾀﾞｰ中型'!$A$3:$K$187,2,0),"")</f>
        <v>01月 </v>
      </c>
      <c r="C58" s="7" t="str">
        <f>IFERROR(VLOOKUP(E58,'(新)ﾍﾞﾝﾀﾞｰ中型'!$A$3:$K$187,4,0),"")</f>
        <v>HG2204.EXP </v>
      </c>
      <c r="D58" s="7" t="str">
        <f>IFERROR(VLOOKUP(E58,'(新)ﾍﾞﾝﾀﾞｰ中型'!$A$3:$K$187,5,0),"")</f>
        <v> 台湾 </v>
      </c>
      <c r="E58" s="23" t="str">
        <f>'(新)ﾍﾞﾝﾀﾞｰ中型'!A59</f>
        <v> HG22402981 </v>
      </c>
      <c r="F58" s="8" t="str">
        <f>IFERROR(VLOOKUP(E58,'(新)ﾍﾞﾝﾀﾞｰ中型'!$A$3:$K$187,8,0),"")</f>
        <v>0F9379 </v>
      </c>
      <c r="G58" s="7" t="str">
        <f>IFERROR(VLOOKUP(E58,'(旧)ﾍﾞﾝﾀﾞｰ中型'!$A$3:$K$200,10,0),"")</f>
        <v>2027/01/05 </v>
      </c>
      <c r="H58" s="12" t="s">
        <v>60</v>
      </c>
      <c r="I58" s="7" t="str">
        <f>IFERROR(VLOOKUP(E58,'(新)ﾍﾞﾝﾀﾞｰ中型'!$A$3:$K$187,10,0),"")</f>
        <v>2027/01/14 </v>
      </c>
    </row>
    <row r="59" spans="1:9" s="19" customFormat="1" ht="13.8" thickBot="1" x14ac:dyDescent="0.2">
      <c r="A59" s="11">
        <v>58</v>
      </c>
      <c r="B59" s="7" t="str">
        <f>IFERROR(VLOOKUP(E59,'(新)ﾍﾞﾝﾀﾞｰ中型'!$A$3:$K$187,2,0),"")</f>
        <v>02月 </v>
      </c>
      <c r="C59" s="7" t="str">
        <f>IFERROR(VLOOKUP(E59,'(新)ﾍﾞﾝﾀﾞｰ中型'!$A$3:$K$187,4,0),"")</f>
        <v>HG2204ATC.EXP </v>
      </c>
      <c r="D59" s="7" t="str">
        <f>IFERROR(VLOOKUP(E59,'(新)ﾍﾞﾝﾀﾞｰ中型'!$A$3:$K$187,5,0),"")</f>
        <v> ＡＭＡＤＡ　ＡＭＥＲＩＣＡ　ＩＮＣ． </v>
      </c>
      <c r="E59" s="23" t="str">
        <f>'(新)ﾍﾞﾝﾀﾞｰ中型'!A60</f>
        <v> HG22404206 </v>
      </c>
      <c r="F59" s="8" t="str">
        <f>IFERROR(VLOOKUP(E59,'(新)ﾍﾞﾝﾀﾞｰ中型'!$A$3:$K$187,8,0),"")</f>
        <v>0F9380 </v>
      </c>
      <c r="G59" s="7" t="str">
        <f>IFERROR(VLOOKUP(E59,'(旧)ﾍﾞﾝﾀﾞｰ中型'!$A$3:$K$200,10,0),"")</f>
        <v>2027/01/13 </v>
      </c>
      <c r="H59" s="12" t="s">
        <v>60</v>
      </c>
      <c r="I59" s="7" t="str">
        <f>IFERROR(VLOOKUP(E59,'(新)ﾍﾞﾝﾀﾞｰ中型'!$A$3:$K$187,10,0),"")</f>
        <v>2027/01/15 </v>
      </c>
    </row>
    <row r="60" spans="1:9" s="19" customFormat="1" ht="13.8" thickBot="1" x14ac:dyDescent="0.2">
      <c r="A60" s="11">
        <v>59</v>
      </c>
      <c r="B60" s="7" t="str">
        <f>IFERROR(VLOOKUP(E60,'(新)ﾍﾞﾝﾀﾞｰ中型'!$A$3:$K$187,2,0),"")</f>
        <v>02月 </v>
      </c>
      <c r="C60" s="7" t="str">
        <f>IFERROR(VLOOKUP(E60,'(新)ﾍﾞﾝﾀﾞｰ中型'!$A$3:$K$187,4,0),"")</f>
        <v>HG2204ATC.EXP </v>
      </c>
      <c r="D60" s="7" t="str">
        <f>IFERROR(VLOOKUP(E60,'(新)ﾍﾞﾝﾀﾞｰ中型'!$A$3:$K$187,5,0),"")</f>
        <v> ＡＭＡＤＡ　ＡＭＥＲＩＣＡ　ＩＮＣ． </v>
      </c>
      <c r="E60" s="23" t="str">
        <f>'(新)ﾍﾞﾝﾀﾞｰ中型'!A61</f>
        <v> HG22404207 </v>
      </c>
      <c r="F60" s="8" t="str">
        <f>IFERROR(VLOOKUP(E60,'(新)ﾍﾞﾝﾀﾞｰ中型'!$A$3:$K$187,8,0),"")</f>
        <v>0F9380 </v>
      </c>
      <c r="G60" s="7" t="str">
        <f>IFERROR(VLOOKUP(E60,'(旧)ﾍﾞﾝﾀﾞｰ中型'!$A$3:$K$200,10,0),"")</f>
        <v>2027/01/15 </v>
      </c>
      <c r="H60" s="12" t="s">
        <v>60</v>
      </c>
      <c r="I60" s="7" t="str">
        <f>IFERROR(VLOOKUP(E60,'(新)ﾍﾞﾝﾀﾞｰ中型'!$A$3:$K$187,10,0),"")</f>
        <v>2027/01/19 </v>
      </c>
    </row>
    <row r="61" spans="1:9" s="19" customFormat="1" ht="13.8" thickBot="1" x14ac:dyDescent="0.2">
      <c r="A61" s="11">
        <v>60</v>
      </c>
      <c r="B61" s="7" t="str">
        <f>IFERROR(VLOOKUP(E61,'(新)ﾍﾞﾝﾀﾞｰ中型'!$A$3:$K$187,2,0),"")</f>
        <v>02月 </v>
      </c>
      <c r="C61" s="7" t="str">
        <f>IFERROR(VLOOKUP(E61,'(新)ﾍﾞﾝﾀﾞｰ中型'!$A$3:$K$187,4,0),"")</f>
        <v>HG2204ATC.EXP </v>
      </c>
      <c r="D61" s="7" t="str">
        <f>IFERROR(VLOOKUP(E61,'(新)ﾍﾞﾝﾀﾞｰ中型'!$A$3:$K$187,5,0),"")</f>
        <v> ＡＭＡＤＡ　ＡＭＥＲＩＣＡ　ＩＮＣ． </v>
      </c>
      <c r="E61" s="23" t="str">
        <f>'(新)ﾍﾞﾝﾀﾞｰ中型'!A62</f>
        <v> HG22404205 </v>
      </c>
      <c r="F61" s="8" t="str">
        <f>IFERROR(VLOOKUP(E61,'(新)ﾍﾞﾝﾀﾞｰ中型'!$A$3:$K$187,8,0),"")</f>
        <v>0F9380 </v>
      </c>
      <c r="G61" s="7" t="str">
        <f>IFERROR(VLOOKUP(E61,'(旧)ﾍﾞﾝﾀﾞｰ中型'!$A$3:$K$200,10,0),"")</f>
        <v>2027/01/20 </v>
      </c>
      <c r="H61" s="12" t="s">
        <v>60</v>
      </c>
      <c r="I61" s="7" t="str">
        <f>IFERROR(VLOOKUP(E61,'(新)ﾍﾞﾝﾀﾞｰ中型'!$A$3:$K$187,10,0),"")</f>
        <v>2027/01/22 </v>
      </c>
    </row>
    <row r="62" spans="1:9" s="19" customFormat="1" ht="13.8" thickBot="1" x14ac:dyDescent="0.2">
      <c r="A62" s="11">
        <v>61</v>
      </c>
      <c r="B62" s="7" t="str">
        <f>IFERROR(VLOOKUP(E62,'(新)ﾍﾞﾝﾀﾞｰ中型'!$A$3:$K$187,2,0),"")</f>
        <v>02月 </v>
      </c>
      <c r="C62" s="7" t="str">
        <f>IFERROR(VLOOKUP(E62,'(新)ﾍﾞﾝﾀﾞｰ中型'!$A$3:$K$187,4,0),"")</f>
        <v>HG1703 </v>
      </c>
      <c r="D62" s="7" t="str">
        <f>IFERROR(VLOOKUP(E62,'(新)ﾍﾞﾝﾀﾞｰ中型'!$A$3:$K$187,5,0),"")</f>
        <v> 東京キデン（株） </v>
      </c>
      <c r="E62" s="23" t="str">
        <f>'(新)ﾍﾞﾝﾀﾞｰ中型'!A63</f>
        <v> HG17302382 </v>
      </c>
      <c r="F62" s="8" t="str">
        <f>IFERROR(VLOOKUP(E62,'(新)ﾍﾞﾝﾀﾞｰ中型'!$A$3:$K$187,8,0),"")</f>
        <v>0F9262 </v>
      </c>
      <c r="G62" s="7" t="str">
        <f>IFERROR(VLOOKUP(E62,'(旧)ﾍﾞﾝﾀﾞｰ中型'!$A$3:$K$200,10,0),"")</f>
        <v>2027/01/22 </v>
      </c>
      <c r="H62" s="12" t="s">
        <v>60</v>
      </c>
      <c r="I62" s="7" t="str">
        <f>IFERROR(VLOOKUP(E62,'(新)ﾍﾞﾝﾀﾞｰ中型'!$A$3:$K$187,10,0),"")</f>
        <v>2027/01/23 </v>
      </c>
    </row>
    <row r="63" spans="1:9" s="19" customFormat="1" ht="13.8" thickBot="1" x14ac:dyDescent="0.2">
      <c r="A63" s="11">
        <v>62</v>
      </c>
      <c r="B63" s="7" t="str">
        <f>IFERROR(VLOOKUP(E63,'(新)ﾍﾞﾝﾀﾞｰ中型'!$A$3:$K$187,2,0),"")</f>
        <v>02月 </v>
      </c>
      <c r="C63" s="7" t="str">
        <f>IFERROR(VLOOKUP(E63,'(新)ﾍﾞﾝﾀﾞｰ中型'!$A$3:$K$187,4,0),"")</f>
        <v>HG1703 </v>
      </c>
      <c r="D63" s="7" t="str">
        <f>IFERROR(VLOOKUP(E63,'(新)ﾍﾞﾝﾀﾞｰ中型'!$A$3:$K$187,5,0),"")</f>
        <v> （株）中西製作所 </v>
      </c>
      <c r="E63" s="23" t="str">
        <f>'(新)ﾍﾞﾝﾀﾞｰ中型'!A64</f>
        <v> HG17302388 </v>
      </c>
      <c r="F63" s="8" t="str">
        <f>IFERROR(VLOOKUP(E63,'(新)ﾍﾞﾝﾀﾞｰ中型'!$A$3:$K$187,8,0),"")</f>
        <v>0F9262 </v>
      </c>
      <c r="G63" s="7" t="str">
        <f>IFERROR(VLOOKUP(E63,'(旧)ﾍﾞﾝﾀﾞｰ中型'!$A$3:$K$200,10,0),"")</f>
        <v>2027/01/23 </v>
      </c>
      <c r="H63" s="12" t="s">
        <v>60</v>
      </c>
      <c r="I63" s="7" t="str">
        <f>IFERROR(VLOOKUP(E63,'(新)ﾍﾞﾝﾀﾞｰ中型'!$A$3:$K$187,10,0),"")</f>
        <v>2027/01/27 </v>
      </c>
    </row>
    <row r="64" spans="1:9" s="19" customFormat="1" ht="13.8" thickBot="1" x14ac:dyDescent="0.2">
      <c r="A64" s="11">
        <v>63</v>
      </c>
      <c r="B64" s="7" t="str">
        <f>IFERROR(VLOOKUP(E64,'(新)ﾍﾞﾝﾀﾞｰ中型'!$A$3:$K$187,2,0),"")</f>
        <v>02月 </v>
      </c>
      <c r="C64" s="7" t="str">
        <f>IFERROR(VLOOKUP(E64,'(新)ﾍﾞﾝﾀﾞｰ中型'!$A$3:$K$187,4,0),"")</f>
        <v>HG2204.EXP </v>
      </c>
      <c r="D64" s="7" t="str">
        <f>IFERROR(VLOOKUP(E64,'(新)ﾍﾞﾝﾀﾞｰ中型'!$A$3:$K$187,5,0),"")</f>
        <v> ＡＭＡＤＡ　ＡＭＥＲＩＣＡ　ＩＮＣ． </v>
      </c>
      <c r="E64" s="23" t="str">
        <f>'(新)ﾍﾞﾝﾀﾞｰ中型'!A65</f>
        <v> HG22402988 </v>
      </c>
      <c r="F64" s="8" t="str">
        <f>IFERROR(VLOOKUP(E64,'(新)ﾍﾞﾝﾀﾞｰ中型'!$A$3:$K$187,8,0),"")</f>
        <v>0F9379 </v>
      </c>
      <c r="G64" s="7" t="str">
        <f>IFERROR(VLOOKUP(E64,'(旧)ﾍﾞﾝﾀﾞｰ中型'!$A$3:$K$200,10,0),"")</f>
        <v>2027/02/02 </v>
      </c>
      <c r="H64" s="12" t="s">
        <v>60</v>
      </c>
      <c r="I64" s="7" t="str">
        <f>IFERROR(VLOOKUP(E64,'(新)ﾍﾞﾝﾀﾞｰ中型'!$A$3:$K$187,10,0),"")</f>
        <v>2027/02/03 </v>
      </c>
    </row>
    <row r="65" spans="1:9" s="19" customFormat="1" ht="13.8" thickBot="1" x14ac:dyDescent="0.2">
      <c r="A65" s="11">
        <v>64</v>
      </c>
      <c r="B65" s="7" t="str">
        <f>IFERROR(VLOOKUP(E65,'(新)ﾍﾞﾝﾀﾞｰ中型'!$A$3:$K$187,2,0),"")</f>
        <v>02月 </v>
      </c>
      <c r="C65" s="7" t="str">
        <f>IFERROR(VLOOKUP(E65,'(新)ﾍﾞﾝﾀﾞｰ中型'!$A$3:$K$187,4,0),"")</f>
        <v>HG2204.EXP </v>
      </c>
      <c r="D65" s="7" t="str">
        <f>IFERROR(VLOOKUP(E65,'(新)ﾍﾞﾝﾀﾞｰ中型'!$A$3:$K$187,5,0),"")</f>
        <v> ＡＭＡＤＡ　ＡＭＥＲＩＣＡ　ＩＮＣ． </v>
      </c>
      <c r="E65" s="23" t="str">
        <f>'(新)ﾍﾞﾝﾀﾞｰ中型'!A66</f>
        <v> HG22402989 </v>
      </c>
      <c r="F65" s="8" t="str">
        <f>IFERROR(VLOOKUP(E65,'(新)ﾍﾞﾝﾀﾞｰ中型'!$A$3:$K$187,8,0),"")</f>
        <v>0F9379 </v>
      </c>
      <c r="G65" s="7" t="str">
        <f>IFERROR(VLOOKUP(E65,'(旧)ﾍﾞﾝﾀﾞｰ中型'!$A$3:$K$200,10,0),"")</f>
        <v>2027/02/03 </v>
      </c>
      <c r="H65" s="12" t="s">
        <v>60</v>
      </c>
      <c r="I65" s="7" t="str">
        <f>IFERROR(VLOOKUP(E65,'(新)ﾍﾞﾝﾀﾞｰ中型'!$A$3:$K$187,10,0),"")</f>
        <v>2027/02/05 </v>
      </c>
    </row>
    <row r="66" spans="1:9" s="19" customFormat="1" ht="13.8" thickBot="1" x14ac:dyDescent="0.2">
      <c r="A66" s="11">
        <v>65</v>
      </c>
      <c r="B66" s="7" t="str">
        <f>IFERROR(VLOOKUP(E66,'(新)ﾍﾞﾝﾀﾞｰ中型'!$A$3:$K$187,2,0),"")</f>
        <v>02月 </v>
      </c>
      <c r="C66" s="7" t="str">
        <f>IFERROR(VLOOKUP(E66,'(新)ﾍﾞﾝﾀﾞｰ中型'!$A$3:$K$187,4,0),"")</f>
        <v>HG1703 </v>
      </c>
      <c r="D66" s="7" t="str">
        <f>IFERROR(VLOOKUP(E66,'(新)ﾍﾞﾝﾀﾞｰ中型'!$A$3:$K$187,5,0),"")</f>
        <v> （株）中西製作所 </v>
      </c>
      <c r="E66" s="23" t="str">
        <f>'(新)ﾍﾞﾝﾀﾞｰ中型'!A67</f>
        <v> HG17302389 </v>
      </c>
      <c r="F66" s="8" t="str">
        <f>IFERROR(VLOOKUP(E66,'(新)ﾍﾞﾝﾀﾞｰ中型'!$A$3:$K$187,8,0),"")</f>
        <v>0F9262 </v>
      </c>
      <c r="G66" s="7" t="str">
        <f>IFERROR(VLOOKUP(E66,'(旧)ﾍﾞﾝﾀﾞｰ中型'!$A$3:$K$200,10,0),"")</f>
        <v>2027/02/05 </v>
      </c>
      <c r="H66" s="12" t="s">
        <v>60</v>
      </c>
      <c r="I66" s="7" t="str">
        <f>IFERROR(VLOOKUP(E66,'(新)ﾍﾞﾝﾀﾞｰ中型'!$A$3:$K$187,10,0),"")</f>
        <v>2027/02/06 </v>
      </c>
    </row>
    <row r="67" spans="1:9" s="19" customFormat="1" ht="13.8" thickBot="1" x14ac:dyDescent="0.2">
      <c r="A67" s="11">
        <v>66</v>
      </c>
      <c r="B67" s="7" t="str">
        <f>IFERROR(VLOOKUP(E67,'(新)ﾍﾞﾝﾀﾞｰ中型'!$A$3:$K$187,2,0),"")</f>
        <v>02月 </v>
      </c>
      <c r="C67" s="7" t="str">
        <f>IFERROR(VLOOKUP(E67,'(新)ﾍﾞﾝﾀﾞｰ中型'!$A$3:$K$187,4,0),"")</f>
        <v>HG1704 </v>
      </c>
      <c r="D67" s="7" t="str">
        <f>IFERROR(VLOOKUP(E67,'(新)ﾍﾞﾝﾀﾞｰ中型'!$A$3:$K$187,5,0),"")</f>
        <v>  </v>
      </c>
      <c r="E67" s="23" t="str">
        <f>'(新)ﾍﾞﾝﾀﾞｰ中型'!A68</f>
        <v> HG17402209 </v>
      </c>
      <c r="F67" s="8" t="str">
        <f>IFERROR(VLOOKUP(E67,'(新)ﾍﾞﾝﾀﾞｰ中型'!$A$3:$K$187,8,0),"")</f>
        <v>0F9263 </v>
      </c>
      <c r="G67" s="7" t="str">
        <f>IFERROR(VLOOKUP(E67,'(旧)ﾍﾞﾝﾀﾞｰ中型'!$A$3:$K$200,10,0),"")</f>
        <v>2027/02/09 </v>
      </c>
      <c r="H67" s="12" t="s">
        <v>60</v>
      </c>
      <c r="I67" s="7" t="str">
        <f>IFERROR(VLOOKUP(E67,'(新)ﾍﾞﾝﾀﾞｰ中型'!$A$3:$K$187,10,0),"")</f>
        <v>2027/02/10 </v>
      </c>
    </row>
    <row r="68" spans="1:9" s="19" customFormat="1" ht="13.8" thickBot="1" x14ac:dyDescent="0.2">
      <c r="A68" s="11">
        <v>67</v>
      </c>
      <c r="B68" s="7" t="str">
        <f>IFERROR(VLOOKUP(E68,'(新)ﾍﾞﾝﾀﾞｰ中型'!$A$3:$K$187,2,0),"")</f>
        <v>02月 </v>
      </c>
      <c r="C68" s="7" t="str">
        <f>IFERROR(VLOOKUP(E68,'(新)ﾍﾞﾝﾀﾞｰ中型'!$A$3:$K$187,4,0),"")</f>
        <v>HG2203 </v>
      </c>
      <c r="D68" s="7" t="str">
        <f>IFERROR(VLOOKUP(E68,'(新)ﾍﾞﾝﾀﾞｰ中型'!$A$3:$K$187,5,0),"")</f>
        <v>  </v>
      </c>
      <c r="E68" s="23" t="str">
        <f>'(新)ﾍﾞﾝﾀﾞｰ中型'!A69</f>
        <v> HG22302251 </v>
      </c>
      <c r="F68" s="8" t="str">
        <f>IFERROR(VLOOKUP(E68,'(新)ﾍﾞﾝﾀﾞｰ中型'!$A$3:$K$187,8,0),"")</f>
        <v>0F9373 </v>
      </c>
      <c r="G68" s="7" t="str">
        <f>IFERROR(VLOOKUP(E68,'(旧)ﾍﾞﾝﾀﾞｰ中型'!$A$3:$K$200,10,0),"")</f>
        <v>2027/02/12 </v>
      </c>
      <c r="H68" s="12" t="s">
        <v>60</v>
      </c>
      <c r="I68" s="7" t="str">
        <f>IFERROR(VLOOKUP(E68,'(新)ﾍﾞﾝﾀﾞｰ中型'!$A$3:$K$187,10,0),"")</f>
        <v>2027/02/13 </v>
      </c>
    </row>
    <row r="69" spans="1:9" s="19" customFormat="1" ht="13.8" thickBot="1" x14ac:dyDescent="0.2">
      <c r="A69" s="11">
        <v>68</v>
      </c>
      <c r="B69" s="7" t="str">
        <f>IFERROR(VLOOKUP(E69,'(新)ﾍﾞﾝﾀﾞｰ中型'!$A$3:$K$187,2,0),"")</f>
        <v>02月 </v>
      </c>
      <c r="C69" s="7" t="str">
        <f>IFERROR(VLOOKUP(E69,'(新)ﾍﾞﾝﾀﾞｰ中型'!$A$3:$K$187,4,0),"")</f>
        <v>HG1703 </v>
      </c>
      <c r="D69" s="7" t="str">
        <f>IFERROR(VLOOKUP(E69,'(新)ﾍﾞﾝﾀﾞｰ中型'!$A$3:$K$187,5,0),"")</f>
        <v>  </v>
      </c>
      <c r="E69" s="23" t="str">
        <f>'(新)ﾍﾞﾝﾀﾞｰ中型'!A70</f>
        <v> HG17302390 </v>
      </c>
      <c r="F69" s="8" t="str">
        <f>IFERROR(VLOOKUP(E69,'(新)ﾍﾞﾝﾀﾞｰ中型'!$A$3:$K$187,8,0),"")</f>
        <v>0F9262 </v>
      </c>
      <c r="G69" s="7" t="str">
        <f>IFERROR(VLOOKUP(E69,'(旧)ﾍﾞﾝﾀﾞｰ中型'!$A$3:$K$200,10,0),"")</f>
        <v/>
      </c>
      <c r="H69" s="12" t="s">
        <v>60</v>
      </c>
      <c r="I69" s="7" t="str">
        <f>IFERROR(VLOOKUP(E69,'(新)ﾍﾞﾝﾀﾞｰ中型'!$A$3:$K$187,10,0),"")</f>
        <v>2027/02/13 </v>
      </c>
    </row>
    <row r="70" spans="1:9" s="19" customFormat="1" ht="13.8" thickBot="1" x14ac:dyDescent="0.2">
      <c r="A70" s="11">
        <v>69</v>
      </c>
      <c r="B70" s="7" t="str">
        <f>IFERROR(VLOOKUP(E70,'(新)ﾍﾞﾝﾀﾞｰ中型'!$A$3:$K$187,2,0),"")</f>
        <v>02月 </v>
      </c>
      <c r="C70" s="7" t="str">
        <f>IFERROR(VLOOKUP(E70,'(新)ﾍﾞﾝﾀﾞｰ中型'!$A$3:$K$187,4,0),"")</f>
        <v>HG2203 </v>
      </c>
      <c r="D70" s="7" t="str">
        <f>IFERROR(VLOOKUP(E70,'(新)ﾍﾞﾝﾀﾞｰ中型'!$A$3:$K$187,5,0),"")</f>
        <v>  </v>
      </c>
      <c r="E70" s="23" t="str">
        <f>'(新)ﾍﾞﾝﾀﾞｰ中型'!A71</f>
        <v> HG22302252 </v>
      </c>
      <c r="F70" s="8" t="str">
        <f>IFERROR(VLOOKUP(E70,'(新)ﾍﾞﾝﾀﾞｰ中型'!$A$3:$K$187,8,0),"")</f>
        <v>0F9373 </v>
      </c>
      <c r="G70" s="7" t="str">
        <f>IFERROR(VLOOKUP(E70,'(旧)ﾍﾞﾝﾀﾞｰ中型'!$A$3:$K$200,10,0),"")</f>
        <v>2027/02/13 </v>
      </c>
      <c r="H70" s="12" t="s">
        <v>60</v>
      </c>
      <c r="I70" s="7" t="str">
        <f>IFERROR(VLOOKUP(E70,'(新)ﾍﾞﾝﾀﾞｰ中型'!$A$3:$K$187,10,0),"")</f>
        <v>2027/02/16 </v>
      </c>
    </row>
    <row r="71" spans="1:9" s="19" customFormat="1" ht="13.8" thickBot="1" x14ac:dyDescent="0.2">
      <c r="A71" s="11">
        <v>70</v>
      </c>
      <c r="B71" s="7" t="str">
        <f>IFERROR(VLOOKUP(E71,'(新)ﾍﾞﾝﾀﾞｰ中型'!$A$3:$K$187,2,0),"")</f>
        <v>02月 </v>
      </c>
      <c r="C71" s="7" t="str">
        <f>IFERROR(VLOOKUP(E71,'(新)ﾍﾞﾝﾀﾞｰ中型'!$A$3:$K$187,4,0),"")</f>
        <v>HG1703 </v>
      </c>
      <c r="D71" s="7" t="str">
        <f>IFERROR(VLOOKUP(E71,'(新)ﾍﾞﾝﾀﾞｰ中型'!$A$3:$K$187,5,0),"")</f>
        <v>  </v>
      </c>
      <c r="E71" s="23" t="str">
        <f>'(新)ﾍﾞﾝﾀﾞｰ中型'!A72</f>
        <v> HG17302391 </v>
      </c>
      <c r="F71" s="8" t="str">
        <f>IFERROR(VLOOKUP(E71,'(新)ﾍﾞﾝﾀﾞｰ中型'!$A$3:$K$187,8,0),"")</f>
        <v>0F9262 </v>
      </c>
      <c r="G71" s="7" t="str">
        <f>IFERROR(VLOOKUP(E71,'(旧)ﾍﾞﾝﾀﾞｰ中型'!$A$3:$K$200,10,0),"")</f>
        <v/>
      </c>
      <c r="H71" s="12" t="s">
        <v>60</v>
      </c>
      <c r="I71" s="7" t="str">
        <f>IFERROR(VLOOKUP(E71,'(新)ﾍﾞﾝﾀﾞｰ中型'!$A$3:$K$187,10,0),"")</f>
        <v>2027/02/16 </v>
      </c>
    </row>
    <row r="72" spans="1:9" s="19" customFormat="1" ht="13.8" thickBot="1" x14ac:dyDescent="0.2">
      <c r="A72" s="11">
        <v>71</v>
      </c>
      <c r="B72" s="7" t="str">
        <f>IFERROR(VLOOKUP(E72,'(新)ﾍﾞﾝﾀﾞｰ中型'!$A$3:$K$187,2,0),"")</f>
        <v>03月 </v>
      </c>
      <c r="C72" s="7" t="str">
        <f>IFERROR(VLOOKUP(E72,'(新)ﾍﾞﾝﾀﾞｰ中型'!$A$3:$K$187,4,0),"")</f>
        <v>HG2204ATC.EXP </v>
      </c>
      <c r="D72" s="7" t="str">
        <f>IFERROR(VLOOKUP(E72,'(新)ﾍﾞﾝﾀﾞｰ中型'!$A$3:$K$187,5,0),"")</f>
        <v> ＡＭＡＤＡ　ＡＭＥＲＩＣＡ　ＩＮＣ． </v>
      </c>
      <c r="E72" s="23" t="str">
        <f>'(新)ﾍﾞﾝﾀﾞｰ中型'!A73</f>
        <v> HG22404208 </v>
      </c>
      <c r="F72" s="8" t="str">
        <f>IFERROR(VLOOKUP(E72,'(新)ﾍﾞﾝﾀﾞｰ中型'!$A$3:$K$187,8,0),"")</f>
        <v>0F9380 </v>
      </c>
      <c r="G72" s="7" t="str">
        <f>IFERROR(VLOOKUP(E72,'(旧)ﾍﾞﾝﾀﾞｰ中型'!$A$3:$K$200,10,0),"")</f>
        <v/>
      </c>
      <c r="H72" s="12" t="s">
        <v>60</v>
      </c>
      <c r="I72" s="7" t="str">
        <f>IFERROR(VLOOKUP(E72,'(新)ﾍﾞﾝﾀﾞｰ中型'!$A$3:$K$187,10,0),"")</f>
        <v>2027/02/10 </v>
      </c>
    </row>
    <row r="73" spans="1:9" s="19" customFormat="1" ht="13.8" thickBot="1" x14ac:dyDescent="0.2">
      <c r="A73" s="11">
        <v>72</v>
      </c>
      <c r="B73" s="7" t="str">
        <f>IFERROR(VLOOKUP(E73,'(新)ﾍﾞﾝﾀﾞｰ中型'!$A$3:$K$187,2,0),"")</f>
        <v>03月 </v>
      </c>
      <c r="C73" s="7" t="str">
        <f>IFERROR(VLOOKUP(E73,'(新)ﾍﾞﾝﾀﾞｰ中型'!$A$3:$K$187,4,0),"")</f>
        <v>HG2204ATC.EXP </v>
      </c>
      <c r="D73" s="7" t="str">
        <f>IFERROR(VLOOKUP(E73,'(新)ﾍﾞﾝﾀﾞｰ中型'!$A$3:$K$187,5,0),"")</f>
        <v> ＡＭＡＤＡ　ＡＭＥＲＩＣＡ　ＩＮＣ． </v>
      </c>
      <c r="E73" s="23" t="str">
        <f>'(新)ﾍﾞﾝﾀﾞｰ中型'!A74</f>
        <v> HG22404209 </v>
      </c>
      <c r="F73" s="8" t="str">
        <f>IFERROR(VLOOKUP(E73,'(新)ﾍﾞﾝﾀﾞｰ中型'!$A$3:$K$187,8,0),"")</f>
        <v>0F9380 </v>
      </c>
      <c r="G73" s="7" t="str">
        <f>IFERROR(VLOOKUP(E73,'(旧)ﾍﾞﾝﾀﾞｰ中型'!$A$3:$K$200,10,0),"")</f>
        <v/>
      </c>
      <c r="H73" s="12" t="s">
        <v>60</v>
      </c>
      <c r="I73" s="7" t="str">
        <f>IFERROR(VLOOKUP(E73,'(新)ﾍﾞﾝﾀﾞｰ中型'!$A$3:$K$187,10,0),"")</f>
        <v>2027/02/16 </v>
      </c>
    </row>
    <row r="74" spans="1:9" s="19" customFormat="1" ht="13.8" thickBot="1" x14ac:dyDescent="0.2">
      <c r="A74" s="11">
        <v>73</v>
      </c>
      <c r="B74" s="7" t="str">
        <f>IFERROR(VLOOKUP(E74,'(新)ﾍﾞﾝﾀﾞｰ中型'!$A$3:$K$187,2,0),"")</f>
        <v>03月 </v>
      </c>
      <c r="C74" s="7" t="str">
        <f>IFERROR(VLOOKUP(E74,'(新)ﾍﾞﾝﾀﾞｰ中型'!$A$3:$K$187,4,0),"")</f>
        <v>HG2203 </v>
      </c>
      <c r="D74" s="7" t="str">
        <f>IFERROR(VLOOKUP(E74,'(新)ﾍﾞﾝﾀﾞｰ中型'!$A$3:$K$187,5,0),"")</f>
        <v>  </v>
      </c>
      <c r="E74" s="23" t="str">
        <f>'(新)ﾍﾞﾝﾀﾞｰ中型'!A75</f>
        <v> HG22302253 </v>
      </c>
      <c r="F74" s="8" t="str">
        <f>IFERROR(VLOOKUP(E74,'(新)ﾍﾞﾝﾀﾞｰ中型'!$A$3:$K$187,8,0),"")</f>
        <v>0F9373 </v>
      </c>
      <c r="G74" s="7" t="str">
        <f>IFERROR(VLOOKUP(E74,'(旧)ﾍﾞﾝﾀﾞｰ中型'!$A$3:$K$200,10,0),"")</f>
        <v/>
      </c>
      <c r="H74" s="12" t="s">
        <v>60</v>
      </c>
      <c r="I74" s="7" t="str">
        <f>IFERROR(VLOOKUP(E74,'(新)ﾍﾞﾝﾀﾞｰ中型'!$A$3:$K$187,10,0),"")</f>
        <v>2027/02/18 </v>
      </c>
    </row>
    <row r="75" spans="1:9" s="19" customFormat="1" ht="13.8" thickBot="1" x14ac:dyDescent="0.2">
      <c r="A75" s="11">
        <v>74</v>
      </c>
      <c r="B75" s="7" t="str">
        <f>IFERROR(VLOOKUP(E75,'(新)ﾍﾞﾝﾀﾞｰ中型'!$A$3:$K$187,2,0),"")</f>
        <v>03月 </v>
      </c>
      <c r="C75" s="7" t="str">
        <f>IFERROR(VLOOKUP(E75,'(新)ﾍﾞﾝﾀﾞｰ中型'!$A$3:$K$187,4,0),"")</f>
        <v>HG2204 </v>
      </c>
      <c r="D75" s="7" t="str">
        <f>IFERROR(VLOOKUP(E75,'(新)ﾍﾞﾝﾀﾞｰ中型'!$A$3:$K$187,5,0),"")</f>
        <v>  </v>
      </c>
      <c r="E75" s="23" t="str">
        <f>'(新)ﾍﾞﾝﾀﾞｰ中型'!A76</f>
        <v> HG22402998 </v>
      </c>
      <c r="F75" s="8" t="str">
        <f>IFERROR(VLOOKUP(E75,'(新)ﾍﾞﾝﾀﾞｰ中型'!$A$3:$K$187,8,0),"")</f>
        <v>0F9374 </v>
      </c>
      <c r="G75" s="7" t="str">
        <f>IFERROR(VLOOKUP(E75,'(旧)ﾍﾞﾝﾀﾞｰ中型'!$A$3:$K$200,10,0),"")</f>
        <v/>
      </c>
      <c r="H75" s="12" t="s">
        <v>60</v>
      </c>
      <c r="I75" s="7" t="str">
        <f>IFERROR(VLOOKUP(E75,'(新)ﾍﾞﾝﾀﾞｰ中型'!$A$3:$K$187,10,0),"")</f>
        <v>2027/02/20 </v>
      </c>
    </row>
    <row r="76" spans="1:9" s="19" customFormat="1" ht="13.8" thickBot="1" x14ac:dyDescent="0.2">
      <c r="A76" s="11">
        <v>75</v>
      </c>
      <c r="B76" s="7" t="str">
        <f>IFERROR(VLOOKUP(E76,'(新)ﾍﾞﾝﾀﾞｰ中型'!$A$3:$K$187,2,0),"")</f>
        <v>03月 </v>
      </c>
      <c r="C76" s="7" t="str">
        <f>IFERROR(VLOOKUP(E76,'(新)ﾍﾞﾝﾀﾞｰ中型'!$A$3:$K$187,4,0),"")</f>
        <v>HG2204 </v>
      </c>
      <c r="D76" s="7" t="str">
        <f>IFERROR(VLOOKUP(E76,'(新)ﾍﾞﾝﾀﾞｰ中型'!$A$3:$K$187,5,0),"")</f>
        <v>  </v>
      </c>
      <c r="E76" s="23" t="str">
        <f>'(新)ﾍﾞﾝﾀﾞｰ中型'!A77</f>
        <v> HG22402999 </v>
      </c>
      <c r="F76" s="8" t="str">
        <f>IFERROR(VLOOKUP(E76,'(新)ﾍﾞﾝﾀﾞｰ中型'!$A$3:$K$187,8,0),"")</f>
        <v>0F9374 </v>
      </c>
      <c r="G76" s="7" t="str">
        <f>IFERROR(VLOOKUP(E76,'(旧)ﾍﾞﾝﾀﾞｰ中型'!$A$3:$K$200,10,0),"")</f>
        <v/>
      </c>
      <c r="H76" s="12" t="s">
        <v>60</v>
      </c>
      <c r="I76" s="7" t="str">
        <f>IFERROR(VLOOKUP(E76,'(新)ﾍﾞﾝﾀﾞｰ中型'!$A$3:$K$187,10,0),"")</f>
        <v>2027/02/25 </v>
      </c>
    </row>
    <row r="77" spans="1:9" s="19" customFormat="1" ht="13.8" thickBot="1" x14ac:dyDescent="0.2">
      <c r="A77" s="11">
        <v>76</v>
      </c>
      <c r="B77" s="7" t="str">
        <f>IFERROR(VLOOKUP(E77,'(新)ﾍﾞﾝﾀﾞｰ中型'!$A$3:$K$187,2,0),"")</f>
        <v>03月 </v>
      </c>
      <c r="C77" s="7" t="str">
        <f>IFERROR(VLOOKUP(E77,'(新)ﾍﾞﾝﾀﾞｰ中型'!$A$3:$K$187,4,0),"")</f>
        <v>HG2204.EXP </v>
      </c>
      <c r="D77" s="7" t="str">
        <f>IFERROR(VLOOKUP(E77,'(新)ﾍﾞﾝﾀﾞｰ中型'!$A$3:$K$187,5,0),"")</f>
        <v> ＡＭＡＤＡ　ＡＭＥＲＩＣＡ　ＩＮＣ． </v>
      </c>
      <c r="E77" s="23" t="str">
        <f>'(新)ﾍﾞﾝﾀﾞｰ中型'!A78</f>
        <v> HG22402990 </v>
      </c>
      <c r="F77" s="8" t="str">
        <f>IFERROR(VLOOKUP(E77,'(新)ﾍﾞﾝﾀﾞｰ中型'!$A$3:$K$187,8,0),"")</f>
        <v>0F9379 </v>
      </c>
      <c r="G77" s="7" t="str">
        <f>IFERROR(VLOOKUP(E77,'(旧)ﾍﾞﾝﾀﾞｰ中型'!$A$3:$K$200,10,0),"")</f>
        <v/>
      </c>
      <c r="H77" s="12" t="s">
        <v>60</v>
      </c>
      <c r="I77" s="7" t="str">
        <f>IFERROR(VLOOKUP(E77,'(新)ﾍﾞﾝﾀﾞｰ中型'!$A$3:$K$187,10,0),"")</f>
        <v>2027/02/27 </v>
      </c>
    </row>
    <row r="78" spans="1:9" s="19" customFormat="1" ht="13.8" thickBot="1" x14ac:dyDescent="0.2">
      <c r="A78" s="11">
        <v>77</v>
      </c>
      <c r="B78" s="7" t="str">
        <f>IFERROR(VLOOKUP(E78,'(新)ﾍﾞﾝﾀﾞｰ中型'!$A$3:$K$187,2,0),"")</f>
        <v>03月 </v>
      </c>
      <c r="C78" s="7" t="str">
        <f>IFERROR(VLOOKUP(E78,'(新)ﾍﾞﾝﾀﾞｰ中型'!$A$3:$K$187,4,0),"")</f>
        <v>HG2204.EXP </v>
      </c>
      <c r="D78" s="7" t="str">
        <f>IFERROR(VLOOKUP(E78,'(新)ﾍﾞﾝﾀﾞｰ中型'!$A$3:$K$187,5,0),"")</f>
        <v> ＡＭＡＤＡ　ＡＭＥＲＩＣＡ　ＩＮＣ． </v>
      </c>
      <c r="E78" s="23" t="str">
        <f>'(新)ﾍﾞﾝﾀﾞｰ中型'!A79</f>
        <v> HG22402991 </v>
      </c>
      <c r="F78" s="8" t="str">
        <f>IFERROR(VLOOKUP(E78,'(新)ﾍﾞﾝﾀﾞｰ中型'!$A$3:$K$187,8,0),"")</f>
        <v>0F9379 </v>
      </c>
      <c r="G78" s="7" t="str">
        <f>IFERROR(VLOOKUP(E78,'(旧)ﾍﾞﾝﾀﾞｰ中型'!$A$3:$K$200,10,0),"")</f>
        <v/>
      </c>
      <c r="H78" s="12" t="s">
        <v>60</v>
      </c>
      <c r="I78" s="7" t="str">
        <f>IFERROR(VLOOKUP(E78,'(新)ﾍﾞﾝﾀﾞｰ中型'!$A$3:$K$187,10,0),"")</f>
        <v>2027/03/03 </v>
      </c>
    </row>
    <row r="79" spans="1:9" s="19" customFormat="1" ht="13.8" thickBot="1" x14ac:dyDescent="0.2">
      <c r="A79" s="11">
        <v>78</v>
      </c>
      <c r="B79" s="7" t="str">
        <f>IFERROR(VLOOKUP(E79,'(新)ﾍﾞﾝﾀﾞｰ中型'!$A$3:$K$187,2,0),"")</f>
        <v>03月 </v>
      </c>
      <c r="C79" s="7" t="str">
        <f>IFERROR(VLOOKUP(E79,'(新)ﾍﾞﾝﾀﾞｰ中型'!$A$3:$K$187,4,0),"")</f>
        <v>HG2204.EXP </v>
      </c>
      <c r="D79" s="7" t="str">
        <f>IFERROR(VLOOKUP(E79,'(新)ﾍﾞﾝﾀﾞｰ中型'!$A$3:$K$187,5,0),"")</f>
        <v> アマダアメリカ </v>
      </c>
      <c r="E79" s="23" t="str">
        <f>'(新)ﾍﾞﾝﾀﾞｰ中型'!A80</f>
        <v> HG22402992 </v>
      </c>
      <c r="F79" s="8" t="str">
        <f>IFERROR(VLOOKUP(E79,'(新)ﾍﾞﾝﾀﾞｰ中型'!$A$3:$K$187,8,0),"")</f>
        <v>0F9379 </v>
      </c>
      <c r="G79" s="7" t="str">
        <f>IFERROR(VLOOKUP(E79,'(旧)ﾍﾞﾝﾀﾞｰ中型'!$A$3:$K$200,10,0),"")</f>
        <v/>
      </c>
      <c r="H79" s="12" t="s">
        <v>60</v>
      </c>
      <c r="I79" s="7" t="str">
        <f>IFERROR(VLOOKUP(E79,'(新)ﾍﾞﾝﾀﾞｰ中型'!$A$3:$K$187,10,0),"")</f>
        <v>2027/03/05 </v>
      </c>
    </row>
    <row r="80" spans="1:9" s="19" customFormat="1" ht="13.8" thickBot="1" x14ac:dyDescent="0.2">
      <c r="A80" s="11">
        <v>79</v>
      </c>
      <c r="B80" s="7" t="str">
        <f>IFERROR(VLOOKUP(E80,'(新)ﾍﾞﾝﾀﾞｰ中型'!$A$3:$K$187,2,0),"")</f>
        <v>03月 </v>
      </c>
      <c r="C80" s="7" t="str">
        <f>IFERROR(VLOOKUP(E80,'(新)ﾍﾞﾝﾀﾞｰ中型'!$A$3:$K$187,4,0),"")</f>
        <v>HG2204.EXP </v>
      </c>
      <c r="D80" s="7" t="str">
        <f>IFERROR(VLOOKUP(E80,'(新)ﾍﾞﾝﾀﾞｰ中型'!$A$3:$K$187,5,0),"")</f>
        <v> アマダアメリカ </v>
      </c>
      <c r="E80" s="23" t="str">
        <f>'(新)ﾍﾞﾝﾀﾞｰ中型'!A81</f>
        <v> HG22402993 </v>
      </c>
      <c r="F80" s="8" t="str">
        <f>IFERROR(VLOOKUP(E80,'(新)ﾍﾞﾝﾀﾞｰ中型'!$A$3:$K$187,8,0),"")</f>
        <v>0F9379 </v>
      </c>
      <c r="G80" s="7" t="str">
        <f>IFERROR(VLOOKUP(E80,'(旧)ﾍﾞﾝﾀﾞｰ中型'!$A$3:$K$200,10,0),"")</f>
        <v/>
      </c>
      <c r="H80" s="12" t="s">
        <v>60</v>
      </c>
      <c r="I80" s="7" t="str">
        <f>IFERROR(VLOOKUP(E80,'(新)ﾍﾞﾝﾀﾞｰ中型'!$A$3:$K$187,10,0),"")</f>
        <v>2027/03/09 </v>
      </c>
    </row>
    <row r="81" spans="1:9" s="19" customFormat="1" ht="13.8" thickBot="1" x14ac:dyDescent="0.2">
      <c r="A81" s="11">
        <v>80</v>
      </c>
      <c r="B81" s="7" t="str">
        <f>IFERROR(VLOOKUP(E81,'(新)ﾍﾞﾝﾀﾞｰ中型'!$A$3:$K$187,2,0),"")</f>
        <v>03月 </v>
      </c>
      <c r="C81" s="7" t="str">
        <f>IFERROR(VLOOKUP(E81,'(新)ﾍﾞﾝﾀﾞｰ中型'!$A$3:$K$187,4,0),"")</f>
        <v>HG2204.EXP </v>
      </c>
      <c r="D81" s="7" t="str">
        <f>IFERROR(VLOOKUP(E81,'(新)ﾍﾞﾝﾀﾞｰ中型'!$A$3:$K$187,5,0),"")</f>
        <v> アマダアメリカ </v>
      </c>
      <c r="E81" s="23" t="str">
        <f>'(新)ﾍﾞﾝﾀﾞｰ中型'!A82</f>
        <v> HG22402994 </v>
      </c>
      <c r="F81" s="8" t="str">
        <f>IFERROR(VLOOKUP(E81,'(新)ﾍﾞﾝﾀﾞｰ中型'!$A$3:$K$187,8,0),"")</f>
        <v>0F9379 </v>
      </c>
      <c r="G81" s="7" t="str">
        <f>IFERROR(VLOOKUP(E81,'(旧)ﾍﾞﾝﾀﾞｰ中型'!$A$3:$K$200,10,0),"")</f>
        <v/>
      </c>
      <c r="H81" s="12" t="s">
        <v>60</v>
      </c>
      <c r="I81" s="7" t="str">
        <f>IFERROR(VLOOKUP(E81,'(新)ﾍﾞﾝﾀﾞｰ中型'!$A$3:$K$187,10,0),"")</f>
        <v>2027/03/11 </v>
      </c>
    </row>
    <row r="82" spans="1:9" s="19" customFormat="1" ht="13.8" thickBot="1" x14ac:dyDescent="0.2">
      <c r="A82" s="11">
        <v>81</v>
      </c>
      <c r="B82" s="7" t="str">
        <f>IFERROR(VLOOKUP(E82,'(新)ﾍﾞﾝﾀﾞｰ中型'!$A$3:$K$187,2,0),"")</f>
        <v>03月 </v>
      </c>
      <c r="C82" s="7" t="str">
        <f>IFERROR(VLOOKUP(E82,'(新)ﾍﾞﾝﾀﾞｰ中型'!$A$3:$K$187,4,0),"")</f>
        <v>HG2204.EXP </v>
      </c>
      <c r="D82" s="7" t="str">
        <f>IFERROR(VLOOKUP(E82,'(新)ﾍﾞﾝﾀﾞｰ中型'!$A$3:$K$187,5,0),"")</f>
        <v> アマダアメリカ </v>
      </c>
      <c r="E82" s="23" t="str">
        <f>'(新)ﾍﾞﾝﾀﾞｰ中型'!A83</f>
        <v> HG22402995 </v>
      </c>
      <c r="F82" s="8" t="str">
        <f>IFERROR(VLOOKUP(E82,'(新)ﾍﾞﾝﾀﾞｰ中型'!$A$3:$K$187,8,0),"")</f>
        <v>0F9379 </v>
      </c>
      <c r="G82" s="7" t="str">
        <f>IFERROR(VLOOKUP(E82,'(旧)ﾍﾞﾝﾀﾞｰ中型'!$A$3:$K$200,10,0),"")</f>
        <v/>
      </c>
      <c r="H82" s="12" t="s">
        <v>60</v>
      </c>
      <c r="I82" s="7" t="str">
        <f>IFERROR(VLOOKUP(E82,'(新)ﾍﾞﾝﾀﾞｰ中型'!$A$3:$K$187,10,0),"")</f>
        <v>2027/03/13 </v>
      </c>
    </row>
    <row r="83" spans="1:9" s="19" customFormat="1" ht="13.8" thickBot="1" x14ac:dyDescent="0.2">
      <c r="A83" s="11">
        <v>82</v>
      </c>
      <c r="B83" s="7" t="str">
        <f>IFERROR(VLOOKUP(E83,'(新)ﾍﾞﾝﾀﾞｰ中型'!$A$3:$K$187,2,0),"")</f>
        <v>03月 </v>
      </c>
      <c r="C83" s="7" t="str">
        <f>IFERROR(VLOOKUP(E83,'(新)ﾍﾞﾝﾀﾞｰ中型'!$A$3:$K$187,4,0),"")</f>
        <v>HG2203 </v>
      </c>
      <c r="D83" s="7" t="str">
        <f>IFERROR(VLOOKUP(E83,'(新)ﾍﾞﾝﾀﾞｰ中型'!$A$3:$K$187,5,0),"")</f>
        <v>  </v>
      </c>
      <c r="E83" s="23" t="str">
        <f>'(新)ﾍﾞﾝﾀﾞｰ中型'!A84</f>
        <v> HG22302254 </v>
      </c>
      <c r="F83" s="8" t="str">
        <f>IFERROR(VLOOKUP(E83,'(新)ﾍﾞﾝﾀﾞｰ中型'!$A$3:$K$187,8,0),"")</f>
        <v>0F9373 </v>
      </c>
      <c r="G83" s="7" t="str">
        <f>IFERROR(VLOOKUP(E83,'(旧)ﾍﾞﾝﾀﾞｰ中型'!$A$3:$K$200,10,0),"")</f>
        <v/>
      </c>
      <c r="H83" s="12" t="s">
        <v>60</v>
      </c>
      <c r="I83" s="7" t="str">
        <f>IFERROR(VLOOKUP(E83,'(新)ﾍﾞﾝﾀﾞｰ中型'!$A$3:$K$187,10,0),"")</f>
        <v>2027/03/17 </v>
      </c>
    </row>
    <row r="84" spans="1:9" s="19" customFormat="1" ht="13.8" thickBot="1" x14ac:dyDescent="0.2">
      <c r="A84" s="11">
        <v>83</v>
      </c>
      <c r="B84" s="7" t="str">
        <f>IFERROR(VLOOKUP(E84,'(新)ﾍﾞﾝﾀﾞｰ中型'!$A$3:$K$187,2,0),"")</f>
        <v>03月 </v>
      </c>
      <c r="C84" s="7" t="str">
        <f>IFERROR(VLOOKUP(E84,'(新)ﾍﾞﾝﾀﾞｰ中型'!$A$3:$K$187,4,0),"")</f>
        <v>HG2203.EXP </v>
      </c>
      <c r="D84" s="7" t="str">
        <f>IFERROR(VLOOKUP(E84,'(新)ﾍﾞﾝﾀﾞｰ中型'!$A$3:$K$187,5,0),"")</f>
        <v> オーバーシーズ </v>
      </c>
      <c r="E84" s="23" t="str">
        <f>'(新)ﾍﾞﾝﾀﾞｰ中型'!A85</f>
        <v> HG22302255 </v>
      </c>
      <c r="F84" s="8" t="str">
        <f>IFERROR(VLOOKUP(E84,'(新)ﾍﾞﾝﾀﾞｰ中型'!$A$3:$K$187,8,0),"")</f>
        <v>0F9378 </v>
      </c>
      <c r="G84" s="7" t="str">
        <f>IFERROR(VLOOKUP(E84,'(旧)ﾍﾞﾝﾀﾞｰ中型'!$A$3:$K$200,10,0),"")</f>
        <v/>
      </c>
      <c r="H84" s="12" t="s">
        <v>60</v>
      </c>
      <c r="I84" s="7" t="str">
        <f>IFERROR(VLOOKUP(E84,'(新)ﾍﾞﾝﾀﾞｰ中型'!$A$3:$K$187,10,0),"")</f>
        <v>2027/03/19 </v>
      </c>
    </row>
    <row r="85" spans="1:9" s="19" customFormat="1" ht="13.5" customHeight="1" thickBot="1" x14ac:dyDescent="0.2">
      <c r="A85" s="11">
        <v>84</v>
      </c>
      <c r="B85" s="7" t="str">
        <f>IFERROR(VLOOKUP(E85,'(新)ﾍﾞﾝﾀﾞｰ中型'!$A$3:$K$187,2,0),"")</f>
        <v/>
      </c>
      <c r="C85" s="7" t="str">
        <f>IFERROR(VLOOKUP(E85,'(新)ﾍﾞﾝﾀﾞｰ中型'!$A$3:$K$187,4,0),"")</f>
        <v/>
      </c>
      <c r="D85" s="7" t="str">
        <f>IFERROR(VLOOKUP(E85,'(新)ﾍﾞﾝﾀﾞｰ中型'!$A$3:$K$187,5,0),"")</f>
        <v/>
      </c>
      <c r="E85" s="23">
        <f>'(新)ﾍﾞﾝﾀﾞｰ中型'!A86</f>
        <v>0</v>
      </c>
      <c r="F85" s="8" t="str">
        <f>IFERROR(VLOOKUP(E85,'(新)ﾍﾞﾝﾀﾞｰ中型'!$A$3:$K$187,8,0),"")</f>
        <v/>
      </c>
      <c r="G85" s="7" t="str">
        <f>IFERROR(VLOOKUP(E85,'(旧)ﾍﾞﾝﾀﾞｰ中型'!$A$3:$K$200,10,0),"")</f>
        <v/>
      </c>
      <c r="H85" s="12" t="s">
        <v>60</v>
      </c>
      <c r="I85" s="7" t="str">
        <f>IFERROR(VLOOKUP(E85,'(新)ﾍﾞﾝﾀﾞｰ中型'!$A$3:$K$187,10,0),"")</f>
        <v/>
      </c>
    </row>
    <row r="86" spans="1:9" s="19" customFormat="1" ht="13.8" thickBot="1" x14ac:dyDescent="0.2">
      <c r="A86" s="11">
        <v>85</v>
      </c>
      <c r="B86" s="7" t="str">
        <f>IFERROR(VLOOKUP(E86,'(新)ﾍﾞﾝﾀﾞｰ中型'!$A$3:$K$187,2,0),"")</f>
        <v/>
      </c>
      <c r="C86" s="7" t="str">
        <f>IFERROR(VLOOKUP(E86,'(新)ﾍﾞﾝﾀﾞｰ中型'!$A$3:$K$187,4,0),"")</f>
        <v/>
      </c>
      <c r="D86" s="7" t="str">
        <f>IFERROR(VLOOKUP(E86,'(新)ﾍﾞﾝﾀﾞｰ中型'!$A$3:$K$187,5,0),"")</f>
        <v/>
      </c>
      <c r="E86" s="23">
        <f>'(新)ﾍﾞﾝﾀﾞｰ中型'!A87</f>
        <v>0</v>
      </c>
      <c r="F86" s="8" t="str">
        <f>IFERROR(VLOOKUP(E86,'(新)ﾍﾞﾝﾀﾞｰ中型'!$A$3:$K$187,8,0),"")</f>
        <v/>
      </c>
      <c r="G86" s="7" t="str">
        <f>IFERROR(VLOOKUP(E86,'(旧)ﾍﾞﾝﾀﾞｰ中型'!$A$3:$K$200,10,0),"")</f>
        <v/>
      </c>
      <c r="H86" s="12" t="s">
        <v>60</v>
      </c>
      <c r="I86" s="7" t="str">
        <f>IFERROR(VLOOKUP(E86,'(新)ﾍﾞﾝﾀﾞｰ中型'!$A$3:$K$187,10,0),"")</f>
        <v/>
      </c>
    </row>
    <row r="87" spans="1:9" s="19" customFormat="1" ht="13.8" thickBot="1" x14ac:dyDescent="0.2">
      <c r="A87" s="11">
        <v>86</v>
      </c>
      <c r="B87" s="7" t="str">
        <f>IFERROR(VLOOKUP(E87,'(新)ﾍﾞﾝﾀﾞｰ中型'!$A$3:$K$187,2,0),"")</f>
        <v/>
      </c>
      <c r="C87" s="7" t="str">
        <f>IFERROR(VLOOKUP(E87,'(新)ﾍﾞﾝﾀﾞｰ中型'!$A$3:$K$187,4,0),"")</f>
        <v/>
      </c>
      <c r="D87" s="7" t="str">
        <f>IFERROR(VLOOKUP(E87,'(新)ﾍﾞﾝﾀﾞｰ中型'!$A$3:$K$187,5,0),"")</f>
        <v/>
      </c>
      <c r="E87" s="23">
        <f>'(新)ﾍﾞﾝﾀﾞｰ中型'!A88</f>
        <v>0</v>
      </c>
      <c r="F87" s="8" t="str">
        <f>IFERROR(VLOOKUP(E87,'(新)ﾍﾞﾝﾀﾞｰ中型'!$A$3:$K$187,8,0),"")</f>
        <v/>
      </c>
      <c r="G87" s="7" t="str">
        <f>IFERROR(VLOOKUP(E87,'(旧)ﾍﾞﾝﾀﾞｰ中型'!$A$3:$K$200,10,0),"")</f>
        <v/>
      </c>
      <c r="H87" s="12" t="s">
        <v>60</v>
      </c>
      <c r="I87" s="7" t="str">
        <f>IFERROR(VLOOKUP(E87,'(新)ﾍﾞﾝﾀﾞｰ中型'!$A$3:$K$187,10,0),"")</f>
        <v/>
      </c>
    </row>
    <row r="88" spans="1:9" s="19" customFormat="1" ht="13.8" thickBot="1" x14ac:dyDescent="0.2">
      <c r="A88" s="11">
        <v>87</v>
      </c>
      <c r="B88" s="7" t="str">
        <f>IFERROR(VLOOKUP(E88,'(新)ﾍﾞﾝﾀﾞｰ中型'!$A$3:$K$187,2,0),"")</f>
        <v/>
      </c>
      <c r="C88" s="7" t="str">
        <f>IFERROR(VLOOKUP(E88,'(新)ﾍﾞﾝﾀﾞｰ中型'!$A$3:$K$187,4,0),"")</f>
        <v/>
      </c>
      <c r="D88" s="7" t="str">
        <f>IFERROR(VLOOKUP(E88,'(新)ﾍﾞﾝﾀﾞｰ中型'!$A$3:$K$187,5,0),"")</f>
        <v/>
      </c>
      <c r="E88" s="23">
        <f>'(新)ﾍﾞﾝﾀﾞｰ中型'!A89</f>
        <v>0</v>
      </c>
      <c r="F88" s="8" t="str">
        <f>IFERROR(VLOOKUP(E88,'(新)ﾍﾞﾝﾀﾞｰ中型'!$A$3:$K$187,8,0),"")</f>
        <v/>
      </c>
      <c r="G88" s="7" t="str">
        <f>IFERROR(VLOOKUP(E88,'(旧)ﾍﾞﾝﾀﾞｰ中型'!$A$3:$K$200,10,0),"")</f>
        <v/>
      </c>
      <c r="H88" s="12" t="s">
        <v>60</v>
      </c>
      <c r="I88" s="7" t="str">
        <f>IFERROR(VLOOKUP(E88,'(新)ﾍﾞﾝﾀﾞｰ中型'!$A$3:$K$187,10,0),"")</f>
        <v/>
      </c>
    </row>
    <row r="89" spans="1:9" s="19" customFormat="1" ht="13.8" thickBot="1" x14ac:dyDescent="0.2">
      <c r="A89" s="11">
        <v>88</v>
      </c>
      <c r="B89" s="7" t="str">
        <f>IFERROR(VLOOKUP(E89,'(新)ﾍﾞﾝﾀﾞｰ中型'!$A$3:$K$187,2,0),"")</f>
        <v/>
      </c>
      <c r="C89" s="7" t="str">
        <f>IFERROR(VLOOKUP(E89,'(新)ﾍﾞﾝﾀﾞｰ中型'!$A$3:$K$187,4,0),"")</f>
        <v/>
      </c>
      <c r="D89" s="7" t="str">
        <f>IFERROR(VLOOKUP(E89,'(新)ﾍﾞﾝﾀﾞｰ中型'!$A$3:$K$187,5,0),"")</f>
        <v/>
      </c>
      <c r="E89" s="23">
        <f>'(新)ﾍﾞﾝﾀﾞｰ中型'!A90</f>
        <v>0</v>
      </c>
      <c r="F89" s="8" t="str">
        <f>IFERROR(VLOOKUP(E89,'(新)ﾍﾞﾝﾀﾞｰ中型'!$A$3:$K$187,8,0),"")</f>
        <v/>
      </c>
      <c r="G89" s="7" t="str">
        <f>IFERROR(VLOOKUP(E89,'(旧)ﾍﾞﾝﾀﾞｰ中型'!$A$3:$K$200,10,0),"")</f>
        <v/>
      </c>
      <c r="H89" s="12" t="s">
        <v>60</v>
      </c>
      <c r="I89" s="7" t="str">
        <f>IFERROR(VLOOKUP(E89,'(新)ﾍﾞﾝﾀﾞｰ中型'!$A$3:$K$187,10,0),"")</f>
        <v/>
      </c>
    </row>
    <row r="90" spans="1:9" s="19" customFormat="1" ht="13.8" thickBot="1" x14ac:dyDescent="0.2">
      <c r="A90" s="11">
        <v>89</v>
      </c>
      <c r="B90" s="7" t="str">
        <f>IFERROR(VLOOKUP(E90,'(新)ﾍﾞﾝﾀﾞｰ中型'!$A$3:$K$187,2,0),"")</f>
        <v/>
      </c>
      <c r="C90" s="7" t="str">
        <f>IFERROR(VLOOKUP(E90,'(新)ﾍﾞﾝﾀﾞｰ中型'!$A$3:$K$187,4,0),"")</f>
        <v/>
      </c>
      <c r="D90" s="7" t="str">
        <f>IFERROR(VLOOKUP(E90,'(新)ﾍﾞﾝﾀﾞｰ中型'!$A$3:$K$187,5,0),"")</f>
        <v/>
      </c>
      <c r="E90" s="23">
        <f>'(新)ﾍﾞﾝﾀﾞｰ中型'!A91</f>
        <v>0</v>
      </c>
      <c r="F90" s="8" t="str">
        <f>IFERROR(VLOOKUP(E90,'(新)ﾍﾞﾝﾀﾞｰ中型'!$A$3:$K$187,8,0),"")</f>
        <v/>
      </c>
      <c r="G90" s="7" t="str">
        <f>IFERROR(VLOOKUP(E90,'(旧)ﾍﾞﾝﾀﾞｰ中型'!$A$3:$K$200,10,0),"")</f>
        <v/>
      </c>
      <c r="H90" s="12" t="s">
        <v>60</v>
      </c>
      <c r="I90" s="7" t="str">
        <f>IFERROR(VLOOKUP(E90,'(新)ﾍﾞﾝﾀﾞｰ中型'!$A$3:$K$187,10,0),"")</f>
        <v/>
      </c>
    </row>
    <row r="91" spans="1:9" s="19" customFormat="1" ht="13.8" thickBot="1" x14ac:dyDescent="0.2">
      <c r="A91" s="11">
        <v>90</v>
      </c>
      <c r="B91" s="7" t="str">
        <f>IFERROR(VLOOKUP(E91,'(新)ﾍﾞﾝﾀﾞｰ中型'!$A$3:$K$187,2,0),"")</f>
        <v/>
      </c>
      <c r="C91" s="7" t="str">
        <f>IFERROR(VLOOKUP(E91,'(新)ﾍﾞﾝﾀﾞｰ中型'!$A$3:$K$187,4,0),"")</f>
        <v/>
      </c>
      <c r="D91" s="7" t="str">
        <f>IFERROR(VLOOKUP(E91,'(新)ﾍﾞﾝﾀﾞｰ中型'!$A$3:$K$187,5,0),"")</f>
        <v/>
      </c>
      <c r="E91" s="23">
        <f>'(新)ﾍﾞﾝﾀﾞｰ中型'!A92</f>
        <v>0</v>
      </c>
      <c r="F91" s="8" t="str">
        <f>IFERROR(VLOOKUP(E91,'(新)ﾍﾞﾝﾀﾞｰ中型'!$A$3:$K$187,8,0),"")</f>
        <v/>
      </c>
      <c r="G91" s="7" t="str">
        <f>IFERROR(VLOOKUP(E91,'(旧)ﾍﾞﾝﾀﾞｰ中型'!$A$3:$K$200,10,0),"")</f>
        <v/>
      </c>
      <c r="H91" s="12" t="s">
        <v>60</v>
      </c>
      <c r="I91" s="7" t="str">
        <f>IFERROR(VLOOKUP(E91,'(新)ﾍﾞﾝﾀﾞｰ中型'!$A$3:$K$187,10,0),"")</f>
        <v/>
      </c>
    </row>
    <row r="92" spans="1:9" s="19" customFormat="1" ht="13.8" thickBot="1" x14ac:dyDescent="0.2">
      <c r="A92" s="11">
        <v>91</v>
      </c>
      <c r="B92" s="7" t="str">
        <f>IFERROR(VLOOKUP(E92,'(新)ﾍﾞﾝﾀﾞｰ中型'!$A$3:$K$187,2,0),"")</f>
        <v/>
      </c>
      <c r="C92" s="7" t="str">
        <f>IFERROR(VLOOKUP(E92,'(新)ﾍﾞﾝﾀﾞｰ中型'!$A$3:$K$187,4,0),"")</f>
        <v/>
      </c>
      <c r="D92" s="7" t="str">
        <f>IFERROR(VLOOKUP(E92,'(新)ﾍﾞﾝﾀﾞｰ中型'!$A$3:$K$187,5,0),"")</f>
        <v/>
      </c>
      <c r="E92" s="23">
        <f>'(新)ﾍﾞﾝﾀﾞｰ中型'!A93</f>
        <v>0</v>
      </c>
      <c r="F92" s="8" t="str">
        <f>IFERROR(VLOOKUP(E92,'(新)ﾍﾞﾝﾀﾞｰ中型'!$A$3:$K$187,8,0),"")</f>
        <v/>
      </c>
      <c r="G92" s="7" t="str">
        <f>IFERROR(VLOOKUP(E92,'(旧)ﾍﾞﾝﾀﾞｰ中型'!$A$3:$K$200,10,0),"")</f>
        <v/>
      </c>
      <c r="H92" s="12" t="s">
        <v>60</v>
      </c>
      <c r="I92" s="7" t="str">
        <f>IFERROR(VLOOKUP(E92,'(新)ﾍﾞﾝﾀﾞｰ中型'!$A$3:$K$187,10,0),"")</f>
        <v/>
      </c>
    </row>
    <row r="93" spans="1:9" s="19" customFormat="1" ht="13.8" thickBot="1" x14ac:dyDescent="0.2">
      <c r="A93" s="11">
        <v>92</v>
      </c>
      <c r="B93" s="7" t="str">
        <f>IFERROR(VLOOKUP(E93,'(新)ﾍﾞﾝﾀﾞｰ中型'!$A$3:$K$187,2,0),"")</f>
        <v/>
      </c>
      <c r="C93" s="7" t="str">
        <f>IFERROR(VLOOKUP(E93,'(新)ﾍﾞﾝﾀﾞｰ中型'!$A$3:$K$187,4,0),"")</f>
        <v/>
      </c>
      <c r="D93" s="7" t="str">
        <f>IFERROR(VLOOKUP(E93,'(新)ﾍﾞﾝﾀﾞｰ中型'!$A$3:$K$187,5,0),"")</f>
        <v/>
      </c>
      <c r="E93" s="23">
        <f>'(新)ﾍﾞﾝﾀﾞｰ中型'!A94</f>
        <v>0</v>
      </c>
      <c r="F93" s="8" t="str">
        <f>IFERROR(VLOOKUP(E93,'(新)ﾍﾞﾝﾀﾞｰ中型'!$A$3:$K$187,8,0),"")</f>
        <v/>
      </c>
      <c r="G93" s="7" t="str">
        <f>IFERROR(VLOOKUP(E93,'(旧)ﾍﾞﾝﾀﾞｰ中型'!$A$3:$K$200,10,0),"")</f>
        <v/>
      </c>
      <c r="H93" s="12" t="s">
        <v>60</v>
      </c>
      <c r="I93" s="7" t="str">
        <f>IFERROR(VLOOKUP(E93,'(新)ﾍﾞﾝﾀﾞｰ中型'!$A$3:$K$187,10,0),"")</f>
        <v/>
      </c>
    </row>
    <row r="94" spans="1:9" s="19" customFormat="1" ht="13.8" thickBot="1" x14ac:dyDescent="0.2">
      <c r="A94" s="11">
        <v>93</v>
      </c>
      <c r="B94" s="7" t="str">
        <f>IFERROR(VLOOKUP(E94,'(新)ﾍﾞﾝﾀﾞｰ中型'!$A$3:$K$187,2,0),"")</f>
        <v/>
      </c>
      <c r="C94" s="7" t="str">
        <f>IFERROR(VLOOKUP(E94,'(新)ﾍﾞﾝﾀﾞｰ中型'!$A$3:$K$187,4,0),"")</f>
        <v/>
      </c>
      <c r="D94" s="7" t="str">
        <f>IFERROR(VLOOKUP(E94,'(新)ﾍﾞﾝﾀﾞｰ中型'!$A$3:$K$187,5,0),"")</f>
        <v/>
      </c>
      <c r="E94" s="23">
        <f>'(新)ﾍﾞﾝﾀﾞｰ中型'!A95</f>
        <v>0</v>
      </c>
      <c r="F94" s="8" t="str">
        <f>IFERROR(VLOOKUP(E94,'(新)ﾍﾞﾝﾀﾞｰ中型'!$A$3:$K$187,8,0),"")</f>
        <v/>
      </c>
      <c r="G94" s="7" t="str">
        <f>IFERROR(VLOOKUP(E94,'(旧)ﾍﾞﾝﾀﾞｰ中型'!$A$3:$K$200,10,0),"")</f>
        <v/>
      </c>
      <c r="H94" s="12" t="s">
        <v>60</v>
      </c>
      <c r="I94" s="7" t="str">
        <f>IFERROR(VLOOKUP(E94,'(新)ﾍﾞﾝﾀﾞｰ中型'!$A$3:$K$187,10,0),"")</f>
        <v/>
      </c>
    </row>
    <row r="95" spans="1:9" s="19" customFormat="1" ht="13.8" thickBot="1" x14ac:dyDescent="0.2">
      <c r="A95" s="11">
        <v>94</v>
      </c>
      <c r="B95" s="7" t="str">
        <f>IFERROR(VLOOKUP(E95,'(新)ﾍﾞﾝﾀﾞｰ中型'!$A$3:$K$187,2,0),"")</f>
        <v/>
      </c>
      <c r="C95" s="7" t="str">
        <f>IFERROR(VLOOKUP(E95,'(新)ﾍﾞﾝﾀﾞｰ中型'!$A$3:$K$187,4,0),"")</f>
        <v/>
      </c>
      <c r="D95" s="7" t="str">
        <f>IFERROR(VLOOKUP(E95,'(新)ﾍﾞﾝﾀﾞｰ中型'!$A$3:$K$187,5,0),"")</f>
        <v/>
      </c>
      <c r="E95" s="23">
        <f>'(新)ﾍﾞﾝﾀﾞｰ中型'!A96</f>
        <v>0</v>
      </c>
      <c r="F95" s="8" t="str">
        <f>IFERROR(VLOOKUP(E95,'(新)ﾍﾞﾝﾀﾞｰ中型'!$A$3:$K$187,8,0),"")</f>
        <v/>
      </c>
      <c r="G95" s="7" t="str">
        <f>IFERROR(VLOOKUP(E95,'(旧)ﾍﾞﾝﾀﾞｰ中型'!$A$3:$K$200,10,0),"")</f>
        <v/>
      </c>
      <c r="H95" s="12" t="s">
        <v>60</v>
      </c>
      <c r="I95" s="7" t="str">
        <f>IFERROR(VLOOKUP(E95,'(新)ﾍﾞﾝﾀﾞｰ中型'!$A$3:$K$187,10,0),"")</f>
        <v/>
      </c>
    </row>
    <row r="96" spans="1:9" s="19" customFormat="1" ht="13.8" thickBot="1" x14ac:dyDescent="0.2">
      <c r="A96" s="11">
        <v>95</v>
      </c>
      <c r="B96" s="7" t="str">
        <f>IFERROR(VLOOKUP(E96,'(新)ﾍﾞﾝﾀﾞｰ中型'!$A$3:$K$187,2,0),"")</f>
        <v/>
      </c>
      <c r="C96" s="7" t="str">
        <f>IFERROR(VLOOKUP(E96,'(新)ﾍﾞﾝﾀﾞｰ中型'!$A$3:$K$187,4,0),"")</f>
        <v/>
      </c>
      <c r="D96" s="7" t="str">
        <f>IFERROR(VLOOKUP(E96,'(新)ﾍﾞﾝﾀﾞｰ中型'!$A$3:$K$187,5,0),"")</f>
        <v/>
      </c>
      <c r="E96" s="23">
        <f>'(新)ﾍﾞﾝﾀﾞｰ中型'!A97</f>
        <v>0</v>
      </c>
      <c r="F96" s="8" t="str">
        <f>IFERROR(VLOOKUP(E96,'(新)ﾍﾞﾝﾀﾞｰ中型'!$A$3:$K$187,8,0),"")</f>
        <v/>
      </c>
      <c r="G96" s="7" t="str">
        <f>IFERROR(VLOOKUP(E96,'(旧)ﾍﾞﾝﾀﾞｰ中型'!$A$3:$K$200,10,0),"")</f>
        <v/>
      </c>
      <c r="H96" s="12" t="s">
        <v>60</v>
      </c>
      <c r="I96" s="7" t="str">
        <f>IFERROR(VLOOKUP(E96,'(新)ﾍﾞﾝﾀﾞｰ中型'!$A$3:$K$187,10,0),"")</f>
        <v/>
      </c>
    </row>
    <row r="97" spans="1:9" s="19" customFormat="1" ht="13.8" thickBot="1" x14ac:dyDescent="0.2">
      <c r="A97" s="11">
        <v>96</v>
      </c>
      <c r="B97" s="7" t="str">
        <f>IFERROR(VLOOKUP(E97,'(新)ﾍﾞﾝﾀﾞｰ中型'!$A$3:$K$187,2,0),"")</f>
        <v/>
      </c>
      <c r="C97" s="7" t="str">
        <f>IFERROR(VLOOKUP(E97,'(新)ﾍﾞﾝﾀﾞｰ中型'!$A$3:$K$187,4,0),"")</f>
        <v/>
      </c>
      <c r="D97" s="7" t="str">
        <f>IFERROR(VLOOKUP(E97,'(新)ﾍﾞﾝﾀﾞｰ中型'!$A$3:$K$187,5,0),"")</f>
        <v/>
      </c>
      <c r="E97" s="23">
        <f>'(新)ﾍﾞﾝﾀﾞｰ中型'!A98</f>
        <v>0</v>
      </c>
      <c r="F97" s="8" t="str">
        <f>IFERROR(VLOOKUP(E97,'(新)ﾍﾞﾝﾀﾞｰ中型'!$A$3:$K$187,8,0),"")</f>
        <v/>
      </c>
      <c r="G97" s="7" t="str">
        <f>IFERROR(VLOOKUP(E97,'(旧)ﾍﾞﾝﾀﾞｰ中型'!$A$3:$K$200,10,0),"")</f>
        <v/>
      </c>
      <c r="H97" s="12" t="s">
        <v>60</v>
      </c>
      <c r="I97" s="7" t="str">
        <f>IFERROR(VLOOKUP(E97,'(新)ﾍﾞﾝﾀﾞｰ中型'!$A$3:$K$187,10,0),"")</f>
        <v/>
      </c>
    </row>
    <row r="98" spans="1:9" s="19" customFormat="1" ht="13.8" thickBot="1" x14ac:dyDescent="0.2">
      <c r="A98" s="11">
        <v>97</v>
      </c>
      <c r="B98" s="7" t="str">
        <f>IFERROR(VLOOKUP(E98,'(新)ﾍﾞﾝﾀﾞｰ中型'!$A$3:$K$187,2,0),"")</f>
        <v/>
      </c>
      <c r="C98" s="7" t="str">
        <f>IFERROR(VLOOKUP(E98,'(新)ﾍﾞﾝﾀﾞｰ中型'!$A$3:$K$187,4,0),"")</f>
        <v/>
      </c>
      <c r="D98" s="7" t="str">
        <f>IFERROR(VLOOKUP(E98,'(新)ﾍﾞﾝﾀﾞｰ中型'!$A$3:$K$187,5,0),"")</f>
        <v/>
      </c>
      <c r="E98" s="23">
        <f>'(新)ﾍﾞﾝﾀﾞｰ中型'!A99</f>
        <v>0</v>
      </c>
      <c r="F98" s="8" t="str">
        <f>IFERROR(VLOOKUP(E98,'(新)ﾍﾞﾝﾀﾞｰ中型'!$A$3:$K$187,8,0),"")</f>
        <v/>
      </c>
      <c r="G98" s="7" t="str">
        <f>IFERROR(VLOOKUP(E98,'(旧)ﾍﾞﾝﾀﾞｰ中型'!$A$3:$K$200,10,0),"")</f>
        <v/>
      </c>
      <c r="H98" s="12" t="s">
        <v>60</v>
      </c>
      <c r="I98" s="7" t="str">
        <f>IFERROR(VLOOKUP(E98,'(新)ﾍﾞﾝﾀﾞｰ中型'!$A$3:$K$187,10,0),"")</f>
        <v/>
      </c>
    </row>
    <row r="99" spans="1:9" s="19" customFormat="1" ht="13.8" thickBot="1" x14ac:dyDescent="0.2">
      <c r="A99" s="11">
        <v>98</v>
      </c>
      <c r="B99" s="7" t="str">
        <f>IFERROR(VLOOKUP(E99,'(新)ﾍﾞﾝﾀﾞｰ中型'!$A$3:$K$187,2,0),"")</f>
        <v/>
      </c>
      <c r="C99" s="7" t="str">
        <f>IFERROR(VLOOKUP(E99,'(新)ﾍﾞﾝﾀﾞｰ中型'!$A$3:$K$187,4,0),"")</f>
        <v/>
      </c>
      <c r="D99" s="7" t="str">
        <f>IFERROR(VLOOKUP(E99,'(新)ﾍﾞﾝﾀﾞｰ中型'!$A$3:$K$187,5,0),"")</f>
        <v/>
      </c>
      <c r="E99" s="23">
        <f>'(新)ﾍﾞﾝﾀﾞｰ中型'!A100</f>
        <v>0</v>
      </c>
      <c r="F99" s="8" t="str">
        <f>IFERROR(VLOOKUP(E99,'(新)ﾍﾞﾝﾀﾞｰ中型'!$A$3:$K$187,8,0),"")</f>
        <v/>
      </c>
      <c r="G99" s="7" t="str">
        <f>IFERROR(VLOOKUP(E99,'(旧)ﾍﾞﾝﾀﾞｰ中型'!$A$3:$K$200,10,0),"")</f>
        <v/>
      </c>
      <c r="H99" s="12" t="s">
        <v>60</v>
      </c>
      <c r="I99" s="7" t="str">
        <f>IFERROR(VLOOKUP(E99,'(新)ﾍﾞﾝﾀﾞｰ中型'!$A$3:$K$187,10,0),"")</f>
        <v/>
      </c>
    </row>
    <row r="100" spans="1:9" s="19" customFormat="1" ht="13.8" thickBot="1" x14ac:dyDescent="0.2">
      <c r="A100" s="11">
        <v>99</v>
      </c>
      <c r="B100" s="7" t="str">
        <f>IFERROR(VLOOKUP(E100,'(新)ﾍﾞﾝﾀﾞｰ中型'!$A$3:$K$187,2,0),"")</f>
        <v/>
      </c>
      <c r="C100" s="7" t="str">
        <f>IFERROR(VLOOKUP(E100,'(新)ﾍﾞﾝﾀﾞｰ中型'!$A$3:$K$187,4,0),"")</f>
        <v/>
      </c>
      <c r="D100" s="7" t="str">
        <f>IFERROR(VLOOKUP(E100,'(新)ﾍﾞﾝﾀﾞｰ中型'!$A$3:$K$187,5,0),"")</f>
        <v/>
      </c>
      <c r="E100" s="23">
        <f>'(新)ﾍﾞﾝﾀﾞｰ中型'!A101</f>
        <v>0</v>
      </c>
      <c r="F100" s="8" t="str">
        <f>IFERROR(VLOOKUP(E100,'(新)ﾍﾞﾝﾀﾞｰ中型'!$A$3:$K$187,8,0),"")</f>
        <v/>
      </c>
      <c r="G100" s="7" t="str">
        <f>IFERROR(VLOOKUP(E100,'(旧)ﾍﾞﾝﾀﾞｰ中型'!$A$3:$K$200,10,0),"")</f>
        <v/>
      </c>
      <c r="H100" s="12" t="s">
        <v>60</v>
      </c>
      <c r="I100" s="7" t="str">
        <f>IFERROR(VLOOKUP(E100,'(新)ﾍﾞﾝﾀﾞｰ中型'!$A$3:$K$187,10,0),"")</f>
        <v/>
      </c>
    </row>
    <row r="101" spans="1:9" s="19" customFormat="1" ht="13.8" thickBot="1" x14ac:dyDescent="0.2">
      <c r="A101" s="11">
        <v>100</v>
      </c>
      <c r="B101" s="7" t="str">
        <f>IFERROR(VLOOKUP(E101,'(新)ﾍﾞﾝﾀﾞｰ中型'!$A$3:$K$187,2,0),"")</f>
        <v/>
      </c>
      <c r="C101" s="7" t="str">
        <f>IFERROR(VLOOKUP(E101,'(新)ﾍﾞﾝﾀﾞｰ中型'!$A$3:$K$187,4,0),"")</f>
        <v/>
      </c>
      <c r="D101" s="7" t="str">
        <f>IFERROR(VLOOKUP(E101,'(新)ﾍﾞﾝﾀﾞｰ中型'!$A$3:$K$187,5,0),"")</f>
        <v/>
      </c>
      <c r="E101" s="23">
        <f>'(新)ﾍﾞﾝﾀﾞｰ中型'!A102</f>
        <v>0</v>
      </c>
      <c r="F101" s="8" t="str">
        <f>IFERROR(VLOOKUP(E101,'(新)ﾍﾞﾝﾀﾞｰ中型'!$A$3:$K$187,8,0),"")</f>
        <v/>
      </c>
      <c r="G101" s="7" t="str">
        <f>IFERROR(VLOOKUP(E101,'(旧)ﾍﾞﾝﾀﾞｰ中型'!$A$3:$K$200,10,0),"")</f>
        <v/>
      </c>
      <c r="H101" s="12" t="s">
        <v>60</v>
      </c>
      <c r="I101" s="7" t="str">
        <f>IFERROR(VLOOKUP(E101,'(新)ﾍﾞﾝﾀﾞｰ中型'!$A$3:$K$187,10,0),"")</f>
        <v/>
      </c>
    </row>
    <row r="102" spans="1:9" s="19" customFormat="1" ht="13.8" thickBot="1" x14ac:dyDescent="0.2">
      <c r="A102" s="11">
        <v>101</v>
      </c>
      <c r="B102" s="7" t="str">
        <f>IFERROR(VLOOKUP(E102,'(新)ﾍﾞﾝﾀﾞｰ中型'!$A$3:$K$187,2,0),"")</f>
        <v/>
      </c>
      <c r="C102" s="7" t="str">
        <f>IFERROR(VLOOKUP(E102,'(新)ﾍﾞﾝﾀﾞｰ中型'!$A$3:$K$187,4,0),"")</f>
        <v/>
      </c>
      <c r="D102" s="7" t="str">
        <f>IFERROR(VLOOKUP(E102,'(新)ﾍﾞﾝﾀﾞｰ中型'!$A$3:$K$187,5,0),"")</f>
        <v/>
      </c>
      <c r="E102" s="23">
        <f>'(新)ﾍﾞﾝﾀﾞｰ中型'!A103</f>
        <v>0</v>
      </c>
      <c r="F102" s="8" t="str">
        <f>IFERROR(VLOOKUP(E102,'(新)ﾍﾞﾝﾀﾞｰ中型'!$A$3:$K$187,8,0),"")</f>
        <v/>
      </c>
      <c r="G102" s="7" t="str">
        <f>IFERROR(VLOOKUP(E102,'(旧)ﾍﾞﾝﾀﾞｰ中型'!$A$3:$K$200,10,0),"")</f>
        <v/>
      </c>
      <c r="H102" s="12" t="s">
        <v>60</v>
      </c>
      <c r="I102" s="7" t="str">
        <f>IFERROR(VLOOKUP(E102,'(新)ﾍﾞﾝﾀﾞｰ中型'!$A$3:$K$187,10,0),"")</f>
        <v/>
      </c>
    </row>
    <row r="103" spans="1:9" s="19" customFormat="1" ht="13.8" thickBot="1" x14ac:dyDescent="0.2">
      <c r="A103" s="11">
        <v>102</v>
      </c>
      <c r="B103" s="7" t="str">
        <f>IFERROR(VLOOKUP(E103,'(新)ﾍﾞﾝﾀﾞｰ中型'!$A$3:$K$187,2,0),"")</f>
        <v/>
      </c>
      <c r="C103" s="7" t="str">
        <f>IFERROR(VLOOKUP(E103,'(新)ﾍﾞﾝﾀﾞｰ中型'!$A$3:$K$187,4,0),"")</f>
        <v/>
      </c>
      <c r="D103" s="7" t="str">
        <f>IFERROR(VLOOKUP(E103,'(新)ﾍﾞﾝﾀﾞｰ中型'!$A$3:$K$187,5,0),"")</f>
        <v/>
      </c>
      <c r="E103" s="23">
        <f>'(新)ﾍﾞﾝﾀﾞｰ中型'!A104</f>
        <v>0</v>
      </c>
      <c r="F103" s="8" t="str">
        <f>IFERROR(VLOOKUP(E103,'(新)ﾍﾞﾝﾀﾞｰ中型'!$A$3:$K$187,8,0),"")</f>
        <v/>
      </c>
      <c r="G103" s="7" t="str">
        <f>IFERROR(VLOOKUP(E103,'(旧)ﾍﾞﾝﾀﾞｰ中型'!$A$3:$K$200,10,0),"")</f>
        <v/>
      </c>
      <c r="H103" s="12" t="s">
        <v>60</v>
      </c>
      <c r="I103" s="7" t="str">
        <f>IFERROR(VLOOKUP(E103,'(新)ﾍﾞﾝﾀﾞｰ中型'!$A$3:$K$187,10,0),"")</f>
        <v/>
      </c>
    </row>
    <row r="104" spans="1:9" s="19" customFormat="1" ht="13.8" thickBot="1" x14ac:dyDescent="0.2">
      <c r="A104" s="11">
        <v>103</v>
      </c>
      <c r="B104" s="7" t="str">
        <f>IFERROR(VLOOKUP(E104,'(新)ﾍﾞﾝﾀﾞｰ中型'!$A$3:$K$187,2,0),"")</f>
        <v/>
      </c>
      <c r="C104" s="7" t="str">
        <f>IFERROR(VLOOKUP(E104,'(新)ﾍﾞﾝﾀﾞｰ中型'!$A$3:$K$187,4,0),"")</f>
        <v/>
      </c>
      <c r="D104" s="7" t="str">
        <f>IFERROR(VLOOKUP(E104,'(新)ﾍﾞﾝﾀﾞｰ中型'!$A$3:$K$187,5,0),"")</f>
        <v/>
      </c>
      <c r="E104" s="23">
        <f>'(新)ﾍﾞﾝﾀﾞｰ中型'!A105</f>
        <v>0</v>
      </c>
      <c r="F104" s="8" t="str">
        <f>IFERROR(VLOOKUP(E104,'(新)ﾍﾞﾝﾀﾞｰ中型'!$A$3:$K$187,8,0),"")</f>
        <v/>
      </c>
      <c r="G104" s="7" t="str">
        <f>IFERROR(VLOOKUP(E104,'(旧)ﾍﾞﾝﾀﾞｰ中型'!$A$3:$K$200,10,0),"")</f>
        <v/>
      </c>
      <c r="H104" s="12" t="s">
        <v>60</v>
      </c>
      <c r="I104" s="7" t="str">
        <f>IFERROR(VLOOKUP(E104,'(新)ﾍﾞﾝﾀﾞｰ中型'!$A$3:$K$187,10,0),"")</f>
        <v/>
      </c>
    </row>
    <row r="105" spans="1:9" s="19" customFormat="1" ht="13.8" thickBot="1" x14ac:dyDescent="0.2">
      <c r="A105" s="11">
        <v>104</v>
      </c>
      <c r="B105" s="7" t="str">
        <f>IFERROR(VLOOKUP(E105,'(新)ﾍﾞﾝﾀﾞｰ中型'!$A$3:$K$187,2,0),"")</f>
        <v/>
      </c>
      <c r="C105" s="7" t="str">
        <f>IFERROR(VLOOKUP(E105,'(新)ﾍﾞﾝﾀﾞｰ中型'!$A$3:$K$187,4,0),"")</f>
        <v/>
      </c>
      <c r="D105" s="7" t="str">
        <f>IFERROR(VLOOKUP(E105,'(新)ﾍﾞﾝﾀﾞｰ中型'!$A$3:$K$187,5,0),"")</f>
        <v/>
      </c>
      <c r="E105" s="23">
        <f>'(新)ﾍﾞﾝﾀﾞｰ中型'!A106</f>
        <v>0</v>
      </c>
      <c r="F105" s="8" t="str">
        <f>IFERROR(VLOOKUP(E105,'(新)ﾍﾞﾝﾀﾞｰ中型'!$A$3:$K$187,8,0),"")</f>
        <v/>
      </c>
      <c r="G105" s="7" t="str">
        <f>IFERROR(VLOOKUP(E105,'(旧)ﾍﾞﾝﾀﾞｰ中型'!$A$3:$K$200,10,0),"")</f>
        <v/>
      </c>
      <c r="H105" s="12" t="s">
        <v>60</v>
      </c>
      <c r="I105" s="7" t="str">
        <f>IFERROR(VLOOKUP(E105,'(新)ﾍﾞﾝﾀﾞｰ中型'!$A$3:$K$187,10,0),"")</f>
        <v/>
      </c>
    </row>
    <row r="106" spans="1:9" s="19" customFormat="1" ht="13.8" thickBot="1" x14ac:dyDescent="0.2">
      <c r="A106" s="11">
        <v>105</v>
      </c>
      <c r="B106" s="7" t="str">
        <f>IFERROR(VLOOKUP(E106,'(新)ﾍﾞﾝﾀﾞｰ中型'!$A$3:$K$187,2,0),"")</f>
        <v/>
      </c>
      <c r="C106" s="7" t="str">
        <f>IFERROR(VLOOKUP(E106,'(新)ﾍﾞﾝﾀﾞｰ中型'!$A$3:$K$187,4,0),"")</f>
        <v/>
      </c>
      <c r="D106" s="7" t="str">
        <f>IFERROR(VLOOKUP(E106,'(新)ﾍﾞﾝﾀﾞｰ中型'!$A$3:$K$187,5,0),"")</f>
        <v/>
      </c>
      <c r="E106" s="23">
        <f>'(新)ﾍﾞﾝﾀﾞｰ中型'!A107</f>
        <v>0</v>
      </c>
      <c r="F106" s="8" t="str">
        <f>IFERROR(VLOOKUP(E106,'(新)ﾍﾞﾝﾀﾞｰ中型'!$A$3:$K$187,8,0),"")</f>
        <v/>
      </c>
      <c r="G106" s="7" t="str">
        <f>IFERROR(VLOOKUP(E106,'(旧)ﾍﾞﾝﾀﾞｰ中型'!$A$3:$K$200,10,0),"")</f>
        <v/>
      </c>
      <c r="H106" s="12" t="s">
        <v>60</v>
      </c>
      <c r="I106" s="7" t="str">
        <f>IFERROR(VLOOKUP(E106,'(新)ﾍﾞﾝﾀﾞｰ中型'!$A$3:$K$187,10,0),"")</f>
        <v/>
      </c>
    </row>
    <row r="107" spans="1:9" s="19" customFormat="1" ht="13.8" thickBot="1" x14ac:dyDescent="0.2">
      <c r="A107" s="11">
        <v>106</v>
      </c>
      <c r="B107" s="7" t="str">
        <f>IFERROR(VLOOKUP(E107,'(新)ﾍﾞﾝﾀﾞｰ中型'!$A$3:$K$187,2,0),"")</f>
        <v/>
      </c>
      <c r="C107" s="7" t="str">
        <f>IFERROR(VLOOKUP(E107,'(新)ﾍﾞﾝﾀﾞｰ中型'!$A$3:$K$187,4,0),"")</f>
        <v/>
      </c>
      <c r="D107" s="7" t="str">
        <f>IFERROR(VLOOKUP(E107,'(新)ﾍﾞﾝﾀﾞｰ中型'!$A$3:$K$187,5,0),"")</f>
        <v/>
      </c>
      <c r="E107" s="23">
        <f>'(新)ﾍﾞﾝﾀﾞｰ中型'!A108</f>
        <v>0</v>
      </c>
      <c r="F107" s="8" t="str">
        <f>IFERROR(VLOOKUP(E107,'(新)ﾍﾞﾝﾀﾞｰ中型'!$A$3:$K$187,8,0),"")</f>
        <v/>
      </c>
      <c r="G107" s="7" t="str">
        <f>IFERROR(VLOOKUP(E107,'(旧)ﾍﾞﾝﾀﾞｰ中型'!$A$3:$K$200,10,0),"")</f>
        <v/>
      </c>
      <c r="H107" s="12" t="s">
        <v>60</v>
      </c>
      <c r="I107" s="7" t="str">
        <f>IFERROR(VLOOKUP(E107,'(新)ﾍﾞﾝﾀﾞｰ中型'!$A$3:$K$187,10,0),"")</f>
        <v/>
      </c>
    </row>
    <row r="108" spans="1:9" s="19" customFormat="1" ht="13.8" thickBot="1" x14ac:dyDescent="0.2">
      <c r="A108" s="11">
        <v>107</v>
      </c>
      <c r="B108" s="7" t="str">
        <f>IFERROR(VLOOKUP(E108,'(新)ﾍﾞﾝﾀﾞｰ中型'!$A$3:$K$187,2,0),"")</f>
        <v/>
      </c>
      <c r="C108" s="7" t="str">
        <f>IFERROR(VLOOKUP(E108,'(新)ﾍﾞﾝﾀﾞｰ中型'!$A$3:$K$187,4,0),"")</f>
        <v/>
      </c>
      <c r="D108" s="7" t="str">
        <f>IFERROR(VLOOKUP(E108,'(新)ﾍﾞﾝﾀﾞｰ中型'!$A$3:$K$187,5,0),"")</f>
        <v/>
      </c>
      <c r="E108" s="23">
        <f>'(新)ﾍﾞﾝﾀﾞｰ中型'!A109</f>
        <v>0</v>
      </c>
      <c r="F108" s="8" t="str">
        <f>IFERROR(VLOOKUP(E108,'(新)ﾍﾞﾝﾀﾞｰ中型'!$A$3:$K$187,8,0),"")</f>
        <v/>
      </c>
      <c r="G108" s="7" t="str">
        <f>IFERROR(VLOOKUP(E108,'(旧)ﾍﾞﾝﾀﾞｰ中型'!$A$3:$K$200,10,0),"")</f>
        <v/>
      </c>
      <c r="H108" s="12" t="s">
        <v>60</v>
      </c>
      <c r="I108" s="7" t="str">
        <f>IFERROR(VLOOKUP(E108,'(新)ﾍﾞﾝﾀﾞｰ中型'!$A$3:$K$187,10,0),"")</f>
        <v/>
      </c>
    </row>
    <row r="109" spans="1:9" s="19" customFormat="1" ht="13.8" thickBot="1" x14ac:dyDescent="0.2">
      <c r="A109" s="11">
        <v>108</v>
      </c>
      <c r="B109" s="7" t="str">
        <f>IFERROR(VLOOKUP(E109,'(新)ﾍﾞﾝﾀﾞｰ中型'!$A$3:$K$187,2,0),"")</f>
        <v/>
      </c>
      <c r="C109" s="7" t="str">
        <f>IFERROR(VLOOKUP(E109,'(新)ﾍﾞﾝﾀﾞｰ中型'!$A$3:$K$187,4,0),"")</f>
        <v/>
      </c>
      <c r="D109" s="7" t="str">
        <f>IFERROR(VLOOKUP(E109,'(新)ﾍﾞﾝﾀﾞｰ中型'!$A$3:$K$187,5,0),"")</f>
        <v/>
      </c>
      <c r="E109" s="23">
        <f>'(新)ﾍﾞﾝﾀﾞｰ中型'!A110</f>
        <v>0</v>
      </c>
      <c r="F109" s="8" t="str">
        <f>IFERROR(VLOOKUP(E109,'(新)ﾍﾞﾝﾀﾞｰ中型'!$A$3:$K$187,8,0),"")</f>
        <v/>
      </c>
      <c r="G109" s="7" t="str">
        <f>IFERROR(VLOOKUP(E109,'(旧)ﾍﾞﾝﾀﾞｰ中型'!$A$3:$K$200,10,0),"")</f>
        <v/>
      </c>
      <c r="H109" s="12" t="s">
        <v>60</v>
      </c>
      <c r="I109" s="7" t="str">
        <f>IFERROR(VLOOKUP(E109,'(新)ﾍﾞﾝﾀﾞｰ中型'!$A$3:$K$187,10,0),"")</f>
        <v/>
      </c>
    </row>
    <row r="110" spans="1:9" s="19" customFormat="1" ht="13.8" thickBot="1" x14ac:dyDescent="0.2">
      <c r="A110" s="11">
        <v>109</v>
      </c>
      <c r="B110" s="7" t="str">
        <f>IFERROR(VLOOKUP(E110,'(新)ﾍﾞﾝﾀﾞｰ中型'!$A$3:$K$187,2,0),"")</f>
        <v/>
      </c>
      <c r="C110" s="7" t="str">
        <f>IFERROR(VLOOKUP(E110,'(新)ﾍﾞﾝﾀﾞｰ中型'!$A$3:$K$187,4,0),"")</f>
        <v/>
      </c>
      <c r="D110" s="7" t="str">
        <f>IFERROR(VLOOKUP(E110,'(新)ﾍﾞﾝﾀﾞｰ中型'!$A$3:$K$187,5,0),"")</f>
        <v/>
      </c>
      <c r="E110" s="23">
        <f>'(新)ﾍﾞﾝﾀﾞｰ中型'!A111</f>
        <v>0</v>
      </c>
      <c r="F110" s="8" t="str">
        <f>IFERROR(VLOOKUP(E110,'(新)ﾍﾞﾝﾀﾞｰ中型'!$A$3:$K$187,8,0),"")</f>
        <v/>
      </c>
      <c r="G110" s="7" t="str">
        <f>IFERROR(VLOOKUP(E110,'(旧)ﾍﾞﾝﾀﾞｰ中型'!$A$3:$K$200,10,0),"")</f>
        <v/>
      </c>
      <c r="H110" s="12" t="s">
        <v>60</v>
      </c>
      <c r="I110" s="7" t="str">
        <f>IFERROR(VLOOKUP(E110,'(新)ﾍﾞﾝﾀﾞｰ中型'!$A$3:$K$187,10,0),"")</f>
        <v/>
      </c>
    </row>
    <row r="111" spans="1:9" s="19" customFormat="1" ht="13.8" thickBot="1" x14ac:dyDescent="0.2">
      <c r="A111" s="11">
        <v>110</v>
      </c>
      <c r="B111" s="7" t="str">
        <f>IFERROR(VLOOKUP(E111,'(新)ﾍﾞﾝﾀﾞｰ中型'!$A$3:$K$187,2,0),"")</f>
        <v/>
      </c>
      <c r="C111" s="7" t="str">
        <f>IFERROR(VLOOKUP(E111,'(新)ﾍﾞﾝﾀﾞｰ中型'!$A$3:$K$187,4,0),"")</f>
        <v/>
      </c>
      <c r="D111" s="7" t="str">
        <f>IFERROR(VLOOKUP(E111,'(新)ﾍﾞﾝﾀﾞｰ中型'!$A$3:$K$187,5,0),"")</f>
        <v/>
      </c>
      <c r="E111" s="23">
        <f>'(新)ﾍﾞﾝﾀﾞｰ中型'!A112</f>
        <v>0</v>
      </c>
      <c r="F111" s="8" t="str">
        <f>IFERROR(VLOOKUP(E111,'(新)ﾍﾞﾝﾀﾞｰ中型'!$A$3:$K$187,8,0),"")</f>
        <v/>
      </c>
      <c r="G111" s="7" t="str">
        <f>IFERROR(VLOOKUP(E111,'(旧)ﾍﾞﾝﾀﾞｰ中型'!$A$3:$K$200,10,0),"")</f>
        <v/>
      </c>
      <c r="H111" s="12" t="s">
        <v>60</v>
      </c>
      <c r="I111" s="7" t="str">
        <f>IFERROR(VLOOKUP(E111,'(新)ﾍﾞﾝﾀﾞｰ中型'!$A$3:$K$187,10,0),"")</f>
        <v/>
      </c>
    </row>
    <row r="112" spans="1:9" s="19" customFormat="1" ht="13.8" thickBot="1" x14ac:dyDescent="0.2">
      <c r="A112" s="11">
        <v>111</v>
      </c>
      <c r="B112" s="7" t="str">
        <f>IFERROR(VLOOKUP(E112,'(新)ﾍﾞﾝﾀﾞｰ中型'!$A$3:$K$187,2,0),"")</f>
        <v/>
      </c>
      <c r="C112" s="7" t="str">
        <f>IFERROR(VLOOKUP(E112,'(新)ﾍﾞﾝﾀﾞｰ中型'!$A$3:$K$187,4,0),"")</f>
        <v/>
      </c>
      <c r="D112" s="7" t="str">
        <f>IFERROR(VLOOKUP(E112,'(新)ﾍﾞﾝﾀﾞｰ中型'!$A$3:$K$187,5,0),"")</f>
        <v/>
      </c>
      <c r="E112" s="23">
        <f>'(新)ﾍﾞﾝﾀﾞｰ中型'!A113</f>
        <v>0</v>
      </c>
      <c r="F112" s="8" t="str">
        <f>IFERROR(VLOOKUP(E112,'(新)ﾍﾞﾝﾀﾞｰ中型'!$A$3:$K$187,8,0),"")</f>
        <v/>
      </c>
      <c r="G112" s="7" t="str">
        <f>IFERROR(VLOOKUP(E112,'(旧)ﾍﾞﾝﾀﾞｰ中型'!$A$3:$K$200,10,0),"")</f>
        <v/>
      </c>
      <c r="H112" s="12" t="s">
        <v>60</v>
      </c>
      <c r="I112" s="7" t="str">
        <f>IFERROR(VLOOKUP(E112,'(新)ﾍﾞﾝﾀﾞｰ中型'!$A$3:$K$187,10,0),"")</f>
        <v/>
      </c>
    </row>
    <row r="113" spans="1:9" s="19" customFormat="1" ht="13.8" thickBot="1" x14ac:dyDescent="0.2">
      <c r="A113" s="11">
        <v>112</v>
      </c>
      <c r="B113" s="7" t="str">
        <f>IFERROR(VLOOKUP(E113,'(新)ﾍﾞﾝﾀﾞｰ中型'!$A$3:$K$187,2,0),"")</f>
        <v/>
      </c>
      <c r="C113" s="7" t="str">
        <f>IFERROR(VLOOKUP(E113,'(新)ﾍﾞﾝﾀﾞｰ中型'!$A$3:$K$187,4,0),"")</f>
        <v/>
      </c>
      <c r="D113" s="7" t="str">
        <f>IFERROR(VLOOKUP(E113,'(新)ﾍﾞﾝﾀﾞｰ中型'!$A$3:$K$187,5,0),"")</f>
        <v/>
      </c>
      <c r="E113" s="23">
        <f>'(新)ﾍﾞﾝﾀﾞｰ中型'!A114</f>
        <v>0</v>
      </c>
      <c r="F113" s="8" t="str">
        <f>IFERROR(VLOOKUP(E113,'(新)ﾍﾞﾝﾀﾞｰ中型'!$A$3:$K$187,8,0),"")</f>
        <v/>
      </c>
      <c r="G113" s="7" t="str">
        <f>IFERROR(VLOOKUP(E113,'(旧)ﾍﾞﾝﾀﾞｰ中型'!$A$3:$K$200,10,0),"")</f>
        <v/>
      </c>
      <c r="H113" s="12" t="s">
        <v>60</v>
      </c>
      <c r="I113" s="7" t="str">
        <f>IFERROR(VLOOKUP(E113,'(新)ﾍﾞﾝﾀﾞｰ中型'!$A$3:$K$187,10,0),"")</f>
        <v/>
      </c>
    </row>
    <row r="114" spans="1:9" s="19" customFormat="1" ht="13.8" thickBot="1" x14ac:dyDescent="0.2">
      <c r="A114" s="11">
        <v>113</v>
      </c>
      <c r="B114" s="7" t="str">
        <f>IFERROR(VLOOKUP(E114,'(新)ﾍﾞﾝﾀﾞｰ中型'!$A$3:$K$187,2,0),"")</f>
        <v/>
      </c>
      <c r="C114" s="7" t="str">
        <f>IFERROR(VLOOKUP(E114,'(新)ﾍﾞﾝﾀﾞｰ中型'!$A$3:$K$187,4,0),"")</f>
        <v/>
      </c>
      <c r="D114" s="7" t="str">
        <f>IFERROR(VLOOKUP(E114,'(新)ﾍﾞﾝﾀﾞｰ中型'!$A$3:$K$187,5,0),"")</f>
        <v/>
      </c>
      <c r="E114" s="23">
        <f>'(新)ﾍﾞﾝﾀﾞｰ中型'!A115</f>
        <v>0</v>
      </c>
      <c r="F114" s="8" t="str">
        <f>IFERROR(VLOOKUP(E114,'(新)ﾍﾞﾝﾀﾞｰ中型'!$A$3:$K$187,8,0),"")</f>
        <v/>
      </c>
      <c r="G114" s="7" t="str">
        <f>IFERROR(VLOOKUP(E114,'(旧)ﾍﾞﾝﾀﾞｰ中型'!$A$3:$K$200,10,0),"")</f>
        <v/>
      </c>
      <c r="H114" s="12" t="s">
        <v>60</v>
      </c>
      <c r="I114" s="7" t="str">
        <f>IFERROR(VLOOKUP(E114,'(新)ﾍﾞﾝﾀﾞｰ中型'!$A$3:$K$187,10,0),"")</f>
        <v/>
      </c>
    </row>
    <row r="115" spans="1:9" s="19" customFormat="1" ht="13.8" thickBot="1" x14ac:dyDescent="0.2">
      <c r="A115" s="11">
        <v>114</v>
      </c>
      <c r="B115" s="7" t="str">
        <f>IFERROR(VLOOKUP(E115,'(新)ﾍﾞﾝﾀﾞｰ中型'!$A$3:$K$187,2,0),"")</f>
        <v/>
      </c>
      <c r="C115" s="7" t="str">
        <f>IFERROR(VLOOKUP(E115,'(新)ﾍﾞﾝﾀﾞｰ中型'!$A$3:$K$187,4,0),"")</f>
        <v/>
      </c>
      <c r="D115" s="7" t="str">
        <f>IFERROR(VLOOKUP(E115,'(新)ﾍﾞﾝﾀﾞｰ中型'!$A$3:$K$187,5,0),"")</f>
        <v/>
      </c>
      <c r="E115" s="23">
        <f>'(新)ﾍﾞﾝﾀﾞｰ中型'!A116</f>
        <v>0</v>
      </c>
      <c r="F115" s="8" t="str">
        <f>IFERROR(VLOOKUP(E115,'(新)ﾍﾞﾝﾀﾞｰ中型'!$A$3:$K$187,8,0),"")</f>
        <v/>
      </c>
      <c r="G115" s="7" t="str">
        <f>IFERROR(VLOOKUP(E115,'(旧)ﾍﾞﾝﾀﾞｰ中型'!$A$3:$K$200,10,0),"")</f>
        <v/>
      </c>
      <c r="H115" s="12" t="s">
        <v>60</v>
      </c>
      <c r="I115" s="7" t="str">
        <f>IFERROR(VLOOKUP(E115,'(新)ﾍﾞﾝﾀﾞｰ中型'!$A$3:$K$187,10,0),"")</f>
        <v/>
      </c>
    </row>
    <row r="116" spans="1:9" s="19" customFormat="1" ht="13.8" thickBot="1" x14ac:dyDescent="0.2">
      <c r="A116" s="11">
        <v>115</v>
      </c>
      <c r="B116" s="7" t="str">
        <f>IFERROR(VLOOKUP(E116,'(新)ﾍﾞﾝﾀﾞｰ中型'!$A$3:$K$187,2,0),"")</f>
        <v/>
      </c>
      <c r="C116" s="7" t="str">
        <f>IFERROR(VLOOKUP(E116,'(新)ﾍﾞﾝﾀﾞｰ中型'!$A$3:$K$187,4,0),"")</f>
        <v/>
      </c>
      <c r="D116" s="7" t="str">
        <f>IFERROR(VLOOKUP(E116,'(新)ﾍﾞﾝﾀﾞｰ中型'!$A$3:$K$187,5,0),"")</f>
        <v/>
      </c>
      <c r="E116" s="23">
        <f>'(新)ﾍﾞﾝﾀﾞｰ中型'!A117</f>
        <v>0</v>
      </c>
      <c r="F116" s="8" t="str">
        <f>IFERROR(VLOOKUP(E116,'(新)ﾍﾞﾝﾀﾞｰ中型'!$A$3:$K$187,8,0),"")</f>
        <v/>
      </c>
      <c r="G116" s="7" t="str">
        <f>IFERROR(VLOOKUP(E116,'(旧)ﾍﾞﾝﾀﾞｰ中型'!$A$3:$K$200,10,0),"")</f>
        <v/>
      </c>
      <c r="H116" s="12" t="s">
        <v>60</v>
      </c>
      <c r="I116" s="7" t="str">
        <f>IFERROR(VLOOKUP(E116,'(新)ﾍﾞﾝﾀﾞｰ中型'!$A$3:$K$187,10,0),"")</f>
        <v/>
      </c>
    </row>
    <row r="117" spans="1:9" s="19" customFormat="1" ht="13.8" thickBot="1" x14ac:dyDescent="0.2">
      <c r="A117" s="11">
        <v>116</v>
      </c>
      <c r="B117" s="7" t="str">
        <f>IFERROR(VLOOKUP(E117,'(新)ﾍﾞﾝﾀﾞｰ中型'!$A$3:$K$187,2,0),"")</f>
        <v/>
      </c>
      <c r="C117" s="7" t="str">
        <f>IFERROR(VLOOKUP(E117,'(新)ﾍﾞﾝﾀﾞｰ中型'!$A$3:$K$187,4,0),"")</f>
        <v/>
      </c>
      <c r="D117" s="7" t="str">
        <f>IFERROR(VLOOKUP(E117,'(新)ﾍﾞﾝﾀﾞｰ中型'!$A$3:$K$187,5,0),"")</f>
        <v/>
      </c>
      <c r="E117" s="23">
        <f>'(新)ﾍﾞﾝﾀﾞｰ中型'!A118</f>
        <v>0</v>
      </c>
      <c r="F117" s="8" t="str">
        <f>IFERROR(VLOOKUP(E117,'(新)ﾍﾞﾝﾀﾞｰ中型'!$A$3:$K$187,8,0),"")</f>
        <v/>
      </c>
      <c r="G117" s="7" t="str">
        <f>IFERROR(VLOOKUP(E117,'(旧)ﾍﾞﾝﾀﾞｰ中型'!$A$3:$K$200,10,0),"")</f>
        <v/>
      </c>
      <c r="H117" s="12" t="s">
        <v>60</v>
      </c>
      <c r="I117" s="7" t="str">
        <f>IFERROR(VLOOKUP(E117,'(新)ﾍﾞﾝﾀﾞｰ中型'!$A$3:$K$187,10,0),"")</f>
        <v/>
      </c>
    </row>
    <row r="118" spans="1:9" s="19" customFormat="1" ht="13.8" thickBot="1" x14ac:dyDescent="0.2">
      <c r="A118" s="11">
        <v>117</v>
      </c>
      <c r="B118" s="7" t="str">
        <f>IFERROR(VLOOKUP(E118,'(新)ﾍﾞﾝﾀﾞｰ中型'!$A$3:$K$187,2,0),"")</f>
        <v/>
      </c>
      <c r="C118" s="7" t="str">
        <f>IFERROR(VLOOKUP(E118,'(新)ﾍﾞﾝﾀﾞｰ中型'!$A$3:$K$187,4,0),"")</f>
        <v/>
      </c>
      <c r="D118" s="7" t="str">
        <f>IFERROR(VLOOKUP(E118,'(新)ﾍﾞﾝﾀﾞｰ中型'!$A$3:$K$187,5,0),"")</f>
        <v/>
      </c>
      <c r="E118" s="23">
        <f>'(新)ﾍﾞﾝﾀﾞｰ中型'!A119</f>
        <v>0</v>
      </c>
      <c r="F118" s="8" t="str">
        <f>IFERROR(VLOOKUP(E118,'(新)ﾍﾞﾝﾀﾞｰ中型'!$A$3:$K$187,8,0),"")</f>
        <v/>
      </c>
      <c r="G118" s="7" t="str">
        <f>IFERROR(VLOOKUP(E118,'(旧)ﾍﾞﾝﾀﾞｰ中型'!$A$3:$K$200,10,0),"")</f>
        <v/>
      </c>
      <c r="H118" s="12" t="s">
        <v>60</v>
      </c>
      <c r="I118" s="7" t="str">
        <f>IFERROR(VLOOKUP(E118,'(新)ﾍﾞﾝﾀﾞｰ中型'!$A$3:$K$187,10,0),"")</f>
        <v/>
      </c>
    </row>
    <row r="119" spans="1:9" s="19" customFormat="1" ht="13.8" thickBot="1" x14ac:dyDescent="0.2">
      <c r="A119" s="11">
        <v>118</v>
      </c>
      <c r="B119" s="7" t="str">
        <f>IFERROR(VLOOKUP(E119,'(新)ﾍﾞﾝﾀﾞｰ中型'!$A$3:$K$187,2,0),"")</f>
        <v/>
      </c>
      <c r="C119" s="7" t="str">
        <f>IFERROR(VLOOKUP(E119,'(新)ﾍﾞﾝﾀﾞｰ中型'!$A$3:$K$187,4,0),"")</f>
        <v/>
      </c>
      <c r="D119" s="7" t="str">
        <f>IFERROR(VLOOKUP(E119,'(新)ﾍﾞﾝﾀﾞｰ中型'!$A$3:$K$187,5,0),"")</f>
        <v/>
      </c>
      <c r="E119" s="23">
        <f>'(新)ﾍﾞﾝﾀﾞｰ中型'!A120</f>
        <v>0</v>
      </c>
      <c r="F119" s="8" t="str">
        <f>IFERROR(VLOOKUP(E119,'(新)ﾍﾞﾝﾀﾞｰ中型'!$A$3:$K$187,8,0),"")</f>
        <v/>
      </c>
      <c r="G119" s="7" t="str">
        <f>IFERROR(VLOOKUP(E119,'(旧)ﾍﾞﾝﾀﾞｰ中型'!$A$3:$K$200,10,0),"")</f>
        <v/>
      </c>
      <c r="H119" s="12" t="s">
        <v>60</v>
      </c>
      <c r="I119" s="7" t="str">
        <f>IFERROR(VLOOKUP(E119,'(新)ﾍﾞﾝﾀﾞｰ中型'!$A$3:$K$187,10,0),"")</f>
        <v/>
      </c>
    </row>
    <row r="120" spans="1:9" s="19" customFormat="1" ht="13.8" thickBot="1" x14ac:dyDescent="0.2">
      <c r="A120" s="11">
        <v>119</v>
      </c>
      <c r="B120" s="7" t="str">
        <f>IFERROR(VLOOKUP(E120,'(新)ﾍﾞﾝﾀﾞｰ中型'!$A$3:$K$187,2,0),"")</f>
        <v/>
      </c>
      <c r="C120" s="7" t="str">
        <f>IFERROR(VLOOKUP(E120,'(新)ﾍﾞﾝﾀﾞｰ中型'!$A$3:$K$187,4,0),"")</f>
        <v/>
      </c>
      <c r="D120" s="7" t="str">
        <f>IFERROR(VLOOKUP(E120,'(新)ﾍﾞﾝﾀﾞｰ中型'!$A$3:$K$187,5,0),"")</f>
        <v/>
      </c>
      <c r="E120" s="23">
        <f>'(新)ﾍﾞﾝﾀﾞｰ中型'!A121</f>
        <v>0</v>
      </c>
      <c r="F120" s="8" t="str">
        <f>IFERROR(VLOOKUP(E120,'(新)ﾍﾞﾝﾀﾞｰ中型'!$A$3:$K$187,8,0),"")</f>
        <v/>
      </c>
      <c r="G120" s="7" t="str">
        <f>IFERROR(VLOOKUP(E120,'(旧)ﾍﾞﾝﾀﾞｰ中型'!$A$3:$K$200,10,0),"")</f>
        <v/>
      </c>
      <c r="H120" s="12" t="s">
        <v>60</v>
      </c>
      <c r="I120" s="7" t="str">
        <f>IFERROR(VLOOKUP(E120,'(新)ﾍﾞﾝﾀﾞｰ中型'!$A$3:$K$187,10,0),"")</f>
        <v/>
      </c>
    </row>
    <row r="121" spans="1:9" s="19" customFormat="1" ht="13.8" thickBot="1" x14ac:dyDescent="0.2">
      <c r="A121" s="11">
        <v>120</v>
      </c>
      <c r="B121" s="7" t="str">
        <f>IFERROR(VLOOKUP(E121,'(新)ﾍﾞﾝﾀﾞｰ中型'!$A$3:$K$187,2,0),"")</f>
        <v/>
      </c>
      <c r="C121" s="7" t="str">
        <f>IFERROR(VLOOKUP(E121,'(新)ﾍﾞﾝﾀﾞｰ中型'!$A$3:$K$187,4,0),"")</f>
        <v/>
      </c>
      <c r="D121" s="7" t="str">
        <f>IFERROR(VLOOKUP(E121,'(新)ﾍﾞﾝﾀﾞｰ中型'!$A$3:$K$187,5,0),"")</f>
        <v/>
      </c>
      <c r="E121" s="23">
        <f>'(新)ﾍﾞﾝﾀﾞｰ中型'!A122</f>
        <v>0</v>
      </c>
      <c r="F121" s="8" t="str">
        <f>IFERROR(VLOOKUP(E121,'(新)ﾍﾞﾝﾀﾞｰ中型'!$A$3:$K$187,8,0),"")</f>
        <v/>
      </c>
      <c r="G121" s="7" t="str">
        <f>IFERROR(VLOOKUP(E121,'(旧)ﾍﾞﾝﾀﾞｰ中型'!$A$3:$K$200,10,0),"")</f>
        <v/>
      </c>
      <c r="H121" s="12" t="s">
        <v>60</v>
      </c>
      <c r="I121" s="7" t="str">
        <f>IFERROR(VLOOKUP(E121,'(新)ﾍﾞﾝﾀﾞｰ中型'!$A$3:$K$187,10,0),"")</f>
        <v/>
      </c>
    </row>
    <row r="122" spans="1:9" s="19" customFormat="1" ht="13.8" thickBot="1" x14ac:dyDescent="0.2">
      <c r="A122" s="11">
        <v>121</v>
      </c>
      <c r="B122" s="7" t="str">
        <f>IFERROR(VLOOKUP(E122,'(新)ﾍﾞﾝﾀﾞｰ中型'!$A$3:$K$187,2,0),"")</f>
        <v/>
      </c>
      <c r="C122" s="7" t="str">
        <f>IFERROR(VLOOKUP(E122,'(新)ﾍﾞﾝﾀﾞｰ中型'!$A$3:$K$187,4,0),"")</f>
        <v/>
      </c>
      <c r="D122" s="7" t="str">
        <f>IFERROR(VLOOKUP(E122,'(新)ﾍﾞﾝﾀﾞｰ中型'!$A$3:$K$187,5,0),"")</f>
        <v/>
      </c>
      <c r="E122" s="23">
        <f>'(新)ﾍﾞﾝﾀﾞｰ中型'!A123</f>
        <v>0</v>
      </c>
      <c r="F122" s="8" t="str">
        <f>IFERROR(VLOOKUP(E122,'(新)ﾍﾞﾝﾀﾞｰ中型'!$A$3:$K$187,8,0),"")</f>
        <v/>
      </c>
      <c r="G122" s="7" t="str">
        <f>IFERROR(VLOOKUP(E122,'(旧)ﾍﾞﾝﾀﾞｰ中型'!$A$3:$K$200,10,0),"")</f>
        <v/>
      </c>
      <c r="H122" s="12" t="s">
        <v>60</v>
      </c>
      <c r="I122" s="7" t="str">
        <f>IFERROR(VLOOKUP(E122,'(新)ﾍﾞﾝﾀﾞｰ中型'!$A$3:$K$187,10,0),"")</f>
        <v/>
      </c>
    </row>
    <row r="123" spans="1:9" s="19" customFormat="1" ht="13.8" thickBot="1" x14ac:dyDescent="0.2">
      <c r="A123" s="11">
        <v>122</v>
      </c>
      <c r="B123" s="7" t="str">
        <f>IFERROR(VLOOKUP(E123,'(新)ﾍﾞﾝﾀﾞｰ中型'!$A$3:$K$187,2,0),"")</f>
        <v/>
      </c>
      <c r="C123" s="7" t="str">
        <f>IFERROR(VLOOKUP(E123,'(新)ﾍﾞﾝﾀﾞｰ中型'!$A$3:$K$187,4,0),"")</f>
        <v/>
      </c>
      <c r="D123" s="7" t="str">
        <f>IFERROR(VLOOKUP(E123,'(新)ﾍﾞﾝﾀﾞｰ中型'!$A$3:$K$187,5,0),"")</f>
        <v/>
      </c>
      <c r="E123" s="23">
        <f>'(新)ﾍﾞﾝﾀﾞｰ中型'!A124</f>
        <v>0</v>
      </c>
      <c r="F123" s="8" t="str">
        <f>IFERROR(VLOOKUP(E123,'(新)ﾍﾞﾝﾀﾞｰ中型'!$A$3:$K$187,8,0),"")</f>
        <v/>
      </c>
      <c r="G123" s="7" t="str">
        <f>IFERROR(VLOOKUP(E123,'(旧)ﾍﾞﾝﾀﾞｰ中型'!$A$3:$K$200,10,0),"")</f>
        <v/>
      </c>
      <c r="H123" s="12" t="s">
        <v>60</v>
      </c>
      <c r="I123" s="7" t="str">
        <f>IFERROR(VLOOKUP(E123,'(新)ﾍﾞﾝﾀﾞｰ中型'!$A$3:$K$187,10,0),"")</f>
        <v/>
      </c>
    </row>
    <row r="124" spans="1:9" s="19" customFormat="1" ht="13.8" thickBot="1" x14ac:dyDescent="0.2">
      <c r="A124" s="11">
        <v>123</v>
      </c>
      <c r="B124" s="7" t="str">
        <f>IFERROR(VLOOKUP(E124,'(新)ﾍﾞﾝﾀﾞｰ中型'!$A$3:$K$187,2,0),"")</f>
        <v/>
      </c>
      <c r="C124" s="7" t="str">
        <f>IFERROR(VLOOKUP(E124,'(新)ﾍﾞﾝﾀﾞｰ中型'!$A$3:$K$187,4,0),"")</f>
        <v/>
      </c>
      <c r="D124" s="7" t="str">
        <f>IFERROR(VLOOKUP(E124,'(新)ﾍﾞﾝﾀﾞｰ中型'!$A$3:$K$187,5,0),"")</f>
        <v/>
      </c>
      <c r="E124" s="23">
        <f>'(新)ﾍﾞﾝﾀﾞｰ中型'!A125</f>
        <v>0</v>
      </c>
      <c r="F124" s="8" t="str">
        <f>IFERROR(VLOOKUP(E124,'(新)ﾍﾞﾝﾀﾞｰ中型'!$A$3:$K$187,8,0),"")</f>
        <v/>
      </c>
      <c r="G124" s="7" t="str">
        <f>IFERROR(VLOOKUP(E124,'(旧)ﾍﾞﾝﾀﾞｰ中型'!$A$3:$K$200,10,0),"")</f>
        <v/>
      </c>
      <c r="H124" s="12" t="s">
        <v>60</v>
      </c>
      <c r="I124" s="7" t="str">
        <f>IFERROR(VLOOKUP(E124,'(新)ﾍﾞﾝﾀﾞｰ中型'!$A$3:$K$187,10,0),"")</f>
        <v/>
      </c>
    </row>
    <row r="125" spans="1:9" s="19" customFormat="1" ht="13.8" thickBot="1" x14ac:dyDescent="0.2">
      <c r="A125" s="11">
        <v>124</v>
      </c>
      <c r="B125" s="7" t="str">
        <f>IFERROR(VLOOKUP(E125,'(新)ﾍﾞﾝﾀﾞｰ中型'!$A$3:$K$187,2,0),"")</f>
        <v/>
      </c>
      <c r="C125" s="7" t="str">
        <f>IFERROR(VLOOKUP(E125,'(新)ﾍﾞﾝﾀﾞｰ中型'!$A$3:$K$187,4,0),"")</f>
        <v/>
      </c>
      <c r="D125" s="7" t="str">
        <f>IFERROR(VLOOKUP(E125,'(新)ﾍﾞﾝﾀﾞｰ中型'!$A$3:$K$187,5,0),"")</f>
        <v/>
      </c>
      <c r="E125" s="23">
        <f>'(新)ﾍﾞﾝﾀﾞｰ中型'!A126</f>
        <v>0</v>
      </c>
      <c r="F125" s="8" t="str">
        <f>IFERROR(VLOOKUP(E125,'(新)ﾍﾞﾝﾀﾞｰ中型'!$A$3:$K$187,8,0),"")</f>
        <v/>
      </c>
      <c r="G125" s="7" t="str">
        <f>IFERROR(VLOOKUP(E125,'(旧)ﾍﾞﾝﾀﾞｰ中型'!$A$3:$K$200,10,0),"")</f>
        <v/>
      </c>
      <c r="H125" s="12" t="s">
        <v>60</v>
      </c>
      <c r="I125" s="7" t="str">
        <f>IFERROR(VLOOKUP(E125,'(新)ﾍﾞﾝﾀﾞｰ中型'!$A$3:$K$187,10,0),"")</f>
        <v/>
      </c>
    </row>
    <row r="126" spans="1:9" s="19" customFormat="1" ht="13.8" thickBot="1" x14ac:dyDescent="0.2">
      <c r="A126" s="11">
        <v>125</v>
      </c>
      <c r="B126" s="7" t="str">
        <f>IFERROR(VLOOKUP(E126,'(新)ﾍﾞﾝﾀﾞｰ中型'!$A$3:$K$187,2,0),"")</f>
        <v/>
      </c>
      <c r="C126" s="7" t="str">
        <f>IFERROR(VLOOKUP(E126,'(新)ﾍﾞﾝﾀﾞｰ中型'!$A$3:$K$187,4,0),"")</f>
        <v/>
      </c>
      <c r="D126" s="7" t="str">
        <f>IFERROR(VLOOKUP(E126,'(新)ﾍﾞﾝﾀﾞｰ中型'!$A$3:$K$187,5,0),"")</f>
        <v/>
      </c>
      <c r="E126" s="23">
        <f>'(新)ﾍﾞﾝﾀﾞｰ中型'!A127</f>
        <v>0</v>
      </c>
      <c r="F126" s="8" t="str">
        <f>IFERROR(VLOOKUP(E126,'(新)ﾍﾞﾝﾀﾞｰ中型'!$A$3:$K$187,8,0),"")</f>
        <v/>
      </c>
      <c r="G126" s="7" t="str">
        <f>IFERROR(VLOOKUP(E126,'(旧)ﾍﾞﾝﾀﾞｰ中型'!$A$3:$K$200,10,0),"")</f>
        <v/>
      </c>
      <c r="H126" s="12" t="s">
        <v>60</v>
      </c>
      <c r="I126" s="7" t="str">
        <f>IFERROR(VLOOKUP(E126,'(新)ﾍﾞﾝﾀﾞｰ中型'!$A$3:$K$187,10,0),"")</f>
        <v/>
      </c>
    </row>
    <row r="127" spans="1:9" s="19" customFormat="1" ht="13.8" thickBot="1" x14ac:dyDescent="0.2">
      <c r="A127" s="11">
        <v>126</v>
      </c>
      <c r="B127" s="7" t="str">
        <f>IFERROR(VLOOKUP(E127,'(新)ﾍﾞﾝﾀﾞｰ中型'!$A$3:$K$187,2,0),"")</f>
        <v/>
      </c>
      <c r="C127" s="7" t="str">
        <f>IFERROR(VLOOKUP(E127,'(新)ﾍﾞﾝﾀﾞｰ中型'!$A$3:$K$187,4,0),"")</f>
        <v/>
      </c>
      <c r="D127" s="7" t="str">
        <f>IFERROR(VLOOKUP(E127,'(新)ﾍﾞﾝﾀﾞｰ中型'!$A$3:$K$187,5,0),"")</f>
        <v/>
      </c>
      <c r="E127" s="23">
        <f>'(新)ﾍﾞﾝﾀﾞｰ中型'!A128</f>
        <v>0</v>
      </c>
      <c r="F127" s="8" t="str">
        <f>IFERROR(VLOOKUP(E127,'(新)ﾍﾞﾝﾀﾞｰ中型'!$A$3:$K$187,8,0),"")</f>
        <v/>
      </c>
      <c r="G127" s="7" t="str">
        <f>IFERROR(VLOOKUP(E127,'(旧)ﾍﾞﾝﾀﾞｰ中型'!$A$3:$K$200,10,0),"")</f>
        <v/>
      </c>
      <c r="H127" s="12" t="s">
        <v>60</v>
      </c>
      <c r="I127" s="7" t="str">
        <f>IFERROR(VLOOKUP(E127,'(新)ﾍﾞﾝﾀﾞｰ中型'!$A$3:$K$187,10,0),"")</f>
        <v/>
      </c>
    </row>
    <row r="128" spans="1:9" s="19" customFormat="1" ht="13.8" thickBot="1" x14ac:dyDescent="0.2">
      <c r="A128" s="11">
        <v>127</v>
      </c>
      <c r="B128" s="7" t="str">
        <f>IFERROR(VLOOKUP(E128,'(新)ﾍﾞﾝﾀﾞｰ中型'!$A$3:$K$187,2,0),"")</f>
        <v/>
      </c>
      <c r="C128" s="7" t="str">
        <f>IFERROR(VLOOKUP(E128,'(新)ﾍﾞﾝﾀﾞｰ中型'!$A$3:$K$187,4,0),"")</f>
        <v/>
      </c>
      <c r="D128" s="7" t="str">
        <f>IFERROR(VLOOKUP(E128,'(新)ﾍﾞﾝﾀﾞｰ中型'!$A$3:$K$187,5,0),"")</f>
        <v/>
      </c>
      <c r="E128" s="23">
        <f>'(新)ﾍﾞﾝﾀﾞｰ中型'!A129</f>
        <v>0</v>
      </c>
      <c r="F128" s="8" t="str">
        <f>IFERROR(VLOOKUP(E128,'(新)ﾍﾞﾝﾀﾞｰ中型'!$A$3:$K$187,8,0),"")</f>
        <v/>
      </c>
      <c r="G128" s="7" t="str">
        <f>IFERROR(VLOOKUP(E128,'(旧)ﾍﾞﾝﾀﾞｰ中型'!$A$3:$K$200,10,0),"")</f>
        <v/>
      </c>
      <c r="H128" s="12" t="s">
        <v>60</v>
      </c>
      <c r="I128" s="7" t="str">
        <f>IFERROR(VLOOKUP(E128,'(新)ﾍﾞﾝﾀﾞｰ中型'!$A$3:$K$187,10,0),"")</f>
        <v/>
      </c>
    </row>
    <row r="129" spans="1:9" s="19" customFormat="1" ht="13.8" thickBot="1" x14ac:dyDescent="0.2">
      <c r="A129" s="11">
        <v>128</v>
      </c>
      <c r="B129" s="7" t="str">
        <f>IFERROR(VLOOKUP(E129,'(新)ﾍﾞﾝﾀﾞｰ中型'!$A$3:$K$187,2,0),"")</f>
        <v/>
      </c>
      <c r="C129" s="7" t="str">
        <f>IFERROR(VLOOKUP(E129,'(新)ﾍﾞﾝﾀﾞｰ中型'!$A$3:$K$187,4,0),"")</f>
        <v/>
      </c>
      <c r="D129" s="7" t="str">
        <f>IFERROR(VLOOKUP(E129,'(新)ﾍﾞﾝﾀﾞｰ中型'!$A$3:$K$187,5,0),"")</f>
        <v/>
      </c>
      <c r="E129" s="23">
        <f>'(新)ﾍﾞﾝﾀﾞｰ中型'!A130</f>
        <v>0</v>
      </c>
      <c r="F129" s="8" t="str">
        <f>IFERROR(VLOOKUP(E129,'(新)ﾍﾞﾝﾀﾞｰ中型'!$A$3:$K$187,8,0),"")</f>
        <v/>
      </c>
      <c r="G129" s="7" t="str">
        <f>IFERROR(VLOOKUP(E129,'(旧)ﾍﾞﾝﾀﾞｰ中型'!$A$3:$K$200,10,0),"")</f>
        <v/>
      </c>
      <c r="H129" s="12" t="s">
        <v>60</v>
      </c>
      <c r="I129" s="7" t="str">
        <f>IFERROR(VLOOKUP(E129,'(新)ﾍﾞﾝﾀﾞｰ中型'!$A$3:$K$187,10,0),"")</f>
        <v/>
      </c>
    </row>
    <row r="130" spans="1:9" s="19" customFormat="1" ht="13.8" thickBot="1" x14ac:dyDescent="0.2">
      <c r="A130" s="11">
        <v>129</v>
      </c>
      <c r="B130" s="7" t="str">
        <f>IFERROR(VLOOKUP(E130,'(新)ﾍﾞﾝﾀﾞｰ中型'!$A$3:$K$187,2,0),"")</f>
        <v/>
      </c>
      <c r="C130" s="7" t="str">
        <f>IFERROR(VLOOKUP(E130,'(新)ﾍﾞﾝﾀﾞｰ中型'!$A$3:$K$187,4,0),"")</f>
        <v/>
      </c>
      <c r="D130" s="7" t="str">
        <f>IFERROR(VLOOKUP(E130,'(新)ﾍﾞﾝﾀﾞｰ中型'!$A$3:$K$187,5,0),"")</f>
        <v/>
      </c>
      <c r="E130" s="23">
        <f>'(新)ﾍﾞﾝﾀﾞｰ中型'!A131</f>
        <v>0</v>
      </c>
      <c r="F130" s="8" t="str">
        <f>IFERROR(VLOOKUP(E130,'(新)ﾍﾞﾝﾀﾞｰ中型'!$A$3:$K$187,8,0),"")</f>
        <v/>
      </c>
      <c r="G130" s="7" t="str">
        <f>IFERROR(VLOOKUP(E130,'(旧)ﾍﾞﾝﾀﾞｰ中型'!$A$3:$K$200,10,0),"")</f>
        <v/>
      </c>
      <c r="H130" s="12" t="s">
        <v>60</v>
      </c>
      <c r="I130" s="7" t="str">
        <f>IFERROR(VLOOKUP(E130,'(新)ﾍﾞﾝﾀﾞｰ中型'!$A$3:$K$187,10,0),"")</f>
        <v/>
      </c>
    </row>
    <row r="131" spans="1:9" s="19" customFormat="1" ht="13.8" thickBot="1" x14ac:dyDescent="0.2">
      <c r="A131" s="11">
        <v>130</v>
      </c>
      <c r="B131" s="7" t="str">
        <f>IFERROR(VLOOKUP(E131,'(新)ﾍﾞﾝﾀﾞｰ中型'!$A$3:$K$187,2,0),"")</f>
        <v/>
      </c>
      <c r="C131" s="7" t="str">
        <f>IFERROR(VLOOKUP(E131,'(新)ﾍﾞﾝﾀﾞｰ中型'!$A$3:$K$187,4,0),"")</f>
        <v/>
      </c>
      <c r="D131" s="7" t="str">
        <f>IFERROR(VLOOKUP(E131,'(新)ﾍﾞﾝﾀﾞｰ中型'!$A$3:$K$187,5,0),"")</f>
        <v/>
      </c>
      <c r="E131" s="23">
        <f>'(新)ﾍﾞﾝﾀﾞｰ中型'!A119</f>
        <v>0</v>
      </c>
      <c r="F131" s="8" t="str">
        <f>IFERROR(VLOOKUP(E131,'(新)ﾍﾞﾝﾀﾞｰ中型'!$A$3:$K$187,8,0),"")</f>
        <v/>
      </c>
      <c r="G131" s="7" t="str">
        <f>IFERROR(VLOOKUP(E131,'(旧)ﾍﾞﾝﾀﾞｰ中型'!$A$3:$K$200,10,0),"")</f>
        <v/>
      </c>
      <c r="H131" s="12" t="s">
        <v>60</v>
      </c>
      <c r="I131" s="7" t="str">
        <f>IFERROR(VLOOKUP(E131,'(新)ﾍﾞﾝﾀﾞｰ中型'!$A$3:$K$187,10,0),"")</f>
        <v/>
      </c>
    </row>
    <row r="132" spans="1:9" s="19" customFormat="1" ht="13.8" thickBot="1" x14ac:dyDescent="0.2">
      <c r="A132" s="11">
        <v>131</v>
      </c>
      <c r="B132" s="7" t="str">
        <f>IFERROR(VLOOKUP(E132,'(新)ﾍﾞﾝﾀﾞｰ中型'!$A$3:$K$187,2,0),"")</f>
        <v/>
      </c>
      <c r="C132" s="7" t="str">
        <f>IFERROR(VLOOKUP(E132,'(新)ﾍﾞﾝﾀﾞｰ中型'!$A$3:$K$187,4,0),"")</f>
        <v/>
      </c>
      <c r="D132" s="7" t="str">
        <f>IFERROR(VLOOKUP(E132,'(新)ﾍﾞﾝﾀﾞｰ中型'!$A$3:$K$187,5,0),"")</f>
        <v/>
      </c>
      <c r="E132" s="23">
        <f>'(新)ﾍﾞﾝﾀﾞｰ中型'!A120</f>
        <v>0</v>
      </c>
      <c r="F132" s="8" t="str">
        <f>IFERROR(VLOOKUP(E132,'(新)ﾍﾞﾝﾀﾞｰ中型'!$A$3:$K$187,8,0),"")</f>
        <v/>
      </c>
      <c r="G132" s="7" t="str">
        <f>IFERROR(VLOOKUP(E132,'(旧)ﾍﾞﾝﾀﾞｰ中型'!$A$3:$K$200,10,0),"")</f>
        <v/>
      </c>
      <c r="H132" s="12" t="s">
        <v>60</v>
      </c>
      <c r="I132" s="7" t="str">
        <f>IFERROR(VLOOKUP(E132,'(新)ﾍﾞﾝﾀﾞｰ中型'!$A$3:$K$187,10,0),"")</f>
        <v/>
      </c>
    </row>
    <row r="133" spans="1:9" s="19" customFormat="1" ht="13.8" thickBot="1" x14ac:dyDescent="0.2">
      <c r="A133" s="11">
        <v>132</v>
      </c>
      <c r="B133" s="7" t="str">
        <f>IFERROR(VLOOKUP(E133,'(新)ﾍﾞﾝﾀﾞｰ中型'!$A$3:$K$187,2,0),"")</f>
        <v/>
      </c>
      <c r="C133" s="7" t="str">
        <f>IFERROR(VLOOKUP(E133,'(新)ﾍﾞﾝﾀﾞｰ中型'!$A$3:$K$187,4,0),"")</f>
        <v/>
      </c>
      <c r="D133" s="7" t="str">
        <f>IFERROR(VLOOKUP(E133,'(新)ﾍﾞﾝﾀﾞｰ中型'!$A$3:$K$187,5,0),"")</f>
        <v/>
      </c>
      <c r="E133" s="23">
        <f>'(新)ﾍﾞﾝﾀﾞｰ中型'!A121</f>
        <v>0</v>
      </c>
      <c r="F133" s="8" t="str">
        <f>IFERROR(VLOOKUP(E133,'(新)ﾍﾞﾝﾀﾞｰ中型'!$A$3:$K$187,8,0),"")</f>
        <v/>
      </c>
      <c r="G133" s="7" t="str">
        <f>IFERROR(VLOOKUP(E133,'(旧)ﾍﾞﾝﾀﾞｰ中型'!$A$3:$K$200,10,0),"")</f>
        <v/>
      </c>
      <c r="H133" s="12" t="s">
        <v>60</v>
      </c>
      <c r="I133" s="7" t="str">
        <f>IFERROR(VLOOKUP(E133,'(新)ﾍﾞﾝﾀﾞｰ中型'!$A$3:$K$187,10,0),"")</f>
        <v/>
      </c>
    </row>
    <row r="134" spans="1:9" s="19" customFormat="1" ht="13.8" thickBot="1" x14ac:dyDescent="0.2">
      <c r="A134" s="11">
        <v>133</v>
      </c>
      <c r="B134" s="7" t="str">
        <f>IFERROR(VLOOKUP(E134,'(新)ﾍﾞﾝﾀﾞｰ中型'!$A$3:$K$187,2,0),"")</f>
        <v/>
      </c>
      <c r="C134" s="7" t="str">
        <f>IFERROR(VLOOKUP(E134,'(新)ﾍﾞﾝﾀﾞｰ中型'!$A$3:$K$187,4,0),"")</f>
        <v/>
      </c>
      <c r="D134" s="7" t="str">
        <f>IFERROR(VLOOKUP(E134,'(新)ﾍﾞﾝﾀﾞｰ中型'!$A$3:$K$187,5,0),"")</f>
        <v/>
      </c>
      <c r="E134" s="23">
        <f>'(新)ﾍﾞﾝﾀﾞｰ中型'!A122</f>
        <v>0</v>
      </c>
      <c r="F134" s="8" t="str">
        <f>IFERROR(VLOOKUP(E134,'(新)ﾍﾞﾝﾀﾞｰ中型'!$A$3:$K$187,8,0),"")</f>
        <v/>
      </c>
      <c r="G134" s="7" t="str">
        <f>IFERROR(VLOOKUP(E134,'(旧)ﾍﾞﾝﾀﾞｰ中型'!$A$3:$K$200,10,0),"")</f>
        <v/>
      </c>
      <c r="H134" s="12" t="s">
        <v>60</v>
      </c>
      <c r="I134" s="7" t="str">
        <f>IFERROR(VLOOKUP(E134,'(新)ﾍﾞﾝﾀﾞｰ中型'!$A$3:$K$187,10,0),"")</f>
        <v/>
      </c>
    </row>
    <row r="135" spans="1:9" s="19" customFormat="1" ht="13.8" thickBot="1" x14ac:dyDescent="0.2">
      <c r="A135" s="11">
        <v>134</v>
      </c>
      <c r="B135" s="7" t="str">
        <f>IFERROR(VLOOKUP(E135,'(新)ﾍﾞﾝﾀﾞｰ中型'!$A$3:$K$187,2,0),"")</f>
        <v/>
      </c>
      <c r="C135" s="7" t="str">
        <f>IFERROR(VLOOKUP(E135,'(新)ﾍﾞﾝﾀﾞｰ中型'!$A$3:$K$187,4,0),"")</f>
        <v/>
      </c>
      <c r="D135" s="7" t="str">
        <f>IFERROR(VLOOKUP(E135,'(新)ﾍﾞﾝﾀﾞｰ中型'!$A$3:$K$187,5,0),"")</f>
        <v/>
      </c>
      <c r="E135" s="23">
        <f>'(新)ﾍﾞﾝﾀﾞｰ中型'!A123</f>
        <v>0</v>
      </c>
      <c r="F135" s="8" t="str">
        <f>IFERROR(VLOOKUP(E135,'(新)ﾍﾞﾝﾀﾞｰ中型'!$A$3:$K$187,8,0),"")</f>
        <v/>
      </c>
      <c r="G135" s="7" t="str">
        <f>IFERROR(VLOOKUP(E135,'(旧)ﾍﾞﾝﾀﾞｰ中型'!$A$3:$K$200,10,0),"")</f>
        <v/>
      </c>
      <c r="H135" s="12" t="s">
        <v>60</v>
      </c>
      <c r="I135" s="7" t="str">
        <f>IFERROR(VLOOKUP(E135,'(新)ﾍﾞﾝﾀﾞｰ中型'!$A$3:$K$187,10,0),"")</f>
        <v/>
      </c>
    </row>
    <row r="136" spans="1:9" s="19" customFormat="1" ht="13.8" thickBot="1" x14ac:dyDescent="0.2">
      <c r="A136" s="11">
        <v>135</v>
      </c>
      <c r="B136" s="7" t="str">
        <f>IFERROR(VLOOKUP(E136,'(新)ﾍﾞﾝﾀﾞｰ中型'!$A$3:$K$187,2,0),"")</f>
        <v/>
      </c>
      <c r="C136" s="7" t="str">
        <f>IFERROR(VLOOKUP(E136,'(新)ﾍﾞﾝﾀﾞｰ中型'!$A$3:$K$187,4,0),"")</f>
        <v/>
      </c>
      <c r="D136" s="7" t="str">
        <f>IFERROR(VLOOKUP(E136,'(新)ﾍﾞﾝﾀﾞｰ中型'!$A$3:$K$187,5,0),"")</f>
        <v/>
      </c>
      <c r="E136" s="23">
        <f>'(新)ﾍﾞﾝﾀﾞｰ中型'!A124</f>
        <v>0</v>
      </c>
      <c r="F136" s="8" t="str">
        <f>IFERROR(VLOOKUP(E136,'(新)ﾍﾞﾝﾀﾞｰ中型'!$A$3:$K$187,8,0),"")</f>
        <v/>
      </c>
      <c r="G136" s="7" t="str">
        <f>IFERROR(VLOOKUP(E136,'(旧)ﾍﾞﾝﾀﾞｰ中型'!$A$3:$K$200,10,0),"")</f>
        <v/>
      </c>
      <c r="H136" s="12" t="s">
        <v>60</v>
      </c>
      <c r="I136" s="7" t="str">
        <f>IFERROR(VLOOKUP(E136,'(新)ﾍﾞﾝﾀﾞｰ中型'!$A$3:$K$187,10,0),"")</f>
        <v/>
      </c>
    </row>
    <row r="137" spans="1:9" s="19" customFormat="1" ht="13.8" thickBot="1" x14ac:dyDescent="0.2">
      <c r="A137" s="11">
        <v>136</v>
      </c>
      <c r="B137" s="7" t="str">
        <f>IFERROR(VLOOKUP(E137,'(新)ﾍﾞﾝﾀﾞｰ中型'!$A$3:$K$187,2,0),"")</f>
        <v/>
      </c>
      <c r="C137" s="7" t="str">
        <f>IFERROR(VLOOKUP(E137,'(新)ﾍﾞﾝﾀﾞｰ中型'!$A$3:$K$187,4,0),"")</f>
        <v/>
      </c>
      <c r="D137" s="7" t="str">
        <f>IFERROR(VLOOKUP(E137,'(新)ﾍﾞﾝﾀﾞｰ中型'!$A$3:$K$187,5,0),"")</f>
        <v/>
      </c>
      <c r="E137" s="23">
        <f>'(新)ﾍﾞﾝﾀﾞｰ中型'!A125</f>
        <v>0</v>
      </c>
      <c r="F137" s="8" t="str">
        <f>IFERROR(VLOOKUP(E137,'(新)ﾍﾞﾝﾀﾞｰ中型'!$A$3:$K$187,8,0),"")</f>
        <v/>
      </c>
      <c r="G137" s="7" t="str">
        <f>IFERROR(VLOOKUP(E137,'(旧)ﾍﾞﾝﾀﾞｰ中型'!$A$3:$K$200,10,0),"")</f>
        <v/>
      </c>
      <c r="H137" s="12" t="s">
        <v>60</v>
      </c>
      <c r="I137" s="7" t="str">
        <f>IFERROR(VLOOKUP(E137,'(新)ﾍﾞﾝﾀﾞｰ中型'!$A$3:$K$187,10,0),"")</f>
        <v/>
      </c>
    </row>
    <row r="138" spans="1:9" s="19" customFormat="1" ht="13.8" thickBot="1" x14ac:dyDescent="0.2">
      <c r="A138" s="11">
        <v>137</v>
      </c>
      <c r="B138" s="7" t="str">
        <f>IFERROR(VLOOKUP(E138,'(新)ﾍﾞﾝﾀﾞｰ中型'!$A$3:$K$187,2,0),"")</f>
        <v/>
      </c>
      <c r="C138" s="7" t="str">
        <f>IFERROR(VLOOKUP(E138,'(新)ﾍﾞﾝﾀﾞｰ中型'!$A$3:$K$187,4,0),"")</f>
        <v/>
      </c>
      <c r="D138" s="7" t="str">
        <f>IFERROR(VLOOKUP(E138,'(新)ﾍﾞﾝﾀﾞｰ中型'!$A$3:$K$187,5,0),"")</f>
        <v/>
      </c>
      <c r="E138" s="23">
        <f>'(新)ﾍﾞﾝﾀﾞｰ中型'!A126</f>
        <v>0</v>
      </c>
      <c r="F138" s="8" t="str">
        <f>IFERROR(VLOOKUP(E138,'(新)ﾍﾞﾝﾀﾞｰ中型'!$A$3:$K$187,8,0),"")</f>
        <v/>
      </c>
      <c r="G138" s="7" t="str">
        <f>IFERROR(VLOOKUP(E138,'(旧)ﾍﾞﾝﾀﾞｰ中型'!$A$3:$K$200,10,0),"")</f>
        <v/>
      </c>
      <c r="H138" s="12" t="s">
        <v>60</v>
      </c>
      <c r="I138" s="7" t="str">
        <f>IFERROR(VLOOKUP(E138,'(新)ﾍﾞﾝﾀﾞｰ中型'!$A$3:$K$187,10,0),"")</f>
        <v/>
      </c>
    </row>
    <row r="139" spans="1:9" s="19" customFormat="1" ht="13.8" thickBot="1" x14ac:dyDescent="0.2">
      <c r="A139" s="11">
        <v>138</v>
      </c>
      <c r="B139" s="7" t="str">
        <f>IFERROR(VLOOKUP(E139,'(新)ﾍﾞﾝﾀﾞｰ中型'!$A$3:$K$187,2,0),"")</f>
        <v/>
      </c>
      <c r="C139" s="7" t="str">
        <f>IFERROR(VLOOKUP(E139,'(新)ﾍﾞﾝﾀﾞｰ中型'!$A$3:$K$187,4,0),"")</f>
        <v/>
      </c>
      <c r="D139" s="7" t="str">
        <f>IFERROR(VLOOKUP(E139,'(新)ﾍﾞﾝﾀﾞｰ中型'!$A$3:$K$187,5,0),"")</f>
        <v/>
      </c>
      <c r="E139" s="23">
        <f>'(新)ﾍﾞﾝﾀﾞｰ中型'!A127</f>
        <v>0</v>
      </c>
      <c r="F139" s="8" t="str">
        <f>IFERROR(VLOOKUP(E139,'(新)ﾍﾞﾝﾀﾞｰ中型'!$A$3:$K$187,8,0),"")</f>
        <v/>
      </c>
      <c r="G139" s="7" t="str">
        <f>IFERROR(VLOOKUP(E139,'(旧)ﾍﾞﾝﾀﾞｰ中型'!$A$3:$K$200,10,0),"")</f>
        <v/>
      </c>
      <c r="H139" s="12" t="s">
        <v>60</v>
      </c>
      <c r="I139" s="7" t="str">
        <f>IFERROR(VLOOKUP(E139,'(新)ﾍﾞﾝﾀﾞｰ中型'!$A$3:$K$187,10,0),"")</f>
        <v/>
      </c>
    </row>
    <row r="140" spans="1:9" s="19" customFormat="1" ht="13.8" thickBot="1" x14ac:dyDescent="0.2">
      <c r="A140" s="11">
        <v>139</v>
      </c>
      <c r="B140" s="7" t="str">
        <f>IFERROR(VLOOKUP(E140,'(新)ﾍﾞﾝﾀﾞｰ中型'!$A$3:$K$187,2,0),"")</f>
        <v/>
      </c>
      <c r="C140" s="7" t="str">
        <f>IFERROR(VLOOKUP(E140,'(新)ﾍﾞﾝﾀﾞｰ中型'!$A$3:$K$187,4,0),"")</f>
        <v/>
      </c>
      <c r="D140" s="7" t="str">
        <f>IFERROR(VLOOKUP(E140,'(新)ﾍﾞﾝﾀﾞｰ中型'!$A$3:$K$187,5,0),"")</f>
        <v/>
      </c>
      <c r="E140" s="23">
        <f>'(新)ﾍﾞﾝﾀﾞｰ中型'!A128</f>
        <v>0</v>
      </c>
      <c r="F140" s="8" t="str">
        <f>IFERROR(VLOOKUP(E140,'(新)ﾍﾞﾝﾀﾞｰ中型'!$A$3:$K$187,8,0),"")</f>
        <v/>
      </c>
      <c r="G140" s="7" t="str">
        <f>IFERROR(VLOOKUP(E140,'(旧)ﾍﾞﾝﾀﾞｰ中型'!$A$3:$K$200,10,0),"")</f>
        <v/>
      </c>
      <c r="H140" s="12" t="s">
        <v>60</v>
      </c>
      <c r="I140" s="7" t="str">
        <f>IFERROR(VLOOKUP(E140,'(新)ﾍﾞﾝﾀﾞｰ中型'!$A$3:$K$187,10,0),"")</f>
        <v/>
      </c>
    </row>
    <row r="141" spans="1:9" s="19" customFormat="1" ht="13.8" thickBot="1" x14ac:dyDescent="0.2">
      <c r="A141" s="11">
        <v>140</v>
      </c>
      <c r="B141" s="7" t="str">
        <f>IFERROR(VLOOKUP(E141,'(新)ﾍﾞﾝﾀﾞｰ中型'!$A$3:$K$187,2,0),"")</f>
        <v/>
      </c>
      <c r="C141" s="7" t="str">
        <f>IFERROR(VLOOKUP(E141,'(新)ﾍﾞﾝﾀﾞｰ中型'!$A$3:$K$187,4,0),"")</f>
        <v/>
      </c>
      <c r="D141" s="7" t="str">
        <f>IFERROR(VLOOKUP(E141,'(新)ﾍﾞﾝﾀﾞｰ中型'!$A$3:$K$187,5,0),"")</f>
        <v/>
      </c>
      <c r="E141" s="23">
        <f>'(新)ﾍﾞﾝﾀﾞｰ中型'!A129</f>
        <v>0</v>
      </c>
      <c r="F141" s="8" t="str">
        <f>IFERROR(VLOOKUP(E141,'(新)ﾍﾞﾝﾀﾞｰ中型'!$A$3:$K$187,8,0),"")</f>
        <v/>
      </c>
      <c r="G141" s="7" t="str">
        <f>IFERROR(VLOOKUP(E141,'(旧)ﾍﾞﾝﾀﾞｰ中型'!$A$3:$K$200,10,0),"")</f>
        <v/>
      </c>
      <c r="H141" s="12" t="s">
        <v>60</v>
      </c>
      <c r="I141" s="7" t="str">
        <f>IFERROR(VLOOKUP(E141,'(新)ﾍﾞﾝﾀﾞｰ中型'!$A$3:$K$187,10,0),"")</f>
        <v/>
      </c>
    </row>
    <row r="142" spans="1:9" s="19" customFormat="1" ht="13.8" thickBot="1" x14ac:dyDescent="0.2">
      <c r="A142" s="11">
        <v>141</v>
      </c>
      <c r="B142" s="7" t="str">
        <f>IFERROR(VLOOKUP(E142,'(新)ﾍﾞﾝﾀﾞｰ中型'!$A$3:$K$187,2,0),"")</f>
        <v/>
      </c>
      <c r="C142" s="7" t="str">
        <f>IFERROR(VLOOKUP(E142,'(新)ﾍﾞﾝﾀﾞｰ中型'!$A$3:$K$187,4,0),"")</f>
        <v/>
      </c>
      <c r="D142" s="7" t="str">
        <f>IFERROR(VLOOKUP(E142,'(新)ﾍﾞﾝﾀﾞｰ中型'!$A$3:$K$187,5,0),"")</f>
        <v/>
      </c>
      <c r="E142" s="23">
        <f>'(新)ﾍﾞﾝﾀﾞｰ中型'!A130</f>
        <v>0</v>
      </c>
      <c r="F142" s="8" t="str">
        <f>IFERROR(VLOOKUP(E142,'(新)ﾍﾞﾝﾀﾞｰ中型'!$A$3:$K$187,8,0),"")</f>
        <v/>
      </c>
      <c r="G142" s="7" t="str">
        <f>IFERROR(VLOOKUP(E142,'(旧)ﾍﾞﾝﾀﾞｰ中型'!$A$3:$K$200,10,0),"")</f>
        <v/>
      </c>
      <c r="H142" s="12" t="s">
        <v>60</v>
      </c>
      <c r="I142" s="7" t="str">
        <f>IFERROR(VLOOKUP(E142,'(新)ﾍﾞﾝﾀﾞｰ中型'!$A$3:$K$187,10,0),"")</f>
        <v/>
      </c>
    </row>
    <row r="143" spans="1:9" s="19" customFormat="1" ht="13.8" thickBot="1" x14ac:dyDescent="0.2">
      <c r="A143" s="11">
        <v>142</v>
      </c>
      <c r="B143" s="7" t="str">
        <f>IFERROR(VLOOKUP(E143,'(新)ﾍﾞﾝﾀﾞｰ中型'!$A$3:$K$187,2,0),"")</f>
        <v/>
      </c>
      <c r="C143" s="7" t="str">
        <f>IFERROR(VLOOKUP(E143,'(新)ﾍﾞﾝﾀﾞｰ中型'!$A$3:$K$187,4,0),"")</f>
        <v/>
      </c>
      <c r="D143" s="7" t="str">
        <f>IFERROR(VLOOKUP(E143,'(新)ﾍﾞﾝﾀﾞｰ中型'!$A$3:$K$187,5,0),"")</f>
        <v/>
      </c>
      <c r="E143" s="23">
        <f>'(新)ﾍﾞﾝﾀﾞｰ中型'!A131</f>
        <v>0</v>
      </c>
      <c r="F143" s="8" t="str">
        <f>IFERROR(VLOOKUP(E143,'(新)ﾍﾞﾝﾀﾞｰ中型'!$A$3:$K$187,8,0),"")</f>
        <v/>
      </c>
      <c r="G143" s="7" t="str">
        <f>IFERROR(VLOOKUP(E143,'(旧)ﾍﾞﾝﾀﾞｰ中型'!$A$3:$K$200,10,0),"")</f>
        <v/>
      </c>
      <c r="H143" s="12" t="s">
        <v>60</v>
      </c>
      <c r="I143" s="7" t="str">
        <f>IFERROR(VLOOKUP(E143,'(新)ﾍﾞﾝﾀﾞｰ中型'!$A$3:$K$187,10,0),"")</f>
        <v/>
      </c>
    </row>
    <row r="144" spans="1:9" s="19" customFormat="1" ht="13.8" thickBot="1" x14ac:dyDescent="0.2">
      <c r="A144" s="11">
        <v>143</v>
      </c>
      <c r="B144" s="7" t="str">
        <f>IFERROR(VLOOKUP(E144,'(新)ﾍﾞﾝﾀﾞｰ中型'!$A$3:$K$187,2,0),"")</f>
        <v/>
      </c>
      <c r="C144" s="7" t="str">
        <f>IFERROR(VLOOKUP(E144,'(新)ﾍﾞﾝﾀﾞｰ中型'!$A$3:$K$187,4,0),"")</f>
        <v/>
      </c>
      <c r="D144" s="7" t="str">
        <f>IFERROR(VLOOKUP(E144,'(新)ﾍﾞﾝﾀﾞｰ中型'!$A$3:$K$187,5,0),"")</f>
        <v/>
      </c>
      <c r="E144" s="23">
        <f>'(新)ﾍﾞﾝﾀﾞｰ中型'!A132</f>
        <v>0</v>
      </c>
      <c r="F144" s="8" t="str">
        <f>IFERROR(VLOOKUP(E144,'(新)ﾍﾞﾝﾀﾞｰ中型'!$A$3:$K$187,8,0),"")</f>
        <v/>
      </c>
      <c r="G144" s="7" t="str">
        <f>IFERROR(VLOOKUP(E144,'(旧)ﾍﾞﾝﾀﾞｰ中型'!$A$3:$K$200,10,0),"")</f>
        <v/>
      </c>
      <c r="H144" s="12" t="s">
        <v>60</v>
      </c>
      <c r="I144" s="7" t="str">
        <f>IFERROR(VLOOKUP(E144,'(新)ﾍﾞﾝﾀﾞｰ中型'!$A$3:$K$187,10,0),"")</f>
        <v/>
      </c>
    </row>
    <row r="145" spans="1:9" s="19" customFormat="1" ht="13.8" thickBot="1" x14ac:dyDescent="0.2">
      <c r="A145" s="11">
        <v>144</v>
      </c>
      <c r="B145" s="7" t="str">
        <f>IFERROR(VLOOKUP(E145,'(新)ﾍﾞﾝﾀﾞｰ中型'!$A$3:$K$187,2,0),"")</f>
        <v/>
      </c>
      <c r="C145" s="7" t="str">
        <f>IFERROR(VLOOKUP(E145,'(新)ﾍﾞﾝﾀﾞｰ中型'!$A$3:$K$187,4,0),"")</f>
        <v/>
      </c>
      <c r="D145" s="7" t="str">
        <f>IFERROR(VLOOKUP(E145,'(新)ﾍﾞﾝﾀﾞｰ中型'!$A$3:$K$187,5,0),"")</f>
        <v/>
      </c>
      <c r="E145" s="23">
        <f>'(新)ﾍﾞﾝﾀﾞｰ中型'!A133</f>
        <v>0</v>
      </c>
      <c r="F145" s="8" t="str">
        <f>IFERROR(VLOOKUP(E145,'(新)ﾍﾞﾝﾀﾞｰ中型'!$A$3:$K$187,8,0),"")</f>
        <v/>
      </c>
      <c r="G145" s="7" t="str">
        <f>IFERROR(VLOOKUP(E145,'(旧)ﾍﾞﾝﾀﾞｰ中型'!$A$3:$K$200,10,0),"")</f>
        <v/>
      </c>
      <c r="H145" s="12" t="s">
        <v>60</v>
      </c>
      <c r="I145" s="7" t="str">
        <f>IFERROR(VLOOKUP(E145,'(新)ﾍﾞﾝﾀﾞｰ中型'!$A$3:$K$187,10,0),"")</f>
        <v/>
      </c>
    </row>
    <row r="146" spans="1:9" s="19" customFormat="1" ht="13.8" thickBot="1" x14ac:dyDescent="0.2">
      <c r="A146" s="11">
        <v>145</v>
      </c>
      <c r="B146" s="7" t="str">
        <f>IFERROR(VLOOKUP(E146,'(新)ﾍﾞﾝﾀﾞｰ中型'!$A$3:$K$187,2,0),"")</f>
        <v/>
      </c>
      <c r="C146" s="7" t="str">
        <f>IFERROR(VLOOKUP(E146,'(新)ﾍﾞﾝﾀﾞｰ中型'!$A$3:$K$187,4,0),"")</f>
        <v/>
      </c>
      <c r="D146" s="7" t="str">
        <f>IFERROR(VLOOKUP(E146,'(新)ﾍﾞﾝﾀﾞｰ中型'!$A$3:$K$187,5,0),"")</f>
        <v/>
      </c>
      <c r="E146" s="23">
        <f>'(新)ﾍﾞﾝﾀﾞｰ中型'!A134</f>
        <v>0</v>
      </c>
      <c r="F146" s="8" t="str">
        <f>IFERROR(VLOOKUP(E146,'(新)ﾍﾞﾝﾀﾞｰ中型'!$A$3:$K$187,8,0),"")</f>
        <v/>
      </c>
      <c r="G146" s="7" t="str">
        <f>IFERROR(VLOOKUP(E146,'(旧)ﾍﾞﾝﾀﾞｰ中型'!$A$3:$K$200,10,0),"")</f>
        <v/>
      </c>
      <c r="H146" s="12" t="s">
        <v>60</v>
      </c>
      <c r="I146" s="7" t="str">
        <f>IFERROR(VLOOKUP(E146,'(新)ﾍﾞﾝﾀﾞｰ中型'!$A$3:$K$187,10,0),"")</f>
        <v/>
      </c>
    </row>
    <row r="147" spans="1:9" s="19" customFormat="1" ht="13.8" thickBot="1" x14ac:dyDescent="0.2">
      <c r="A147" s="11">
        <v>146</v>
      </c>
      <c r="B147" s="7" t="str">
        <f>IFERROR(VLOOKUP(E147,'(新)ﾍﾞﾝﾀﾞｰ中型'!$A$3:$K$187,2,0),"")</f>
        <v/>
      </c>
      <c r="C147" s="7" t="str">
        <f>IFERROR(VLOOKUP(E147,'(新)ﾍﾞﾝﾀﾞｰ中型'!$A$3:$K$187,4,0),"")</f>
        <v/>
      </c>
      <c r="D147" s="7" t="str">
        <f>IFERROR(VLOOKUP(E147,'(新)ﾍﾞﾝﾀﾞｰ中型'!$A$3:$K$187,5,0),"")</f>
        <v/>
      </c>
      <c r="E147" s="23">
        <f>'(新)ﾍﾞﾝﾀﾞｰ中型'!A135</f>
        <v>0</v>
      </c>
      <c r="F147" s="8" t="str">
        <f>IFERROR(VLOOKUP(E147,'(新)ﾍﾞﾝﾀﾞｰ中型'!$A$3:$K$187,8,0),"")</f>
        <v/>
      </c>
      <c r="G147" s="7" t="str">
        <f>IFERROR(VLOOKUP(E147,'(旧)ﾍﾞﾝﾀﾞｰ中型'!$A$3:$K$200,10,0),"")</f>
        <v/>
      </c>
      <c r="H147" s="12" t="s">
        <v>60</v>
      </c>
      <c r="I147" s="7" t="str">
        <f>IFERROR(VLOOKUP(E147,'(新)ﾍﾞﾝﾀﾞｰ中型'!$A$3:$K$187,10,0),"")</f>
        <v/>
      </c>
    </row>
    <row r="148" spans="1:9" s="19" customFormat="1" ht="13.8" thickBot="1" x14ac:dyDescent="0.2">
      <c r="A148" s="11">
        <v>147</v>
      </c>
      <c r="B148" s="7" t="str">
        <f>IFERROR(VLOOKUP(E148,'(新)ﾍﾞﾝﾀﾞｰ中型'!$A$3:$K$187,2,0),"")</f>
        <v/>
      </c>
      <c r="C148" s="7" t="str">
        <f>IFERROR(VLOOKUP(E148,'(新)ﾍﾞﾝﾀﾞｰ中型'!$A$3:$K$187,4,0),"")</f>
        <v/>
      </c>
      <c r="D148" s="7" t="str">
        <f>IFERROR(VLOOKUP(E148,'(新)ﾍﾞﾝﾀﾞｰ中型'!$A$3:$K$187,5,0),"")</f>
        <v/>
      </c>
      <c r="E148" s="23">
        <f>'(新)ﾍﾞﾝﾀﾞｰ中型'!A136</f>
        <v>0</v>
      </c>
      <c r="F148" s="8" t="str">
        <f>IFERROR(VLOOKUP(E148,'(新)ﾍﾞﾝﾀﾞｰ中型'!$A$3:$K$187,8,0),"")</f>
        <v/>
      </c>
      <c r="G148" s="7" t="str">
        <f>IFERROR(VLOOKUP(E148,'(旧)ﾍﾞﾝﾀﾞｰ中型'!$A$3:$K$200,10,0),"")</f>
        <v/>
      </c>
      <c r="H148" s="12" t="s">
        <v>60</v>
      </c>
      <c r="I148" s="7" t="str">
        <f>IFERROR(VLOOKUP(E148,'(新)ﾍﾞﾝﾀﾞｰ中型'!$A$3:$K$187,10,0),"")</f>
        <v/>
      </c>
    </row>
    <row r="149" spans="1:9" s="19" customFormat="1" ht="13.8" thickBot="1" x14ac:dyDescent="0.2">
      <c r="A149" s="11">
        <v>148</v>
      </c>
      <c r="B149" s="7" t="str">
        <f>IFERROR(VLOOKUP(E149,'(新)ﾍﾞﾝﾀﾞｰ中型'!$A$3:$K$187,2,0),"")</f>
        <v/>
      </c>
      <c r="C149" s="7" t="str">
        <f>IFERROR(VLOOKUP(E149,'(新)ﾍﾞﾝﾀﾞｰ中型'!$A$3:$K$187,4,0),"")</f>
        <v/>
      </c>
      <c r="D149" s="7" t="str">
        <f>IFERROR(VLOOKUP(E149,'(新)ﾍﾞﾝﾀﾞｰ中型'!$A$3:$K$187,5,0),"")</f>
        <v/>
      </c>
      <c r="E149" s="23">
        <f>'(新)ﾍﾞﾝﾀﾞｰ中型'!A137</f>
        <v>0</v>
      </c>
      <c r="F149" s="8" t="str">
        <f>IFERROR(VLOOKUP(E149,'(新)ﾍﾞﾝﾀﾞｰ中型'!$A$3:$K$187,8,0),"")</f>
        <v/>
      </c>
      <c r="G149" s="7" t="str">
        <f>IFERROR(VLOOKUP(E149,'(旧)ﾍﾞﾝﾀﾞｰ中型'!$A$3:$K$200,10,0),"")</f>
        <v/>
      </c>
      <c r="H149" s="12" t="s">
        <v>60</v>
      </c>
      <c r="I149" s="7" t="str">
        <f>IFERROR(VLOOKUP(E149,'(新)ﾍﾞﾝﾀﾞｰ中型'!$A$3:$K$187,10,0),"")</f>
        <v/>
      </c>
    </row>
    <row r="150" spans="1:9" s="19" customFormat="1" ht="13.8" thickBot="1" x14ac:dyDescent="0.2">
      <c r="A150" s="11">
        <v>149</v>
      </c>
      <c r="B150" s="7" t="str">
        <f>IFERROR(VLOOKUP(E150,'(新)ﾍﾞﾝﾀﾞｰ中型'!$A$3:$K$187,2,0),"")</f>
        <v/>
      </c>
      <c r="C150" s="7" t="str">
        <f>IFERROR(VLOOKUP(E150,'(新)ﾍﾞﾝﾀﾞｰ中型'!$A$3:$K$187,4,0),"")</f>
        <v/>
      </c>
      <c r="D150" s="7" t="str">
        <f>IFERROR(VLOOKUP(E150,'(新)ﾍﾞﾝﾀﾞｰ中型'!$A$3:$K$187,5,0),"")</f>
        <v/>
      </c>
      <c r="E150" s="23">
        <f>'(新)ﾍﾞﾝﾀﾞｰ中型'!A138</f>
        <v>0</v>
      </c>
      <c r="F150" s="8" t="str">
        <f>IFERROR(VLOOKUP(E150,'(新)ﾍﾞﾝﾀﾞｰ中型'!$A$3:$K$187,8,0),"")</f>
        <v/>
      </c>
      <c r="G150" s="7" t="str">
        <f>IFERROR(VLOOKUP(E150,'(旧)ﾍﾞﾝﾀﾞｰ中型'!$A$3:$K$200,10,0),"")</f>
        <v/>
      </c>
      <c r="H150" s="12" t="s">
        <v>60</v>
      </c>
      <c r="I150" s="7" t="str">
        <f>IFERROR(VLOOKUP(E150,'(新)ﾍﾞﾝﾀﾞｰ中型'!$A$3:$K$187,10,0),"")</f>
        <v/>
      </c>
    </row>
    <row r="151" spans="1:9" s="19" customFormat="1" ht="13.8" thickBot="1" x14ac:dyDescent="0.2">
      <c r="A151" s="11">
        <v>150</v>
      </c>
      <c r="B151" s="7" t="str">
        <f>IFERROR(VLOOKUP(E151,'(新)ﾍﾞﾝﾀﾞｰ中型'!$A$3:$K$187,2,0),"")</f>
        <v/>
      </c>
      <c r="C151" s="7" t="str">
        <f>IFERROR(VLOOKUP(E151,'(新)ﾍﾞﾝﾀﾞｰ中型'!$A$3:$K$187,4,0),"")</f>
        <v/>
      </c>
      <c r="D151" s="7" t="str">
        <f>IFERROR(VLOOKUP(E151,'(新)ﾍﾞﾝﾀﾞｰ中型'!$A$3:$K$187,5,0),"")</f>
        <v/>
      </c>
      <c r="E151" s="23">
        <f>'(新)ﾍﾞﾝﾀﾞｰ中型'!A139</f>
        <v>0</v>
      </c>
      <c r="F151" s="8" t="str">
        <f>IFERROR(VLOOKUP(E151,'(新)ﾍﾞﾝﾀﾞｰ中型'!$A$3:$K$187,8,0),"")</f>
        <v/>
      </c>
      <c r="G151" s="7" t="str">
        <f>IFERROR(VLOOKUP(E151,'(旧)ﾍﾞﾝﾀﾞｰ中型'!$A$3:$K$200,10,0),"")</f>
        <v/>
      </c>
      <c r="H151" s="12" t="s">
        <v>60</v>
      </c>
      <c r="I151" s="7" t="str">
        <f>IFERROR(VLOOKUP(E151,'(新)ﾍﾞﾝﾀﾞｰ中型'!$A$3:$K$187,10,0),"")</f>
        <v/>
      </c>
    </row>
    <row r="152" spans="1:9" s="19" customFormat="1" ht="13.8" thickBot="1" x14ac:dyDescent="0.2">
      <c r="A152" s="11">
        <v>151</v>
      </c>
      <c r="B152" s="7" t="str">
        <f>IFERROR(VLOOKUP(E152,'(新)ﾍﾞﾝﾀﾞｰ中型'!$A$3:$K$187,2,0),"")</f>
        <v/>
      </c>
      <c r="C152" s="7" t="str">
        <f>IFERROR(VLOOKUP(E152,'(新)ﾍﾞﾝﾀﾞｰ中型'!$A$3:$K$187,4,0),"")</f>
        <v/>
      </c>
      <c r="D152" s="7" t="str">
        <f>IFERROR(VLOOKUP(E152,'(新)ﾍﾞﾝﾀﾞｰ中型'!$A$3:$K$187,5,0),"")</f>
        <v/>
      </c>
      <c r="E152" s="23">
        <f>'(新)ﾍﾞﾝﾀﾞｰ中型'!A140</f>
        <v>0</v>
      </c>
      <c r="F152" s="8" t="str">
        <f>IFERROR(VLOOKUP(E152,'(新)ﾍﾞﾝﾀﾞｰ中型'!$A$3:$K$187,8,0),"")</f>
        <v/>
      </c>
      <c r="G152" s="7" t="str">
        <f>IFERROR(VLOOKUP(E152,'(旧)ﾍﾞﾝﾀﾞｰ中型'!$A$3:$K$200,10,0),"")</f>
        <v/>
      </c>
      <c r="H152" s="12" t="s">
        <v>60</v>
      </c>
      <c r="I152" s="7" t="str">
        <f>IFERROR(VLOOKUP(E152,'(新)ﾍﾞﾝﾀﾞｰ中型'!$A$3:$K$187,10,0),"")</f>
        <v/>
      </c>
    </row>
    <row r="153" spans="1:9" s="19" customFormat="1" ht="13.8" thickBot="1" x14ac:dyDescent="0.2">
      <c r="A153" s="11">
        <v>152</v>
      </c>
      <c r="B153" s="7" t="str">
        <f>IFERROR(VLOOKUP(E153,'(新)ﾍﾞﾝﾀﾞｰ中型'!$A$3:$K$187,2,0),"")</f>
        <v/>
      </c>
      <c r="C153" s="7" t="str">
        <f>IFERROR(VLOOKUP(E153,'(新)ﾍﾞﾝﾀﾞｰ中型'!$A$3:$K$187,4,0),"")</f>
        <v/>
      </c>
      <c r="D153" s="7" t="str">
        <f>IFERROR(VLOOKUP(E153,'(新)ﾍﾞﾝﾀﾞｰ中型'!$A$3:$K$187,5,0),"")</f>
        <v/>
      </c>
      <c r="E153" s="23">
        <f>'(新)ﾍﾞﾝﾀﾞｰ中型'!A141</f>
        <v>0</v>
      </c>
      <c r="F153" s="8" t="str">
        <f>IFERROR(VLOOKUP(E153,'(新)ﾍﾞﾝﾀﾞｰ中型'!$A$3:$K$187,8,0),"")</f>
        <v/>
      </c>
      <c r="G153" s="7" t="str">
        <f>IFERROR(VLOOKUP(E153,'(旧)ﾍﾞﾝﾀﾞｰ中型'!$A$3:$K$200,10,0),"")</f>
        <v/>
      </c>
      <c r="H153" s="12" t="s">
        <v>60</v>
      </c>
      <c r="I153" s="7" t="str">
        <f>IFERROR(VLOOKUP(E153,'(新)ﾍﾞﾝﾀﾞｰ中型'!$A$3:$K$187,10,0),"")</f>
        <v/>
      </c>
    </row>
    <row r="154" spans="1:9" s="19" customFormat="1" ht="13.8" thickBot="1" x14ac:dyDescent="0.2">
      <c r="A154" s="11">
        <v>153</v>
      </c>
      <c r="B154" s="7" t="str">
        <f>IFERROR(VLOOKUP(E154,'(新)ﾍﾞﾝﾀﾞｰ中型'!$A$3:$K$187,2,0),"")</f>
        <v/>
      </c>
      <c r="C154" s="7" t="str">
        <f>IFERROR(VLOOKUP(E154,'(新)ﾍﾞﾝﾀﾞｰ中型'!$A$3:$K$187,4,0),"")</f>
        <v/>
      </c>
      <c r="D154" s="7" t="str">
        <f>IFERROR(VLOOKUP(E154,'(新)ﾍﾞﾝﾀﾞｰ中型'!$A$3:$K$187,5,0),"")</f>
        <v/>
      </c>
      <c r="E154" s="23">
        <f>'(新)ﾍﾞﾝﾀﾞｰ中型'!A142</f>
        <v>0</v>
      </c>
      <c r="F154" s="8" t="str">
        <f>IFERROR(VLOOKUP(E154,'(新)ﾍﾞﾝﾀﾞｰ中型'!$A$3:$K$187,8,0),"")</f>
        <v/>
      </c>
      <c r="G154" s="7" t="str">
        <f>IFERROR(VLOOKUP(E154,'(旧)ﾍﾞﾝﾀﾞｰ中型'!$A$3:$K$200,10,0),"")</f>
        <v/>
      </c>
      <c r="H154" s="12" t="s">
        <v>60</v>
      </c>
      <c r="I154" s="7" t="str">
        <f>IFERROR(VLOOKUP(E154,'(新)ﾍﾞﾝﾀﾞｰ中型'!$A$3:$K$187,10,0),"")</f>
        <v/>
      </c>
    </row>
    <row r="155" spans="1:9" s="19" customFormat="1" ht="13.8" thickBot="1" x14ac:dyDescent="0.2">
      <c r="A155" s="11">
        <v>154</v>
      </c>
      <c r="B155" s="7" t="str">
        <f>IFERROR(VLOOKUP(E155,'(新)ﾍﾞﾝﾀﾞｰ中型'!$A$3:$K$187,2,0),"")</f>
        <v/>
      </c>
      <c r="C155" s="7" t="str">
        <f>IFERROR(VLOOKUP(E155,'(新)ﾍﾞﾝﾀﾞｰ中型'!$A$3:$K$187,4,0),"")</f>
        <v/>
      </c>
      <c r="D155" s="7" t="str">
        <f>IFERROR(VLOOKUP(E155,'(新)ﾍﾞﾝﾀﾞｰ中型'!$A$3:$K$187,5,0),"")</f>
        <v/>
      </c>
      <c r="E155" s="23">
        <f>'(新)ﾍﾞﾝﾀﾞｰ中型'!A143</f>
        <v>0</v>
      </c>
      <c r="F155" s="8" t="str">
        <f>IFERROR(VLOOKUP(E155,'(新)ﾍﾞﾝﾀﾞｰ中型'!$A$3:$K$187,8,0),"")</f>
        <v/>
      </c>
      <c r="G155" s="7" t="str">
        <f>IFERROR(VLOOKUP(E155,'(旧)ﾍﾞﾝﾀﾞｰ中型'!$A$3:$K$200,10,0),"")</f>
        <v/>
      </c>
      <c r="H155" s="12" t="s">
        <v>60</v>
      </c>
      <c r="I155" s="7" t="str">
        <f>IFERROR(VLOOKUP(E155,'(新)ﾍﾞﾝﾀﾞｰ中型'!$A$3:$K$187,10,0),"")</f>
        <v/>
      </c>
    </row>
    <row r="156" spans="1:9" s="19" customFormat="1" ht="13.8" thickBot="1" x14ac:dyDescent="0.2">
      <c r="A156" s="11">
        <v>155</v>
      </c>
      <c r="B156" s="7" t="str">
        <f>IFERROR(VLOOKUP(E156,'(新)ﾍﾞﾝﾀﾞｰ中型'!$A$3:$K$187,2,0),"")</f>
        <v/>
      </c>
      <c r="C156" s="7" t="str">
        <f>IFERROR(VLOOKUP(E156,'(新)ﾍﾞﾝﾀﾞｰ中型'!$A$3:$K$187,4,0),"")</f>
        <v/>
      </c>
      <c r="D156" s="7" t="str">
        <f>IFERROR(VLOOKUP(E156,'(新)ﾍﾞﾝﾀﾞｰ中型'!$A$3:$K$187,5,0),"")</f>
        <v/>
      </c>
      <c r="E156" s="23">
        <f>'(新)ﾍﾞﾝﾀﾞｰ中型'!A144</f>
        <v>0</v>
      </c>
      <c r="F156" s="8" t="str">
        <f>IFERROR(VLOOKUP(E156,'(新)ﾍﾞﾝﾀﾞｰ中型'!$A$3:$K$187,8,0),"")</f>
        <v/>
      </c>
      <c r="G156" s="7" t="str">
        <f>IFERROR(VLOOKUP(E156,'(旧)ﾍﾞﾝﾀﾞｰ中型'!$A$3:$K$200,10,0),"")</f>
        <v/>
      </c>
      <c r="H156" s="12" t="s">
        <v>60</v>
      </c>
      <c r="I156" s="7" t="str">
        <f>IFERROR(VLOOKUP(E156,'(新)ﾍﾞﾝﾀﾞｰ中型'!$A$3:$K$187,10,0),"")</f>
        <v/>
      </c>
    </row>
    <row r="157" spans="1:9" s="19" customFormat="1" ht="13.8" thickBot="1" x14ac:dyDescent="0.2">
      <c r="A157" s="11">
        <v>156</v>
      </c>
      <c r="B157" s="7" t="str">
        <f>IFERROR(VLOOKUP(E157,'(新)ﾍﾞﾝﾀﾞｰ中型'!$A$3:$K$187,2,0),"")</f>
        <v/>
      </c>
      <c r="C157" s="7" t="str">
        <f>IFERROR(VLOOKUP(E157,'(新)ﾍﾞﾝﾀﾞｰ中型'!$A$3:$K$187,4,0),"")</f>
        <v/>
      </c>
      <c r="D157" s="7" t="str">
        <f>IFERROR(VLOOKUP(E157,'(新)ﾍﾞﾝﾀﾞｰ中型'!$A$3:$K$187,5,0),"")</f>
        <v/>
      </c>
      <c r="E157" s="23">
        <f>'(新)ﾍﾞﾝﾀﾞｰ中型'!A145</f>
        <v>0</v>
      </c>
      <c r="F157" s="8" t="str">
        <f>IFERROR(VLOOKUP(E157,'(新)ﾍﾞﾝﾀﾞｰ中型'!$A$3:$K$187,8,0),"")</f>
        <v/>
      </c>
      <c r="G157" s="7" t="str">
        <f>IFERROR(VLOOKUP(E157,'(旧)ﾍﾞﾝﾀﾞｰ中型'!$A$3:$K$200,10,0),"")</f>
        <v/>
      </c>
      <c r="H157" s="12" t="s">
        <v>60</v>
      </c>
      <c r="I157" s="7" t="str">
        <f>IFERROR(VLOOKUP(E157,'(新)ﾍﾞﾝﾀﾞｰ中型'!$A$3:$K$187,10,0),"")</f>
        <v/>
      </c>
    </row>
    <row r="158" spans="1:9" s="19" customFormat="1" ht="13.8" thickBot="1" x14ac:dyDescent="0.2">
      <c r="A158" s="11">
        <v>157</v>
      </c>
      <c r="B158" s="7" t="str">
        <f>IFERROR(VLOOKUP(E158,'(新)ﾍﾞﾝﾀﾞｰ中型'!$A$3:$K$187,2,0),"")</f>
        <v/>
      </c>
      <c r="C158" s="7" t="str">
        <f>IFERROR(VLOOKUP(E158,'(新)ﾍﾞﾝﾀﾞｰ中型'!$A$3:$K$187,4,0),"")</f>
        <v/>
      </c>
      <c r="D158" s="7" t="str">
        <f>IFERROR(VLOOKUP(E158,'(新)ﾍﾞﾝﾀﾞｰ中型'!$A$3:$K$187,5,0),"")</f>
        <v/>
      </c>
      <c r="E158" s="23">
        <f>'(新)ﾍﾞﾝﾀﾞｰ中型'!A146</f>
        <v>0</v>
      </c>
      <c r="F158" s="8" t="str">
        <f>IFERROR(VLOOKUP(E158,'(新)ﾍﾞﾝﾀﾞｰ中型'!$A$3:$K$187,8,0),"")</f>
        <v/>
      </c>
      <c r="G158" s="7" t="str">
        <f>IFERROR(VLOOKUP(E158,'(旧)ﾍﾞﾝﾀﾞｰ中型'!$A$3:$K$200,10,0),"")</f>
        <v/>
      </c>
      <c r="H158" s="12" t="s">
        <v>60</v>
      </c>
      <c r="I158" s="7" t="str">
        <f>IFERROR(VLOOKUP(E158,'(新)ﾍﾞﾝﾀﾞｰ中型'!$A$3:$K$187,10,0),"")</f>
        <v/>
      </c>
    </row>
    <row r="159" spans="1:9" s="19" customFormat="1" ht="13.8" thickBot="1" x14ac:dyDescent="0.2">
      <c r="A159" s="11">
        <v>158</v>
      </c>
      <c r="B159" s="7" t="str">
        <f>IFERROR(VLOOKUP(E159,'(新)ﾍﾞﾝﾀﾞｰ中型'!$A$3:$K$187,2,0),"")</f>
        <v/>
      </c>
      <c r="C159" s="7" t="str">
        <f>IFERROR(VLOOKUP(E159,'(新)ﾍﾞﾝﾀﾞｰ中型'!$A$3:$K$187,4,0),"")</f>
        <v/>
      </c>
      <c r="D159" s="7" t="str">
        <f>IFERROR(VLOOKUP(E159,'(新)ﾍﾞﾝﾀﾞｰ中型'!$A$3:$K$187,5,0),"")</f>
        <v/>
      </c>
      <c r="E159" s="23">
        <f>'(新)ﾍﾞﾝﾀﾞｰ中型'!A147</f>
        <v>0</v>
      </c>
      <c r="F159" s="8" t="str">
        <f>IFERROR(VLOOKUP(E159,'(新)ﾍﾞﾝﾀﾞｰ中型'!$A$3:$K$187,8,0),"")</f>
        <v/>
      </c>
      <c r="G159" s="7" t="str">
        <f>IFERROR(VLOOKUP(E159,'(旧)ﾍﾞﾝﾀﾞｰ中型'!$A$3:$K$200,10,0),"")</f>
        <v/>
      </c>
      <c r="H159" s="12" t="s">
        <v>60</v>
      </c>
      <c r="I159" s="7" t="str">
        <f>IFERROR(VLOOKUP(E159,'(新)ﾍﾞﾝﾀﾞｰ中型'!$A$3:$K$187,10,0),"")</f>
        <v/>
      </c>
    </row>
    <row r="160" spans="1:9" s="19" customFormat="1" ht="13.8" thickBot="1" x14ac:dyDescent="0.2">
      <c r="A160" s="11">
        <v>159</v>
      </c>
      <c r="B160" s="7" t="str">
        <f>IFERROR(VLOOKUP(E160,'(新)ﾍﾞﾝﾀﾞｰ中型'!$A$3:$K$187,2,0),"")</f>
        <v/>
      </c>
      <c r="C160" s="7" t="str">
        <f>IFERROR(VLOOKUP(E160,'(新)ﾍﾞﾝﾀﾞｰ中型'!$A$3:$K$187,4,0),"")</f>
        <v/>
      </c>
      <c r="D160" s="7" t="str">
        <f>IFERROR(VLOOKUP(E160,'(新)ﾍﾞﾝﾀﾞｰ中型'!$A$3:$K$187,5,0),"")</f>
        <v/>
      </c>
      <c r="E160" s="23">
        <f>'(新)ﾍﾞﾝﾀﾞｰ中型'!A148</f>
        <v>0</v>
      </c>
      <c r="F160" s="8" t="str">
        <f>IFERROR(VLOOKUP(E160,'(新)ﾍﾞﾝﾀﾞｰ中型'!$A$3:$K$187,8,0),"")</f>
        <v/>
      </c>
      <c r="G160" s="7" t="str">
        <f>IFERROR(VLOOKUP(E160,'(旧)ﾍﾞﾝﾀﾞｰ中型'!$A$3:$K$200,10,0),"")</f>
        <v/>
      </c>
      <c r="H160" s="12" t="s">
        <v>60</v>
      </c>
      <c r="I160" s="7" t="str">
        <f>IFERROR(VLOOKUP(E160,'(新)ﾍﾞﾝﾀﾞｰ中型'!$A$3:$K$187,10,0),"")</f>
        <v/>
      </c>
    </row>
    <row r="161" spans="1:9" s="19" customFormat="1" ht="13.8" thickBot="1" x14ac:dyDescent="0.2">
      <c r="A161" s="11">
        <v>160</v>
      </c>
      <c r="B161" s="7" t="str">
        <f>IFERROR(VLOOKUP(E161,'(新)ﾍﾞﾝﾀﾞｰ中型'!$A$3:$K$187,2,0),"")</f>
        <v/>
      </c>
      <c r="C161" s="7" t="str">
        <f>IFERROR(VLOOKUP(E161,'(新)ﾍﾞﾝﾀﾞｰ中型'!$A$3:$K$187,4,0),"")</f>
        <v/>
      </c>
      <c r="D161" s="7" t="str">
        <f>IFERROR(VLOOKUP(E161,'(新)ﾍﾞﾝﾀﾞｰ中型'!$A$3:$K$187,5,0),"")</f>
        <v/>
      </c>
      <c r="E161" s="23">
        <f>'(新)ﾍﾞﾝﾀﾞｰ中型'!A149</f>
        <v>0</v>
      </c>
      <c r="F161" s="8" t="str">
        <f>IFERROR(VLOOKUP(E161,'(新)ﾍﾞﾝﾀﾞｰ中型'!$A$3:$K$187,8,0),"")</f>
        <v/>
      </c>
      <c r="G161" s="7" t="str">
        <f>IFERROR(VLOOKUP(E161,'(旧)ﾍﾞﾝﾀﾞｰ中型'!$A$3:$K$200,10,0),"")</f>
        <v/>
      </c>
      <c r="H161" s="12" t="s">
        <v>60</v>
      </c>
      <c r="I161" s="7" t="str">
        <f>IFERROR(VLOOKUP(E161,'(新)ﾍﾞﾝﾀﾞｰ中型'!$A$3:$K$187,10,0),"")</f>
        <v/>
      </c>
    </row>
    <row r="162" spans="1:9" s="19" customFormat="1" ht="13.8" thickBot="1" x14ac:dyDescent="0.2">
      <c r="A162" s="11">
        <v>161</v>
      </c>
      <c r="B162" s="7" t="str">
        <f>IFERROR(VLOOKUP(E162,'(新)ﾍﾞﾝﾀﾞｰ中型'!$A$3:$K$187,2,0),"")</f>
        <v/>
      </c>
      <c r="C162" s="7" t="str">
        <f>IFERROR(VLOOKUP(E162,'(新)ﾍﾞﾝﾀﾞｰ中型'!$A$3:$K$187,4,0),"")</f>
        <v/>
      </c>
      <c r="D162" s="7" t="str">
        <f>IFERROR(VLOOKUP(E162,'(新)ﾍﾞﾝﾀﾞｰ中型'!$A$3:$K$187,5,0),"")</f>
        <v/>
      </c>
      <c r="E162" s="23">
        <f>'(新)ﾍﾞﾝﾀﾞｰ中型'!A150</f>
        <v>0</v>
      </c>
      <c r="F162" s="8" t="str">
        <f>IFERROR(VLOOKUP(E162,'(新)ﾍﾞﾝﾀﾞｰ中型'!$A$3:$K$187,8,0),"")</f>
        <v/>
      </c>
      <c r="G162" s="7" t="str">
        <f>IFERROR(VLOOKUP(E162,'(旧)ﾍﾞﾝﾀﾞｰ中型'!$A$3:$K$200,10,0),"")</f>
        <v/>
      </c>
      <c r="H162" s="12" t="s">
        <v>60</v>
      </c>
      <c r="I162" s="7" t="str">
        <f>IFERROR(VLOOKUP(E162,'(新)ﾍﾞﾝﾀﾞｰ中型'!$A$3:$K$187,10,0),"")</f>
        <v/>
      </c>
    </row>
    <row r="163" spans="1:9" s="19" customFormat="1" ht="13.8" thickBot="1" x14ac:dyDescent="0.2">
      <c r="A163" s="11">
        <v>162</v>
      </c>
      <c r="B163" s="7" t="str">
        <f>IFERROR(VLOOKUP(E163,'(新)ﾍﾞﾝﾀﾞｰ中型'!$A$3:$K$187,2,0),"")</f>
        <v/>
      </c>
      <c r="C163" s="7" t="str">
        <f>IFERROR(VLOOKUP(E163,'(新)ﾍﾞﾝﾀﾞｰ中型'!$A$3:$K$187,4,0),"")</f>
        <v/>
      </c>
      <c r="D163" s="7" t="str">
        <f>IFERROR(VLOOKUP(E163,'(新)ﾍﾞﾝﾀﾞｰ中型'!$A$3:$K$187,5,0),"")</f>
        <v/>
      </c>
      <c r="E163" s="23">
        <f>'(新)ﾍﾞﾝﾀﾞｰ中型'!A151</f>
        <v>0</v>
      </c>
      <c r="F163" s="8" t="str">
        <f>IFERROR(VLOOKUP(E163,'(新)ﾍﾞﾝﾀﾞｰ中型'!$A$3:$K$187,8,0),"")</f>
        <v/>
      </c>
      <c r="G163" s="7" t="str">
        <f>IFERROR(VLOOKUP(E163,'(旧)ﾍﾞﾝﾀﾞｰ中型'!$A$3:$K$200,10,0),"")</f>
        <v/>
      </c>
      <c r="H163" s="12" t="s">
        <v>60</v>
      </c>
      <c r="I163" s="7" t="str">
        <f>IFERROR(VLOOKUP(E163,'(新)ﾍﾞﾝﾀﾞｰ中型'!$A$3:$K$187,10,0),"")</f>
        <v/>
      </c>
    </row>
    <row r="164" spans="1:9" s="19" customFormat="1" ht="13.8" thickBot="1" x14ac:dyDescent="0.2">
      <c r="A164" s="11">
        <v>163</v>
      </c>
      <c r="B164" s="7" t="str">
        <f>IFERROR(VLOOKUP(E164,'(新)ﾍﾞﾝﾀﾞｰ中型'!$A$3:$K$187,2,0),"")</f>
        <v/>
      </c>
      <c r="C164" s="7" t="str">
        <f>IFERROR(VLOOKUP(E164,'(新)ﾍﾞﾝﾀﾞｰ中型'!$A$3:$K$187,4,0),"")</f>
        <v/>
      </c>
      <c r="D164" s="7" t="str">
        <f>IFERROR(VLOOKUP(E164,'(新)ﾍﾞﾝﾀﾞｰ中型'!$A$3:$K$187,5,0),"")</f>
        <v/>
      </c>
      <c r="E164" s="23">
        <f>'(新)ﾍﾞﾝﾀﾞｰ中型'!A152</f>
        <v>0</v>
      </c>
      <c r="F164" s="8" t="str">
        <f>IFERROR(VLOOKUP(E164,'(新)ﾍﾞﾝﾀﾞｰ中型'!$A$3:$K$187,8,0),"")</f>
        <v/>
      </c>
      <c r="G164" s="7" t="str">
        <f>IFERROR(VLOOKUP(E164,'(旧)ﾍﾞﾝﾀﾞｰ中型'!$A$3:$K$200,10,0),"")</f>
        <v/>
      </c>
      <c r="H164" s="12" t="s">
        <v>60</v>
      </c>
      <c r="I164" s="7" t="str">
        <f>IFERROR(VLOOKUP(E164,'(新)ﾍﾞﾝﾀﾞｰ中型'!$A$3:$K$187,10,0),"")</f>
        <v/>
      </c>
    </row>
    <row r="165" spans="1:9" s="19" customFormat="1" ht="13.8" thickBot="1" x14ac:dyDescent="0.2">
      <c r="A165" s="11">
        <v>164</v>
      </c>
      <c r="B165" s="7" t="str">
        <f>IFERROR(VLOOKUP(E165,'(新)ﾍﾞﾝﾀﾞｰ中型'!$A$3:$K$187,2,0),"")</f>
        <v/>
      </c>
      <c r="C165" s="7" t="str">
        <f>IFERROR(VLOOKUP(E165,'(新)ﾍﾞﾝﾀﾞｰ中型'!$A$3:$K$187,4,0),"")</f>
        <v/>
      </c>
      <c r="D165" s="7" t="str">
        <f>IFERROR(VLOOKUP(E165,'(新)ﾍﾞﾝﾀﾞｰ中型'!$A$3:$K$187,5,0),"")</f>
        <v/>
      </c>
      <c r="E165" s="23">
        <f>'(新)ﾍﾞﾝﾀﾞｰ中型'!A153</f>
        <v>0</v>
      </c>
      <c r="F165" s="8" t="str">
        <f>IFERROR(VLOOKUP(E165,'(新)ﾍﾞﾝﾀﾞｰ中型'!$A$3:$K$187,8,0),"")</f>
        <v/>
      </c>
      <c r="G165" s="7" t="str">
        <f>IFERROR(VLOOKUP(E165,'(旧)ﾍﾞﾝﾀﾞｰ中型'!$A$3:$K$200,10,0),"")</f>
        <v/>
      </c>
      <c r="H165" s="12" t="s">
        <v>60</v>
      </c>
      <c r="I165" s="7" t="str">
        <f>IFERROR(VLOOKUP(E165,'(新)ﾍﾞﾝﾀﾞｰ中型'!$A$3:$K$187,10,0),"")</f>
        <v/>
      </c>
    </row>
    <row r="166" spans="1:9" s="19" customFormat="1" ht="13.8" thickBot="1" x14ac:dyDescent="0.2">
      <c r="A166" s="11">
        <v>165</v>
      </c>
      <c r="B166" s="7" t="str">
        <f>IFERROR(VLOOKUP(E166,'(新)ﾍﾞﾝﾀﾞｰ中型'!$A$3:$K$187,2,0),"")</f>
        <v/>
      </c>
      <c r="C166" s="7" t="str">
        <f>IFERROR(VLOOKUP(E166,'(新)ﾍﾞﾝﾀﾞｰ中型'!$A$3:$K$187,4,0),"")</f>
        <v/>
      </c>
      <c r="D166" s="7" t="str">
        <f>IFERROR(VLOOKUP(E166,'(新)ﾍﾞﾝﾀﾞｰ中型'!$A$3:$K$187,5,0),"")</f>
        <v/>
      </c>
      <c r="E166" s="23">
        <f>'(新)ﾍﾞﾝﾀﾞｰ中型'!A154</f>
        <v>0</v>
      </c>
      <c r="F166" s="8" t="str">
        <f>IFERROR(VLOOKUP(E166,'(新)ﾍﾞﾝﾀﾞｰ中型'!$A$3:$K$187,8,0),"")</f>
        <v/>
      </c>
      <c r="G166" s="7" t="str">
        <f>IFERROR(VLOOKUP(E166,'(旧)ﾍﾞﾝﾀﾞｰ中型'!$A$3:$K$200,10,0),"")</f>
        <v/>
      </c>
      <c r="H166" s="12" t="s">
        <v>60</v>
      </c>
      <c r="I166" s="7" t="str">
        <f>IFERROR(VLOOKUP(E166,'(新)ﾍﾞﾝﾀﾞｰ中型'!$A$3:$K$187,10,0),"")</f>
        <v/>
      </c>
    </row>
    <row r="167" spans="1:9" s="19" customFormat="1" ht="13.8" thickBot="1" x14ac:dyDescent="0.2">
      <c r="A167" s="11">
        <v>166</v>
      </c>
      <c r="B167" s="7" t="str">
        <f>IFERROR(VLOOKUP(E167,'(新)ﾍﾞﾝﾀﾞｰ中型'!$A$3:$K$187,2,0),"")</f>
        <v/>
      </c>
      <c r="C167" s="7" t="str">
        <f>IFERROR(VLOOKUP(E167,'(新)ﾍﾞﾝﾀﾞｰ中型'!$A$3:$K$187,4,0),"")</f>
        <v/>
      </c>
      <c r="D167" s="7" t="str">
        <f>IFERROR(VLOOKUP(E167,'(新)ﾍﾞﾝﾀﾞｰ中型'!$A$3:$K$187,5,0),"")</f>
        <v/>
      </c>
      <c r="E167" s="23">
        <f>'(新)ﾍﾞﾝﾀﾞｰ中型'!A155</f>
        <v>0</v>
      </c>
      <c r="F167" s="8" t="str">
        <f>IFERROR(VLOOKUP(E167,'(新)ﾍﾞﾝﾀﾞｰ中型'!$A$3:$K$187,8,0),"")</f>
        <v/>
      </c>
      <c r="G167" s="7" t="str">
        <f>IFERROR(VLOOKUP(E167,'(旧)ﾍﾞﾝﾀﾞｰ中型'!$A$3:$K$200,10,0),"")</f>
        <v/>
      </c>
      <c r="H167" s="12" t="s">
        <v>60</v>
      </c>
      <c r="I167" s="7" t="str">
        <f>IFERROR(VLOOKUP(E167,'(新)ﾍﾞﾝﾀﾞｰ中型'!$A$3:$K$187,10,0),"")</f>
        <v/>
      </c>
    </row>
    <row r="168" spans="1:9" s="19" customFormat="1" ht="13.8" thickBot="1" x14ac:dyDescent="0.2">
      <c r="A168" s="11">
        <v>167</v>
      </c>
      <c r="B168" s="7" t="str">
        <f>IFERROR(VLOOKUP(E168,'(新)ﾍﾞﾝﾀﾞｰ中型'!$A$3:$K$187,2,0),"")</f>
        <v/>
      </c>
      <c r="C168" s="7" t="str">
        <f>IFERROR(VLOOKUP(E168,'(新)ﾍﾞﾝﾀﾞｰ中型'!$A$3:$K$187,4,0),"")</f>
        <v/>
      </c>
      <c r="D168" s="7" t="str">
        <f>IFERROR(VLOOKUP(E168,'(新)ﾍﾞﾝﾀﾞｰ中型'!$A$3:$K$187,5,0),"")</f>
        <v/>
      </c>
      <c r="E168" s="23">
        <f>'(新)ﾍﾞﾝﾀﾞｰ中型'!A156</f>
        <v>0</v>
      </c>
      <c r="F168" s="8" t="str">
        <f>IFERROR(VLOOKUP(E168,'(新)ﾍﾞﾝﾀﾞｰ中型'!$A$3:$K$187,8,0),"")</f>
        <v/>
      </c>
      <c r="G168" s="7" t="str">
        <f>IFERROR(VLOOKUP(E168,'(旧)ﾍﾞﾝﾀﾞｰ中型'!$A$3:$K$200,10,0),"")</f>
        <v/>
      </c>
      <c r="H168" s="12" t="s">
        <v>60</v>
      </c>
      <c r="I168" s="7" t="str">
        <f>IFERROR(VLOOKUP(E168,'(新)ﾍﾞﾝﾀﾞｰ中型'!$A$3:$K$187,10,0),"")</f>
        <v/>
      </c>
    </row>
    <row r="169" spans="1:9" s="19" customFormat="1" ht="13.8" thickBot="1" x14ac:dyDescent="0.2">
      <c r="A169" s="11">
        <v>168</v>
      </c>
      <c r="B169" s="7" t="str">
        <f>IFERROR(VLOOKUP(E169,'(新)ﾍﾞﾝﾀﾞｰ中型'!$A$3:$K$187,2,0),"")</f>
        <v/>
      </c>
      <c r="C169" s="7" t="str">
        <f>IFERROR(VLOOKUP(E169,'(新)ﾍﾞﾝﾀﾞｰ中型'!$A$3:$K$187,4,0),"")</f>
        <v/>
      </c>
      <c r="D169" s="7" t="str">
        <f>IFERROR(VLOOKUP(E169,'(新)ﾍﾞﾝﾀﾞｰ中型'!$A$3:$K$187,5,0),"")</f>
        <v/>
      </c>
      <c r="E169" s="23">
        <f>'(新)ﾍﾞﾝﾀﾞｰ中型'!A157</f>
        <v>0</v>
      </c>
      <c r="F169" s="8" t="str">
        <f>IFERROR(VLOOKUP(E169,'(新)ﾍﾞﾝﾀﾞｰ中型'!$A$3:$K$187,8,0),"")</f>
        <v/>
      </c>
      <c r="G169" s="7" t="str">
        <f>IFERROR(VLOOKUP(E169,'(旧)ﾍﾞﾝﾀﾞｰ中型'!$A$3:$K$200,10,0),"")</f>
        <v/>
      </c>
      <c r="H169" s="12" t="s">
        <v>60</v>
      </c>
      <c r="I169" s="7" t="str">
        <f>IFERROR(VLOOKUP(E169,'(新)ﾍﾞﾝﾀﾞｰ中型'!$A$3:$K$187,10,0),"")</f>
        <v/>
      </c>
    </row>
    <row r="170" spans="1:9" s="19" customFormat="1" ht="13.8" thickBot="1" x14ac:dyDescent="0.2">
      <c r="A170" s="11">
        <v>169</v>
      </c>
      <c r="B170" s="7" t="str">
        <f>IFERROR(VLOOKUP(E170,'(新)ﾍﾞﾝﾀﾞｰ中型'!$A$3:$K$187,2,0),"")</f>
        <v/>
      </c>
      <c r="C170" s="7" t="str">
        <f>IFERROR(VLOOKUP(E170,'(新)ﾍﾞﾝﾀﾞｰ中型'!$A$3:$K$187,4,0),"")</f>
        <v/>
      </c>
      <c r="D170" s="7" t="str">
        <f>IFERROR(VLOOKUP(E170,'(新)ﾍﾞﾝﾀﾞｰ中型'!$A$3:$K$187,5,0),"")</f>
        <v/>
      </c>
      <c r="E170" s="23">
        <f>'(新)ﾍﾞﾝﾀﾞｰ中型'!A158</f>
        <v>0</v>
      </c>
      <c r="F170" s="8" t="str">
        <f>IFERROR(VLOOKUP(E170,'(新)ﾍﾞﾝﾀﾞｰ中型'!$A$3:$K$187,8,0),"")</f>
        <v/>
      </c>
      <c r="G170" s="7" t="str">
        <f>IFERROR(VLOOKUP(E170,'(旧)ﾍﾞﾝﾀﾞｰ中型'!$A$3:$K$200,10,0),"")</f>
        <v/>
      </c>
      <c r="H170" s="12" t="s">
        <v>60</v>
      </c>
      <c r="I170" s="7" t="str">
        <f>IFERROR(VLOOKUP(E170,'(新)ﾍﾞﾝﾀﾞｰ中型'!$A$3:$K$187,10,0),"")</f>
        <v/>
      </c>
    </row>
    <row r="171" spans="1:9" s="19" customFormat="1" ht="13.8" thickBot="1" x14ac:dyDescent="0.2">
      <c r="A171" s="11">
        <v>170</v>
      </c>
      <c r="B171" s="7" t="str">
        <f>IFERROR(VLOOKUP(E171,'(新)ﾍﾞﾝﾀﾞｰ中型'!$A$3:$K$187,2,0),"")</f>
        <v/>
      </c>
      <c r="C171" s="7" t="str">
        <f>IFERROR(VLOOKUP(E171,'(新)ﾍﾞﾝﾀﾞｰ中型'!$A$3:$K$187,4,0),"")</f>
        <v/>
      </c>
      <c r="D171" s="7" t="str">
        <f>IFERROR(VLOOKUP(E171,'(新)ﾍﾞﾝﾀﾞｰ中型'!$A$3:$K$187,5,0),"")</f>
        <v/>
      </c>
      <c r="E171" s="23">
        <f>'(新)ﾍﾞﾝﾀﾞｰ中型'!A159</f>
        <v>0</v>
      </c>
      <c r="F171" s="8" t="str">
        <f>IFERROR(VLOOKUP(E171,'(新)ﾍﾞﾝﾀﾞｰ中型'!$A$3:$K$187,8,0),"")</f>
        <v/>
      </c>
      <c r="G171" s="7" t="str">
        <f>IFERROR(VLOOKUP(E171,'(旧)ﾍﾞﾝﾀﾞｰ中型'!$A$3:$K$200,10,0),"")</f>
        <v/>
      </c>
      <c r="H171" s="12" t="s">
        <v>60</v>
      </c>
      <c r="I171" s="7" t="str">
        <f>IFERROR(VLOOKUP(E171,'(新)ﾍﾞﾝﾀﾞｰ中型'!$A$3:$K$187,10,0),"")</f>
        <v/>
      </c>
    </row>
    <row r="172" spans="1:9" s="19" customFormat="1" ht="13.8" thickBot="1" x14ac:dyDescent="0.2">
      <c r="A172" s="11">
        <v>171</v>
      </c>
      <c r="B172" s="7" t="str">
        <f>IFERROR(VLOOKUP(E172,'(新)ﾍﾞﾝﾀﾞｰ中型'!$A$3:$K$187,2,0),"")</f>
        <v/>
      </c>
      <c r="C172" s="7" t="str">
        <f>IFERROR(VLOOKUP(E172,'(新)ﾍﾞﾝﾀﾞｰ中型'!$A$3:$K$187,4,0),"")</f>
        <v/>
      </c>
      <c r="D172" s="7" t="str">
        <f>IFERROR(VLOOKUP(E172,'(新)ﾍﾞﾝﾀﾞｰ中型'!$A$3:$K$187,5,0),"")</f>
        <v/>
      </c>
      <c r="E172" s="23">
        <f>'(新)ﾍﾞﾝﾀﾞｰ中型'!A160</f>
        <v>0</v>
      </c>
      <c r="F172" s="8" t="str">
        <f>IFERROR(VLOOKUP(E172,'(新)ﾍﾞﾝﾀﾞｰ中型'!$A$3:$K$187,8,0),"")</f>
        <v/>
      </c>
      <c r="G172" s="7" t="str">
        <f>IFERROR(VLOOKUP(E172,'(旧)ﾍﾞﾝﾀﾞｰ中型'!$A$3:$K$200,10,0),"")</f>
        <v/>
      </c>
      <c r="H172" s="12" t="s">
        <v>60</v>
      </c>
      <c r="I172" s="7" t="str">
        <f>IFERROR(VLOOKUP(E172,'(新)ﾍﾞﾝﾀﾞｰ中型'!$A$3:$K$187,10,0),"")</f>
        <v/>
      </c>
    </row>
    <row r="173" spans="1:9" s="19" customFormat="1" ht="13.8" thickBot="1" x14ac:dyDescent="0.2">
      <c r="A173" s="11">
        <v>172</v>
      </c>
      <c r="B173" s="7" t="str">
        <f>IFERROR(VLOOKUP(E173,'(新)ﾍﾞﾝﾀﾞｰ中型'!$A$3:$K$187,2,0),"")</f>
        <v/>
      </c>
      <c r="C173" s="7" t="str">
        <f>IFERROR(VLOOKUP(E173,'(新)ﾍﾞﾝﾀﾞｰ中型'!$A$3:$K$187,4,0),"")</f>
        <v/>
      </c>
      <c r="D173" s="7" t="str">
        <f>IFERROR(VLOOKUP(E173,'(新)ﾍﾞﾝﾀﾞｰ中型'!$A$3:$K$187,5,0),"")</f>
        <v/>
      </c>
      <c r="E173" s="23">
        <f>'(新)ﾍﾞﾝﾀﾞｰ中型'!A161</f>
        <v>0</v>
      </c>
      <c r="F173" s="8" t="str">
        <f>IFERROR(VLOOKUP(E173,'(新)ﾍﾞﾝﾀﾞｰ中型'!$A$3:$K$187,8,0),"")</f>
        <v/>
      </c>
      <c r="G173" s="7" t="str">
        <f>IFERROR(VLOOKUP(E173,'(旧)ﾍﾞﾝﾀﾞｰ中型'!$A$3:$K$200,10,0),"")</f>
        <v/>
      </c>
      <c r="H173" s="12" t="s">
        <v>60</v>
      </c>
      <c r="I173" s="7" t="str">
        <f>IFERROR(VLOOKUP(E173,'(新)ﾍﾞﾝﾀﾞｰ中型'!$A$3:$K$187,10,0),"")</f>
        <v/>
      </c>
    </row>
    <row r="174" spans="1:9" s="19" customFormat="1" ht="13.8" thickBot="1" x14ac:dyDescent="0.2">
      <c r="A174" s="11">
        <v>173</v>
      </c>
      <c r="B174" s="7" t="str">
        <f>IFERROR(VLOOKUP(E174,'(新)ﾍﾞﾝﾀﾞｰ中型'!$A$3:$K$187,2,0),"")</f>
        <v/>
      </c>
      <c r="C174" s="7" t="str">
        <f>IFERROR(VLOOKUP(E174,'(新)ﾍﾞﾝﾀﾞｰ中型'!$A$3:$K$187,4,0),"")</f>
        <v/>
      </c>
      <c r="D174" s="7" t="str">
        <f>IFERROR(VLOOKUP(E174,'(新)ﾍﾞﾝﾀﾞｰ中型'!$A$3:$K$187,5,0),"")</f>
        <v/>
      </c>
      <c r="E174" s="23">
        <f>'(新)ﾍﾞﾝﾀﾞｰ中型'!A162</f>
        <v>0</v>
      </c>
      <c r="F174" s="8" t="str">
        <f>IFERROR(VLOOKUP(E174,'(新)ﾍﾞﾝﾀﾞｰ中型'!$A$3:$K$187,8,0),"")</f>
        <v/>
      </c>
      <c r="G174" s="7" t="str">
        <f>IFERROR(VLOOKUP(E174,'(旧)ﾍﾞﾝﾀﾞｰ中型'!$A$3:$K$200,10,0),"")</f>
        <v/>
      </c>
      <c r="H174" s="12" t="s">
        <v>60</v>
      </c>
      <c r="I174" s="7" t="str">
        <f>IFERROR(VLOOKUP(E174,'(新)ﾍﾞﾝﾀﾞｰ中型'!$A$3:$K$187,10,0),"")</f>
        <v/>
      </c>
    </row>
    <row r="175" spans="1:9" s="19" customFormat="1" ht="13.8" thickBot="1" x14ac:dyDescent="0.2">
      <c r="A175" s="11">
        <v>174</v>
      </c>
      <c r="B175" s="7" t="str">
        <f>IFERROR(VLOOKUP(E175,'(新)ﾍﾞﾝﾀﾞｰ中型'!$A$3:$K$187,2,0),"")</f>
        <v/>
      </c>
      <c r="C175" s="7" t="str">
        <f>IFERROR(VLOOKUP(E175,'(新)ﾍﾞﾝﾀﾞｰ中型'!$A$3:$K$187,4,0),"")</f>
        <v/>
      </c>
      <c r="D175" s="7" t="str">
        <f>IFERROR(VLOOKUP(E175,'(新)ﾍﾞﾝﾀﾞｰ中型'!$A$3:$K$187,5,0),"")</f>
        <v/>
      </c>
      <c r="E175" s="23">
        <f>'(新)ﾍﾞﾝﾀﾞｰ中型'!A163</f>
        <v>0</v>
      </c>
      <c r="F175" s="8" t="str">
        <f>IFERROR(VLOOKUP(E175,'(新)ﾍﾞﾝﾀﾞｰ中型'!$A$3:$K$187,8,0),"")</f>
        <v/>
      </c>
      <c r="G175" s="7" t="str">
        <f>IFERROR(VLOOKUP(E175,'(旧)ﾍﾞﾝﾀﾞｰ中型'!$A$3:$K$200,10,0),"")</f>
        <v/>
      </c>
      <c r="H175" s="12" t="s">
        <v>60</v>
      </c>
      <c r="I175" s="7" t="str">
        <f>IFERROR(VLOOKUP(E175,'(新)ﾍﾞﾝﾀﾞｰ中型'!$A$3:$K$187,10,0),"")</f>
        <v/>
      </c>
    </row>
    <row r="176" spans="1:9" s="19" customFormat="1" ht="13.8" thickBot="1" x14ac:dyDescent="0.2">
      <c r="A176" s="11">
        <v>175</v>
      </c>
      <c r="B176" s="7" t="str">
        <f>IFERROR(VLOOKUP(E176,'(新)ﾍﾞﾝﾀﾞｰ中型'!$A$3:$K$187,2,0),"")</f>
        <v/>
      </c>
      <c r="C176" s="7" t="str">
        <f>IFERROR(VLOOKUP(E176,'(新)ﾍﾞﾝﾀﾞｰ中型'!$A$3:$K$187,4,0),"")</f>
        <v/>
      </c>
      <c r="D176" s="7" t="str">
        <f>IFERROR(VLOOKUP(E176,'(新)ﾍﾞﾝﾀﾞｰ中型'!$A$3:$K$187,5,0),"")</f>
        <v/>
      </c>
      <c r="E176" s="23">
        <f>'(新)ﾍﾞﾝﾀﾞｰ中型'!A164</f>
        <v>0</v>
      </c>
      <c r="F176" s="8" t="str">
        <f>IFERROR(VLOOKUP(E176,'(新)ﾍﾞﾝﾀﾞｰ中型'!$A$3:$K$187,8,0),"")</f>
        <v/>
      </c>
      <c r="G176" s="7" t="str">
        <f>IFERROR(VLOOKUP(E176,'(旧)ﾍﾞﾝﾀﾞｰ中型'!$A$3:$K$200,10,0),"")</f>
        <v/>
      </c>
      <c r="H176" s="12" t="s">
        <v>60</v>
      </c>
      <c r="I176" s="7" t="str">
        <f>IFERROR(VLOOKUP(E176,'(新)ﾍﾞﾝﾀﾞｰ中型'!$A$3:$K$187,10,0),"")</f>
        <v/>
      </c>
    </row>
    <row r="177" spans="1:9" s="19" customFormat="1" ht="13.8" thickBot="1" x14ac:dyDescent="0.2">
      <c r="A177" s="11">
        <v>176</v>
      </c>
      <c r="B177" s="7" t="str">
        <f>IFERROR(VLOOKUP(E177,'(新)ﾍﾞﾝﾀﾞｰ中型'!$A$3:$K$187,2,0),"")</f>
        <v/>
      </c>
      <c r="C177" s="7" t="str">
        <f>IFERROR(VLOOKUP(E177,'(新)ﾍﾞﾝﾀﾞｰ中型'!$A$3:$K$187,4,0),"")</f>
        <v/>
      </c>
      <c r="D177" s="7" t="str">
        <f>IFERROR(VLOOKUP(E177,'(新)ﾍﾞﾝﾀﾞｰ中型'!$A$3:$K$187,5,0),"")</f>
        <v/>
      </c>
      <c r="E177" s="23">
        <f>'(新)ﾍﾞﾝﾀﾞｰ中型'!A165</f>
        <v>0</v>
      </c>
      <c r="F177" s="8" t="str">
        <f>IFERROR(VLOOKUP(E177,'(新)ﾍﾞﾝﾀﾞｰ中型'!$A$3:$K$187,8,0),"")</f>
        <v/>
      </c>
      <c r="G177" s="7" t="str">
        <f>IFERROR(VLOOKUP(E177,'(旧)ﾍﾞﾝﾀﾞｰ中型'!$A$3:$K$200,10,0),"")</f>
        <v/>
      </c>
      <c r="H177" s="12" t="s">
        <v>60</v>
      </c>
      <c r="I177" s="7" t="str">
        <f>IFERROR(VLOOKUP(E177,'(新)ﾍﾞﾝﾀﾞｰ中型'!$A$3:$K$187,10,0),"")</f>
        <v/>
      </c>
    </row>
    <row r="178" spans="1:9" s="19" customFormat="1" ht="13.8" thickBot="1" x14ac:dyDescent="0.2">
      <c r="A178" s="11">
        <v>177</v>
      </c>
      <c r="B178" s="7" t="str">
        <f>IFERROR(VLOOKUP(E178,'(新)ﾍﾞﾝﾀﾞｰ中型'!$A$3:$K$187,2,0),"")</f>
        <v/>
      </c>
      <c r="C178" s="7" t="str">
        <f>IFERROR(VLOOKUP(E178,'(新)ﾍﾞﾝﾀﾞｰ中型'!$A$3:$K$187,4,0),"")</f>
        <v/>
      </c>
      <c r="D178" s="7" t="str">
        <f>IFERROR(VLOOKUP(E178,'(新)ﾍﾞﾝﾀﾞｰ中型'!$A$3:$K$187,5,0),"")</f>
        <v/>
      </c>
      <c r="E178" s="23">
        <f>'(新)ﾍﾞﾝﾀﾞｰ中型'!A166</f>
        <v>0</v>
      </c>
      <c r="F178" s="8" t="str">
        <f>IFERROR(VLOOKUP(E178,'(新)ﾍﾞﾝﾀﾞｰ中型'!$A$3:$K$187,8,0),"")</f>
        <v/>
      </c>
      <c r="G178" s="7" t="str">
        <f>IFERROR(VLOOKUP(E178,'(旧)ﾍﾞﾝﾀﾞｰ中型'!$A$3:$K$200,10,0),"")</f>
        <v/>
      </c>
      <c r="H178" s="12" t="s">
        <v>60</v>
      </c>
      <c r="I178" s="7" t="str">
        <f>IFERROR(VLOOKUP(E178,'(新)ﾍﾞﾝﾀﾞｰ中型'!$A$3:$K$187,10,0),"")</f>
        <v/>
      </c>
    </row>
    <row r="179" spans="1:9" s="19" customFormat="1" ht="13.8" thickBot="1" x14ac:dyDescent="0.2">
      <c r="A179" s="11">
        <v>178</v>
      </c>
      <c r="B179" s="7" t="str">
        <f>IFERROR(VLOOKUP(E179,'(新)ﾍﾞﾝﾀﾞｰ中型'!$A$3:$K$187,2,0),"")</f>
        <v/>
      </c>
      <c r="C179" s="7" t="str">
        <f>IFERROR(VLOOKUP(E179,'(新)ﾍﾞﾝﾀﾞｰ中型'!$A$3:$K$187,4,0),"")</f>
        <v/>
      </c>
      <c r="D179" s="7" t="str">
        <f>IFERROR(VLOOKUP(E179,'(新)ﾍﾞﾝﾀﾞｰ中型'!$A$3:$K$187,5,0),"")</f>
        <v/>
      </c>
      <c r="E179" s="23">
        <f>'(新)ﾍﾞﾝﾀﾞｰ中型'!A167</f>
        <v>0</v>
      </c>
      <c r="F179" s="8" t="str">
        <f>IFERROR(VLOOKUP(E179,'(新)ﾍﾞﾝﾀﾞｰ中型'!$A$3:$K$187,8,0),"")</f>
        <v/>
      </c>
      <c r="G179" s="7" t="str">
        <f>IFERROR(VLOOKUP(E179,'(旧)ﾍﾞﾝﾀﾞｰ中型'!$A$3:$K$200,10,0),"")</f>
        <v/>
      </c>
      <c r="H179" s="12" t="s">
        <v>60</v>
      </c>
      <c r="I179" s="7" t="str">
        <f>IFERROR(VLOOKUP(E179,'(新)ﾍﾞﾝﾀﾞｰ中型'!$A$3:$K$187,10,0),"")</f>
        <v/>
      </c>
    </row>
    <row r="180" spans="1:9" s="19" customFormat="1" ht="13.8" thickBot="1" x14ac:dyDescent="0.2">
      <c r="A180" s="11">
        <v>179</v>
      </c>
      <c r="B180" s="7" t="str">
        <f>IFERROR(VLOOKUP(E180,'(新)ﾍﾞﾝﾀﾞｰ中型'!$A$3:$K$187,2,0),"")</f>
        <v/>
      </c>
      <c r="C180" s="7" t="str">
        <f>IFERROR(VLOOKUP(E180,'(新)ﾍﾞﾝﾀﾞｰ中型'!$A$3:$K$187,4,0),"")</f>
        <v/>
      </c>
      <c r="D180" s="7" t="str">
        <f>IFERROR(VLOOKUP(E180,'(新)ﾍﾞﾝﾀﾞｰ中型'!$A$3:$K$187,5,0),"")</f>
        <v/>
      </c>
      <c r="E180" s="23">
        <f>'(新)ﾍﾞﾝﾀﾞｰ中型'!A168</f>
        <v>0</v>
      </c>
      <c r="F180" s="8" t="str">
        <f>IFERROR(VLOOKUP(E180,'(新)ﾍﾞﾝﾀﾞｰ中型'!$A$3:$K$187,8,0),"")</f>
        <v/>
      </c>
      <c r="G180" s="7" t="str">
        <f>IFERROR(VLOOKUP(E180,'(旧)ﾍﾞﾝﾀﾞｰ中型'!$A$3:$K$200,10,0),"")</f>
        <v/>
      </c>
      <c r="H180" s="12" t="s">
        <v>60</v>
      </c>
      <c r="I180" s="7" t="str">
        <f>IFERROR(VLOOKUP(E180,'(新)ﾍﾞﾝﾀﾞｰ中型'!$A$3:$K$187,10,0),"")</f>
        <v/>
      </c>
    </row>
    <row r="181" spans="1:9" s="19" customFormat="1" ht="13.8" thickBot="1" x14ac:dyDescent="0.2">
      <c r="A181" s="11">
        <v>180</v>
      </c>
      <c r="B181" s="7" t="str">
        <f>IFERROR(VLOOKUP(E181,'(新)ﾍﾞﾝﾀﾞｰ中型'!$A$3:$K$187,2,0),"")</f>
        <v/>
      </c>
      <c r="C181" s="7" t="str">
        <f>IFERROR(VLOOKUP(E181,'(新)ﾍﾞﾝﾀﾞｰ中型'!$A$3:$K$187,4,0),"")</f>
        <v/>
      </c>
      <c r="D181" s="7" t="str">
        <f>IFERROR(VLOOKUP(E181,'(新)ﾍﾞﾝﾀﾞｰ中型'!$A$3:$K$187,5,0),"")</f>
        <v/>
      </c>
      <c r="E181" s="23">
        <f>'(新)ﾍﾞﾝﾀﾞｰ中型'!A169</f>
        <v>0</v>
      </c>
      <c r="F181" s="8" t="str">
        <f>IFERROR(VLOOKUP(E181,'(新)ﾍﾞﾝﾀﾞｰ中型'!$A$3:$K$187,8,0),"")</f>
        <v/>
      </c>
      <c r="G181" s="7" t="str">
        <f>IFERROR(VLOOKUP(E181,'(旧)ﾍﾞﾝﾀﾞｰ中型'!$A$3:$K$200,10,0),"")</f>
        <v/>
      </c>
      <c r="H181" s="12" t="s">
        <v>60</v>
      </c>
      <c r="I181" s="7" t="str">
        <f>IFERROR(VLOOKUP(E181,'(新)ﾍﾞﾝﾀﾞｰ中型'!$A$3:$K$187,10,0),"")</f>
        <v/>
      </c>
    </row>
    <row r="182" spans="1:9" s="19" customFormat="1" ht="13.8" thickBot="1" x14ac:dyDescent="0.2">
      <c r="A182" s="11">
        <v>181</v>
      </c>
      <c r="B182" s="7" t="str">
        <f>IFERROR(VLOOKUP(E182,'(新)ﾍﾞﾝﾀﾞｰ中型'!$A$3:$K$187,2,0),"")</f>
        <v/>
      </c>
      <c r="C182" s="7" t="str">
        <f>IFERROR(VLOOKUP(E182,'(新)ﾍﾞﾝﾀﾞｰ中型'!$A$3:$K$187,4,0),"")</f>
        <v/>
      </c>
      <c r="D182" s="7" t="str">
        <f>IFERROR(VLOOKUP(E182,'(新)ﾍﾞﾝﾀﾞｰ中型'!$A$3:$K$187,5,0),"")</f>
        <v/>
      </c>
      <c r="E182" s="23">
        <f>'(新)ﾍﾞﾝﾀﾞｰ中型'!A170</f>
        <v>0</v>
      </c>
      <c r="F182" s="8" t="str">
        <f>IFERROR(VLOOKUP(E182,'(新)ﾍﾞﾝﾀﾞｰ中型'!$A$3:$K$187,8,0),"")</f>
        <v/>
      </c>
      <c r="G182" s="7" t="str">
        <f>IFERROR(VLOOKUP(E182,'(旧)ﾍﾞﾝﾀﾞｰ中型'!$A$3:$K$200,10,0),"")</f>
        <v/>
      </c>
      <c r="H182" s="12" t="s">
        <v>60</v>
      </c>
      <c r="I182" s="7" t="str">
        <f>IFERROR(VLOOKUP(E182,'(新)ﾍﾞﾝﾀﾞｰ中型'!$A$3:$K$187,10,0),"")</f>
        <v/>
      </c>
    </row>
    <row r="183" spans="1:9" s="19" customFormat="1" ht="13.8" thickBot="1" x14ac:dyDescent="0.2">
      <c r="A183" s="11">
        <v>182</v>
      </c>
      <c r="B183" s="7" t="str">
        <f>IFERROR(VLOOKUP(E183,'(新)ﾍﾞﾝﾀﾞｰ中型'!$A$3:$K$187,2,0),"")</f>
        <v/>
      </c>
      <c r="C183" s="7" t="str">
        <f>IFERROR(VLOOKUP(E183,'(新)ﾍﾞﾝﾀﾞｰ中型'!$A$3:$K$187,4,0),"")</f>
        <v/>
      </c>
      <c r="D183" s="7" t="str">
        <f>IFERROR(VLOOKUP(E183,'(新)ﾍﾞﾝﾀﾞｰ中型'!$A$3:$K$187,5,0),"")</f>
        <v/>
      </c>
      <c r="E183" s="23">
        <f>'(新)ﾍﾞﾝﾀﾞｰ中型'!A171</f>
        <v>0</v>
      </c>
      <c r="F183" s="8" t="str">
        <f>IFERROR(VLOOKUP(E183,'(新)ﾍﾞﾝﾀﾞｰ中型'!$A$3:$K$187,8,0),"")</f>
        <v/>
      </c>
      <c r="G183" s="7" t="str">
        <f>IFERROR(VLOOKUP(E183,'(旧)ﾍﾞﾝﾀﾞｰ中型'!$A$3:$K$200,10,0),"")</f>
        <v/>
      </c>
      <c r="H183" s="12" t="s">
        <v>60</v>
      </c>
      <c r="I183" s="7" t="str">
        <f>IFERROR(VLOOKUP(E183,'(新)ﾍﾞﾝﾀﾞｰ中型'!$A$3:$K$187,10,0),"")</f>
        <v/>
      </c>
    </row>
    <row r="184" spans="1:9" s="19" customFormat="1" ht="13.8" thickBot="1" x14ac:dyDescent="0.2">
      <c r="A184" s="11">
        <v>183</v>
      </c>
      <c r="B184" s="7" t="str">
        <f>IFERROR(VLOOKUP(E184,'(新)ﾍﾞﾝﾀﾞｰ中型'!$A$3:$K$187,2,0),"")</f>
        <v/>
      </c>
      <c r="C184" s="7" t="str">
        <f>IFERROR(VLOOKUP(E184,'(新)ﾍﾞﾝﾀﾞｰ中型'!$A$3:$K$187,4,0),"")</f>
        <v/>
      </c>
      <c r="D184" s="7" t="str">
        <f>IFERROR(VLOOKUP(E184,'(新)ﾍﾞﾝﾀﾞｰ中型'!$A$3:$K$187,5,0),"")</f>
        <v/>
      </c>
      <c r="E184" s="23">
        <f>'(新)ﾍﾞﾝﾀﾞｰ中型'!A172</f>
        <v>0</v>
      </c>
      <c r="F184" s="8" t="str">
        <f>IFERROR(VLOOKUP(E184,'(新)ﾍﾞﾝﾀﾞｰ中型'!$A$3:$K$187,8,0),"")</f>
        <v/>
      </c>
      <c r="G184" s="7" t="str">
        <f>IFERROR(VLOOKUP(E184,'(旧)ﾍﾞﾝﾀﾞｰ中型'!$A$3:$K$200,10,0),"")</f>
        <v/>
      </c>
      <c r="H184" s="12" t="s">
        <v>60</v>
      </c>
      <c r="I184" s="7" t="str">
        <f>IFERROR(VLOOKUP(E184,'(新)ﾍﾞﾝﾀﾞｰ中型'!$A$3:$K$187,10,0),"")</f>
        <v/>
      </c>
    </row>
    <row r="185" spans="1:9" s="19" customFormat="1" ht="13.8" thickBot="1" x14ac:dyDescent="0.2">
      <c r="A185" s="11">
        <v>184</v>
      </c>
      <c r="B185" s="7" t="str">
        <f>IFERROR(VLOOKUP(E185,'(新)ﾍﾞﾝﾀﾞｰ中型'!$A$3:$K$187,2,0),"")</f>
        <v/>
      </c>
      <c r="C185" s="7" t="str">
        <f>IFERROR(VLOOKUP(E185,'(新)ﾍﾞﾝﾀﾞｰ中型'!$A$3:$K$187,4,0),"")</f>
        <v/>
      </c>
      <c r="D185" s="7" t="str">
        <f>IFERROR(VLOOKUP(E185,'(新)ﾍﾞﾝﾀﾞｰ中型'!$A$3:$K$187,5,0),"")</f>
        <v/>
      </c>
      <c r="E185" s="23">
        <f>'(新)ﾍﾞﾝﾀﾞｰ中型'!A173</f>
        <v>0</v>
      </c>
      <c r="F185" s="8" t="str">
        <f>IFERROR(VLOOKUP(E185,'(新)ﾍﾞﾝﾀﾞｰ中型'!$A$3:$K$187,8,0),"")</f>
        <v/>
      </c>
      <c r="G185" s="7" t="str">
        <f>IFERROR(VLOOKUP(E185,'(旧)ﾍﾞﾝﾀﾞｰ中型'!$A$3:$K$200,10,0),"")</f>
        <v/>
      </c>
      <c r="H185" s="12" t="s">
        <v>60</v>
      </c>
      <c r="I185" s="7" t="str">
        <f>IFERROR(VLOOKUP(E185,'(新)ﾍﾞﾝﾀﾞｰ中型'!$A$3:$K$187,10,0),"")</f>
        <v/>
      </c>
    </row>
    <row r="186" spans="1:9" s="19" customFormat="1" ht="13.8" thickBot="1" x14ac:dyDescent="0.2">
      <c r="A186" s="11">
        <v>185</v>
      </c>
      <c r="B186" s="7" t="str">
        <f>IFERROR(VLOOKUP(E186,'(新)ﾍﾞﾝﾀﾞｰ中型'!$A$3:$K$187,2,0),"")</f>
        <v/>
      </c>
      <c r="C186" s="7" t="str">
        <f>IFERROR(VLOOKUP(E186,'(新)ﾍﾞﾝﾀﾞｰ中型'!$A$3:$K$187,4,0),"")</f>
        <v/>
      </c>
      <c r="D186" s="7" t="str">
        <f>IFERROR(VLOOKUP(E186,'(新)ﾍﾞﾝﾀﾞｰ中型'!$A$3:$K$187,5,0),"")</f>
        <v/>
      </c>
      <c r="E186" s="23">
        <f>'(新)ﾍﾞﾝﾀﾞｰ中型'!A174</f>
        <v>0</v>
      </c>
      <c r="F186" s="8" t="str">
        <f>IFERROR(VLOOKUP(E186,'(新)ﾍﾞﾝﾀﾞｰ中型'!$A$3:$K$187,8,0),"")</f>
        <v/>
      </c>
      <c r="G186" s="7" t="str">
        <f>IFERROR(VLOOKUP(E186,'(旧)ﾍﾞﾝﾀﾞｰ中型'!$A$3:$K$200,10,0),"")</f>
        <v/>
      </c>
      <c r="H186" s="12" t="s">
        <v>60</v>
      </c>
      <c r="I186" s="7" t="str">
        <f>IFERROR(VLOOKUP(E186,'(新)ﾍﾞﾝﾀﾞｰ中型'!$A$3:$K$187,10,0),"")</f>
        <v/>
      </c>
    </row>
    <row r="187" spans="1:9" s="19" customFormat="1" ht="13.8" thickBot="1" x14ac:dyDescent="0.2">
      <c r="A187" s="11">
        <v>186</v>
      </c>
      <c r="B187" s="7" t="str">
        <f>IFERROR(VLOOKUP(E187,'(新)ﾍﾞﾝﾀﾞｰ中型'!$A$3:$K$187,2,0),"")</f>
        <v/>
      </c>
      <c r="C187" s="7" t="str">
        <f>IFERROR(VLOOKUP(E187,'(新)ﾍﾞﾝﾀﾞｰ中型'!$A$3:$K$187,4,0),"")</f>
        <v/>
      </c>
      <c r="D187" s="7" t="str">
        <f>IFERROR(VLOOKUP(E187,'(新)ﾍﾞﾝﾀﾞｰ中型'!$A$3:$K$187,5,0),"")</f>
        <v/>
      </c>
      <c r="E187" s="23">
        <f>'(新)ﾍﾞﾝﾀﾞｰ中型'!A175</f>
        <v>0</v>
      </c>
      <c r="F187" s="8" t="str">
        <f>IFERROR(VLOOKUP(E187,'(新)ﾍﾞﾝﾀﾞｰ中型'!$A$3:$K$187,8,0),"")</f>
        <v/>
      </c>
      <c r="G187" s="7" t="str">
        <f>IFERROR(VLOOKUP(E187,'(旧)ﾍﾞﾝﾀﾞｰ中型'!$A$3:$K$200,10,0),"")</f>
        <v/>
      </c>
      <c r="H187" s="12" t="s">
        <v>60</v>
      </c>
      <c r="I187" s="7" t="str">
        <f>IFERROR(VLOOKUP(E187,'(新)ﾍﾞﾝﾀﾞｰ中型'!$A$3:$K$187,10,0),"")</f>
        <v/>
      </c>
    </row>
    <row r="188" spans="1:9" s="19" customFormat="1" ht="13.8" thickBot="1" x14ac:dyDescent="0.2">
      <c r="A188" s="11">
        <v>187</v>
      </c>
      <c r="B188" s="7" t="str">
        <f>IFERROR(VLOOKUP(E188,'(新)ﾍﾞﾝﾀﾞｰ中型'!$A$3:$K$187,2,0),"")</f>
        <v/>
      </c>
      <c r="C188" s="7" t="str">
        <f>IFERROR(VLOOKUP(E188,'(新)ﾍﾞﾝﾀﾞｰ中型'!$A$3:$K$187,4,0),"")</f>
        <v/>
      </c>
      <c r="D188" s="7" t="str">
        <f>IFERROR(VLOOKUP(E188,'(新)ﾍﾞﾝﾀﾞｰ中型'!$A$3:$K$187,5,0),"")</f>
        <v/>
      </c>
      <c r="E188" s="23">
        <f>'(新)ﾍﾞﾝﾀﾞｰ中型'!A176</f>
        <v>0</v>
      </c>
      <c r="F188" s="8" t="str">
        <f>IFERROR(VLOOKUP(E188,'(新)ﾍﾞﾝﾀﾞｰ中型'!$A$3:$K$187,8,0),"")</f>
        <v/>
      </c>
      <c r="G188" s="7" t="str">
        <f>IFERROR(VLOOKUP(E188,'(旧)ﾍﾞﾝﾀﾞｰ中型'!$A$3:$K$200,10,0),"")</f>
        <v/>
      </c>
      <c r="H188" s="12" t="s">
        <v>60</v>
      </c>
      <c r="I188" s="7" t="str">
        <f>IFERROR(VLOOKUP(E188,'(新)ﾍﾞﾝﾀﾞｰ中型'!$A$3:$K$187,10,0),"")</f>
        <v/>
      </c>
    </row>
    <row r="189" spans="1:9" s="19" customFormat="1" ht="13.8" thickBot="1" x14ac:dyDescent="0.2">
      <c r="A189" s="11">
        <v>188</v>
      </c>
      <c r="B189" s="7" t="str">
        <f>IFERROR(VLOOKUP(E189,'(新)ﾍﾞﾝﾀﾞｰ中型'!$A$3:$K$187,2,0),"")</f>
        <v/>
      </c>
      <c r="C189" s="7" t="str">
        <f>IFERROR(VLOOKUP(E189,'(新)ﾍﾞﾝﾀﾞｰ中型'!$A$3:$K$187,4,0),"")</f>
        <v/>
      </c>
      <c r="D189" s="7" t="str">
        <f>IFERROR(VLOOKUP(E189,'(新)ﾍﾞﾝﾀﾞｰ中型'!$A$3:$K$187,5,0),"")</f>
        <v/>
      </c>
      <c r="E189" s="23">
        <f>'(新)ﾍﾞﾝﾀﾞｰ中型'!A177</f>
        <v>0</v>
      </c>
      <c r="F189" s="8" t="str">
        <f>IFERROR(VLOOKUP(E189,'(新)ﾍﾞﾝﾀﾞｰ中型'!$A$3:$K$187,8,0),"")</f>
        <v/>
      </c>
      <c r="G189" s="7" t="str">
        <f>IFERROR(VLOOKUP(E189,'(旧)ﾍﾞﾝﾀﾞｰ中型'!$A$3:$K$200,10,0),"")</f>
        <v/>
      </c>
      <c r="H189" s="12" t="s">
        <v>60</v>
      </c>
      <c r="I189" s="7" t="str">
        <f>IFERROR(VLOOKUP(E189,'(新)ﾍﾞﾝﾀﾞｰ中型'!$A$3:$K$187,10,0),"")</f>
        <v/>
      </c>
    </row>
    <row r="190" spans="1:9" s="19" customFormat="1" ht="13.8" thickBot="1" x14ac:dyDescent="0.2">
      <c r="A190" s="11">
        <v>189</v>
      </c>
      <c r="B190" s="7" t="str">
        <f>IFERROR(VLOOKUP(E190,'(新)ﾍﾞﾝﾀﾞｰ中型'!$A$3:$K$187,2,0),"")</f>
        <v/>
      </c>
      <c r="C190" s="7" t="str">
        <f>IFERROR(VLOOKUP(E190,'(新)ﾍﾞﾝﾀﾞｰ中型'!$A$3:$K$187,4,0),"")</f>
        <v/>
      </c>
      <c r="D190" s="7" t="str">
        <f>IFERROR(VLOOKUP(E190,'(新)ﾍﾞﾝﾀﾞｰ中型'!$A$3:$K$187,5,0),"")</f>
        <v/>
      </c>
      <c r="E190" s="23">
        <f>'(新)ﾍﾞﾝﾀﾞｰ中型'!A178</f>
        <v>0</v>
      </c>
      <c r="F190" s="8" t="str">
        <f>IFERROR(VLOOKUP(E190,'(新)ﾍﾞﾝﾀﾞｰ中型'!$A$3:$K$187,8,0),"")</f>
        <v/>
      </c>
      <c r="G190" s="7" t="str">
        <f>IFERROR(VLOOKUP(E190,'(旧)ﾍﾞﾝﾀﾞｰ中型'!$A$3:$K$200,10,0),"")</f>
        <v/>
      </c>
      <c r="H190" s="12" t="s">
        <v>60</v>
      </c>
      <c r="I190" s="7" t="str">
        <f>IFERROR(VLOOKUP(E190,'(新)ﾍﾞﾝﾀﾞｰ中型'!$A$3:$K$187,10,0),"")</f>
        <v/>
      </c>
    </row>
    <row r="191" spans="1:9" s="19" customFormat="1" ht="13.8" thickBot="1" x14ac:dyDescent="0.2">
      <c r="A191" s="11">
        <v>190</v>
      </c>
      <c r="B191" s="7" t="str">
        <f>IFERROR(VLOOKUP(E191,'(新)ﾍﾞﾝﾀﾞｰ中型'!$A$3:$K$187,2,0),"")</f>
        <v/>
      </c>
      <c r="C191" s="7" t="str">
        <f>IFERROR(VLOOKUP(E191,'(新)ﾍﾞﾝﾀﾞｰ中型'!$A$3:$K$187,4,0),"")</f>
        <v/>
      </c>
      <c r="D191" s="7" t="str">
        <f>IFERROR(VLOOKUP(E191,'(新)ﾍﾞﾝﾀﾞｰ中型'!$A$3:$K$187,5,0),"")</f>
        <v/>
      </c>
      <c r="E191" s="23">
        <f>'(新)ﾍﾞﾝﾀﾞｰ中型'!A179</f>
        <v>0</v>
      </c>
      <c r="F191" s="8" t="str">
        <f>IFERROR(VLOOKUP(E191,'(新)ﾍﾞﾝﾀﾞｰ中型'!$A$3:$K$187,8,0),"")</f>
        <v/>
      </c>
      <c r="G191" s="7" t="str">
        <f>IFERROR(VLOOKUP(E191,'(旧)ﾍﾞﾝﾀﾞｰ中型'!$A$3:$K$200,10,0),"")</f>
        <v/>
      </c>
      <c r="H191" s="12" t="s">
        <v>60</v>
      </c>
      <c r="I191" s="7" t="str">
        <f>IFERROR(VLOOKUP(E191,'(新)ﾍﾞﾝﾀﾞｰ中型'!$A$3:$K$187,10,0),"")</f>
        <v/>
      </c>
    </row>
    <row r="192" spans="1:9" s="19" customFormat="1" ht="13.8" thickBot="1" x14ac:dyDescent="0.2">
      <c r="A192" s="11">
        <v>191</v>
      </c>
      <c r="B192" s="7" t="str">
        <f>IFERROR(VLOOKUP(E192,'(新)ﾍﾞﾝﾀﾞｰ中型'!$A$3:$K$187,2,0),"")</f>
        <v/>
      </c>
      <c r="C192" s="7" t="str">
        <f>IFERROR(VLOOKUP(E192,'(新)ﾍﾞﾝﾀﾞｰ中型'!$A$3:$K$187,4,0),"")</f>
        <v/>
      </c>
      <c r="D192" s="7" t="str">
        <f>IFERROR(VLOOKUP(E192,'(新)ﾍﾞﾝﾀﾞｰ中型'!$A$3:$K$187,5,0),"")</f>
        <v/>
      </c>
      <c r="E192" s="23">
        <f>'(新)ﾍﾞﾝﾀﾞｰ中型'!A180</f>
        <v>0</v>
      </c>
      <c r="F192" s="8" t="str">
        <f>IFERROR(VLOOKUP(E192,'(新)ﾍﾞﾝﾀﾞｰ中型'!$A$3:$K$187,8,0),"")</f>
        <v/>
      </c>
      <c r="G192" s="7" t="str">
        <f>IFERROR(VLOOKUP(E192,'(旧)ﾍﾞﾝﾀﾞｰ中型'!$A$3:$K$200,10,0),"")</f>
        <v/>
      </c>
      <c r="H192" s="12" t="s">
        <v>60</v>
      </c>
      <c r="I192" s="7" t="str">
        <f>IFERROR(VLOOKUP(E192,'(新)ﾍﾞﾝﾀﾞｰ中型'!$A$3:$K$187,10,0),"")</f>
        <v/>
      </c>
    </row>
    <row r="193" spans="1:9" s="19" customFormat="1" ht="13.8" thickBot="1" x14ac:dyDescent="0.2">
      <c r="A193" s="11">
        <v>192</v>
      </c>
      <c r="B193" s="7" t="str">
        <f>IFERROR(VLOOKUP(E193,'(新)ﾍﾞﾝﾀﾞｰ中型'!$A$3:$K$187,2,0),"")</f>
        <v/>
      </c>
      <c r="C193" s="7" t="str">
        <f>IFERROR(VLOOKUP(E193,'(新)ﾍﾞﾝﾀﾞｰ中型'!$A$3:$K$187,4,0),"")</f>
        <v/>
      </c>
      <c r="D193" s="7" t="str">
        <f>IFERROR(VLOOKUP(E193,'(新)ﾍﾞﾝﾀﾞｰ中型'!$A$3:$K$187,5,0),"")</f>
        <v/>
      </c>
      <c r="E193" s="23">
        <f>'(新)ﾍﾞﾝﾀﾞｰ中型'!A181</f>
        <v>0</v>
      </c>
      <c r="F193" s="8" t="str">
        <f>IFERROR(VLOOKUP(E193,'(新)ﾍﾞﾝﾀﾞｰ中型'!$A$3:$K$187,8,0),"")</f>
        <v/>
      </c>
      <c r="G193" s="7" t="str">
        <f>IFERROR(VLOOKUP(E193,'(旧)ﾍﾞﾝﾀﾞｰ中型'!$A$3:$K$200,10,0),"")</f>
        <v/>
      </c>
      <c r="H193" s="12" t="s">
        <v>60</v>
      </c>
      <c r="I193" s="7" t="str">
        <f>IFERROR(VLOOKUP(E193,'(新)ﾍﾞﾝﾀﾞｰ中型'!$A$3:$K$187,10,0),"")</f>
        <v/>
      </c>
    </row>
    <row r="194" spans="1:9" s="19" customFormat="1" ht="13.8" thickBot="1" x14ac:dyDescent="0.2">
      <c r="A194" s="11">
        <v>193</v>
      </c>
      <c r="B194" s="7" t="str">
        <f>IFERROR(VLOOKUP(E194,'(新)ﾍﾞﾝﾀﾞｰ中型'!$A$3:$K$187,2,0),"")</f>
        <v/>
      </c>
      <c r="C194" s="7" t="str">
        <f>IFERROR(VLOOKUP(E194,'(新)ﾍﾞﾝﾀﾞｰ中型'!$A$3:$K$187,4,0),"")</f>
        <v/>
      </c>
      <c r="D194" s="7" t="str">
        <f>IFERROR(VLOOKUP(E194,'(新)ﾍﾞﾝﾀﾞｰ中型'!$A$3:$K$187,5,0),"")</f>
        <v/>
      </c>
      <c r="E194" s="23">
        <f>'(新)ﾍﾞﾝﾀﾞｰ中型'!A182</f>
        <v>0</v>
      </c>
      <c r="F194" s="8" t="str">
        <f>IFERROR(VLOOKUP(E194,'(新)ﾍﾞﾝﾀﾞｰ中型'!$A$3:$K$187,8,0),"")</f>
        <v/>
      </c>
      <c r="G194" s="7" t="str">
        <f>IFERROR(VLOOKUP(E194,'(旧)ﾍﾞﾝﾀﾞｰ中型'!$A$3:$K$200,10,0),"")</f>
        <v/>
      </c>
      <c r="H194" s="12" t="s">
        <v>60</v>
      </c>
      <c r="I194" s="7" t="str">
        <f>IFERROR(VLOOKUP(E194,'(新)ﾍﾞﾝﾀﾞｰ中型'!$A$3:$K$187,10,0),"")</f>
        <v/>
      </c>
    </row>
    <row r="195" spans="1:9" s="19" customFormat="1" ht="13.8" thickBot="1" x14ac:dyDescent="0.2">
      <c r="A195" s="11">
        <v>194</v>
      </c>
      <c r="B195" s="7" t="str">
        <f>IFERROR(VLOOKUP(E195,'(新)ﾍﾞﾝﾀﾞｰ中型'!$A$3:$K$187,2,0),"")</f>
        <v/>
      </c>
      <c r="C195" s="7" t="str">
        <f>IFERROR(VLOOKUP(E195,'(新)ﾍﾞﾝﾀﾞｰ中型'!$A$3:$K$187,4,0),"")</f>
        <v/>
      </c>
      <c r="D195" s="7" t="str">
        <f>IFERROR(VLOOKUP(E195,'(新)ﾍﾞﾝﾀﾞｰ中型'!$A$3:$K$187,5,0),"")</f>
        <v/>
      </c>
      <c r="E195" s="23">
        <f>'(新)ﾍﾞﾝﾀﾞｰ中型'!A183</f>
        <v>0</v>
      </c>
      <c r="F195" s="8" t="str">
        <f>IFERROR(VLOOKUP(E195,'(新)ﾍﾞﾝﾀﾞｰ中型'!$A$3:$K$187,8,0),"")</f>
        <v/>
      </c>
      <c r="G195" s="7" t="str">
        <f>IFERROR(VLOOKUP(E195,'(旧)ﾍﾞﾝﾀﾞｰ中型'!$A$3:$K$200,10,0),"")</f>
        <v/>
      </c>
      <c r="H195" s="12" t="s">
        <v>60</v>
      </c>
      <c r="I195" s="7" t="str">
        <f>IFERROR(VLOOKUP(E195,'(新)ﾍﾞﾝﾀﾞｰ中型'!$A$3:$K$187,10,0),"")</f>
        <v/>
      </c>
    </row>
    <row r="196" spans="1:9" s="19" customFormat="1" ht="13.8" thickBot="1" x14ac:dyDescent="0.2">
      <c r="A196" s="11">
        <v>195</v>
      </c>
      <c r="B196" s="7" t="str">
        <f>IFERROR(VLOOKUP(E196,'(新)ﾍﾞﾝﾀﾞｰ中型'!$A$3:$K$187,2,0),"")</f>
        <v/>
      </c>
      <c r="C196" s="7" t="str">
        <f>IFERROR(VLOOKUP(E196,'(新)ﾍﾞﾝﾀﾞｰ中型'!$A$3:$K$187,4,0),"")</f>
        <v/>
      </c>
      <c r="D196" s="7" t="str">
        <f>IFERROR(VLOOKUP(E196,'(新)ﾍﾞﾝﾀﾞｰ中型'!$A$3:$K$187,5,0),"")</f>
        <v/>
      </c>
      <c r="E196" s="23">
        <f>'(新)ﾍﾞﾝﾀﾞｰ中型'!A184</f>
        <v>0</v>
      </c>
      <c r="F196" s="8" t="str">
        <f>IFERROR(VLOOKUP(E196,'(新)ﾍﾞﾝﾀﾞｰ中型'!$A$3:$K$187,8,0),"")</f>
        <v/>
      </c>
      <c r="G196" s="7" t="str">
        <f>IFERROR(VLOOKUP(E196,'(旧)ﾍﾞﾝﾀﾞｰ中型'!$A$3:$K$200,10,0),"")</f>
        <v/>
      </c>
      <c r="H196" s="12" t="s">
        <v>60</v>
      </c>
      <c r="I196" s="7" t="str">
        <f>IFERROR(VLOOKUP(E196,'(新)ﾍﾞﾝﾀﾞｰ中型'!$A$3:$K$187,10,0),"")</f>
        <v/>
      </c>
    </row>
    <row r="197" spans="1:9" s="19" customFormat="1" ht="13.8" thickBot="1" x14ac:dyDescent="0.2">
      <c r="A197" s="11">
        <v>196</v>
      </c>
      <c r="B197" s="7" t="str">
        <f>IFERROR(VLOOKUP(E197,'(新)ﾍﾞﾝﾀﾞｰ中型'!$A$3:$K$187,2,0),"")</f>
        <v/>
      </c>
      <c r="C197" s="7" t="str">
        <f>IFERROR(VLOOKUP(E197,'(新)ﾍﾞﾝﾀﾞｰ中型'!$A$3:$K$187,4,0),"")</f>
        <v/>
      </c>
      <c r="D197" s="7" t="str">
        <f>IFERROR(VLOOKUP(E197,'(新)ﾍﾞﾝﾀﾞｰ中型'!$A$3:$K$187,5,0),"")</f>
        <v/>
      </c>
      <c r="E197" s="23">
        <f>'(新)ﾍﾞﾝﾀﾞｰ中型'!A185</f>
        <v>0</v>
      </c>
      <c r="F197" s="8" t="str">
        <f>IFERROR(VLOOKUP(E197,'(新)ﾍﾞﾝﾀﾞｰ中型'!$A$3:$K$187,8,0),"")</f>
        <v/>
      </c>
      <c r="G197" s="7" t="str">
        <f>IFERROR(VLOOKUP(E197,'(旧)ﾍﾞﾝﾀﾞｰ中型'!$A$3:$K$200,10,0),"")</f>
        <v/>
      </c>
      <c r="H197" s="12" t="s">
        <v>60</v>
      </c>
      <c r="I197" s="7" t="str">
        <f>IFERROR(VLOOKUP(E197,'(新)ﾍﾞﾝﾀﾞｰ中型'!$A$3:$K$187,10,0),"")</f>
        <v/>
      </c>
    </row>
    <row r="198" spans="1:9" s="19" customFormat="1" ht="13.8" thickBot="1" x14ac:dyDescent="0.2">
      <c r="A198" s="11">
        <v>197</v>
      </c>
      <c r="B198" s="7" t="str">
        <f>IFERROR(VLOOKUP(E198,'(新)ﾍﾞﾝﾀﾞｰ中型'!$A$3:$K$187,2,0),"")</f>
        <v/>
      </c>
      <c r="C198" s="7" t="str">
        <f>IFERROR(VLOOKUP(E198,'(新)ﾍﾞﾝﾀﾞｰ中型'!$A$3:$K$187,4,0),"")</f>
        <v/>
      </c>
      <c r="D198" s="7" t="str">
        <f>IFERROR(VLOOKUP(E198,'(新)ﾍﾞﾝﾀﾞｰ中型'!$A$3:$K$187,5,0),"")</f>
        <v/>
      </c>
      <c r="E198" s="23">
        <f>'(新)ﾍﾞﾝﾀﾞｰ中型'!A186</f>
        <v>0</v>
      </c>
      <c r="F198" s="8" t="str">
        <f>IFERROR(VLOOKUP(E198,'(新)ﾍﾞﾝﾀﾞｰ中型'!$A$3:$K$187,8,0),"")</f>
        <v/>
      </c>
      <c r="G198" s="7" t="str">
        <f>IFERROR(VLOOKUP(E198,'(旧)ﾍﾞﾝﾀﾞｰ中型'!$A$3:$K$200,10,0),"")</f>
        <v/>
      </c>
      <c r="H198" s="12" t="s">
        <v>60</v>
      </c>
      <c r="I198" s="7" t="str">
        <f>IFERROR(VLOOKUP(E198,'(新)ﾍﾞﾝﾀﾞｰ中型'!$A$3:$K$187,10,0),"")</f>
        <v/>
      </c>
    </row>
    <row r="199" spans="1:9" s="19" customFormat="1" ht="13.8" thickBot="1" x14ac:dyDescent="0.2">
      <c r="A199" s="11">
        <v>198</v>
      </c>
      <c r="B199" s="7" t="str">
        <f>IFERROR(VLOOKUP(E199,'(新)ﾍﾞﾝﾀﾞｰ中型'!$A$3:$K$187,2,0),"")</f>
        <v/>
      </c>
      <c r="C199" s="7" t="str">
        <f>IFERROR(VLOOKUP(E199,'(新)ﾍﾞﾝﾀﾞｰ中型'!$A$3:$K$187,4,0),"")</f>
        <v/>
      </c>
      <c r="D199" s="7" t="str">
        <f>IFERROR(VLOOKUP(E199,'(新)ﾍﾞﾝﾀﾞｰ中型'!$A$3:$K$187,5,0),"")</f>
        <v/>
      </c>
      <c r="E199" s="23">
        <f>'(新)ﾍﾞﾝﾀﾞｰ中型'!A187</f>
        <v>0</v>
      </c>
      <c r="F199" s="8" t="str">
        <f>IFERROR(VLOOKUP(E199,'(新)ﾍﾞﾝﾀﾞｰ中型'!$A$3:$K$187,8,0),"")</f>
        <v/>
      </c>
      <c r="G199" s="7" t="str">
        <f>IFERROR(VLOOKUP(E199,'(旧)ﾍﾞﾝﾀﾞｰ中型'!$A$3:$K$200,10,0),"")</f>
        <v/>
      </c>
      <c r="H199" s="12" t="s">
        <v>60</v>
      </c>
      <c r="I199" s="7" t="str">
        <f>IFERROR(VLOOKUP(E199,'(新)ﾍﾞﾝﾀﾞｰ中型'!$A$3:$K$187,10,0),"")</f>
        <v/>
      </c>
    </row>
    <row r="200" spans="1:9" s="19" customFormat="1" ht="13.8" thickBot="1" x14ac:dyDescent="0.2">
      <c r="A200" s="11">
        <v>199</v>
      </c>
      <c r="B200" s="7" t="str">
        <f>IFERROR(VLOOKUP(E200,'(新)ﾍﾞﾝﾀﾞｰ中型'!$A$3:$K$187,2,0),"")</f>
        <v/>
      </c>
      <c r="C200" s="7" t="str">
        <f>IFERROR(VLOOKUP(E200,'(新)ﾍﾞﾝﾀﾞｰ中型'!$A$3:$K$187,4,0),"")</f>
        <v/>
      </c>
      <c r="D200" s="7" t="str">
        <f>IFERROR(VLOOKUP(E200,'(新)ﾍﾞﾝﾀﾞｰ中型'!$A$3:$K$187,5,0),"")</f>
        <v/>
      </c>
      <c r="E200" s="23">
        <f>'(新)ﾍﾞﾝﾀﾞｰ中型'!A188</f>
        <v>0</v>
      </c>
      <c r="F200" s="8" t="str">
        <f>IFERROR(VLOOKUP(E200,'(新)ﾍﾞﾝﾀﾞｰ中型'!$A$3:$K$187,8,0),"")</f>
        <v/>
      </c>
      <c r="G200" s="7" t="str">
        <f>IFERROR(VLOOKUP(E200,'(旧)ﾍﾞﾝﾀﾞｰ中型'!$A$3:$K$200,10,0),"")</f>
        <v/>
      </c>
      <c r="H200" s="12" t="s">
        <v>60</v>
      </c>
      <c r="I200" s="7" t="str">
        <f>IFERROR(VLOOKUP(E200,'(新)ﾍﾞﾝﾀﾞｰ中型'!$A$3:$K$187,10,0),"")</f>
        <v/>
      </c>
    </row>
    <row r="201" spans="1:9" s="19" customFormat="1" ht="13.8" thickBot="1" x14ac:dyDescent="0.2">
      <c r="A201" s="11">
        <v>200</v>
      </c>
      <c r="B201" s="7"/>
      <c r="C201" s="7" t="str">
        <f>IFERROR(VLOOKUP(E201,'(新)ﾍﾞﾝﾀﾞｰ中型'!$A$3:$K$81,4,0),"")</f>
        <v/>
      </c>
      <c r="D201" s="7" t="str">
        <f>IFERROR(VLOOKUP(E201,'(新)ﾍﾞﾝﾀﾞｰ中型'!$A$3:$K$87,5,0),"")</f>
        <v/>
      </c>
      <c r="E201" s="23">
        <f>'(新)ﾍﾞﾝﾀﾞｰ中型'!A189</f>
        <v>0</v>
      </c>
      <c r="F201" s="8" t="str">
        <f>IFERROR(VLOOKUP(E201,'(新)ﾍﾞﾝﾀﾞｰ中型'!$A$3:$K$81,8,0),"")</f>
        <v/>
      </c>
      <c r="G201" s="7" t="str">
        <f>IFERROR(VLOOKUP(E201,'(旧)ﾍﾞﾝﾀﾞｰ中型'!$A$3:$K$237,10,0),"")</f>
        <v/>
      </c>
      <c r="H201" s="12" t="s">
        <v>60</v>
      </c>
      <c r="I201" s="7" t="str">
        <f>IFERROR(VLOOKUP(E201,'(新)ﾍﾞﾝﾀﾞｰ中型'!$A$3:$K$81,10,0),"")</f>
        <v/>
      </c>
    </row>
    <row r="202" spans="1:9" s="19" customFormat="1" ht="13.8" thickBot="1" x14ac:dyDescent="0.2">
      <c r="B202" s="7"/>
      <c r="C202" s="7" t="str">
        <f>IFERROR(VLOOKUP(E202,'(新)ﾍﾞﾝﾀﾞｰ中型'!$A$3:$K$81,4,0),"")</f>
        <v/>
      </c>
      <c r="D202" s="7" t="str">
        <f>IFERROR(VLOOKUP(E202,'(新)ﾍﾞﾝﾀﾞｰ中型'!$A$3:$K$87,5,0),"")</f>
        <v/>
      </c>
      <c r="E202" s="23">
        <f>'(新)ﾍﾞﾝﾀﾞｰ中型'!A190</f>
        <v>0</v>
      </c>
      <c r="F202" s="8" t="str">
        <f>IFERROR(VLOOKUP(E202,'(新)ﾍﾞﾝﾀﾞｰ中型'!$A$3:$K$81,8,0),"")</f>
        <v/>
      </c>
      <c r="G202" s="7" t="str">
        <f>IFERROR(VLOOKUP(E202,'(旧)ﾍﾞﾝﾀﾞｰ中型'!$A$3:$K$237,10,0),"")</f>
        <v/>
      </c>
      <c r="H202" s="12" t="s">
        <v>60</v>
      </c>
      <c r="I202" s="7" t="str">
        <f>IFERROR(VLOOKUP(E202,'(新)ﾍﾞﾝﾀﾞｰ中型'!$A$3:$K$81,10,0),"")</f>
        <v/>
      </c>
    </row>
    <row r="203" spans="1:9" s="19" customFormat="1" x14ac:dyDescent="0.15">
      <c r="B203" s="7"/>
      <c r="C203" s="7" t="str">
        <f>IFERROR(VLOOKUP(E203,'(新)ﾍﾞﾝﾀﾞｰ中型'!$A$3:$K$81,4,0),"")</f>
        <v/>
      </c>
      <c r="D203" s="7" t="str">
        <f>IFERROR(VLOOKUP(E203,'(新)ﾍﾞﾝﾀﾞｰ中型'!$A$3:$K$87,5,0),"")</f>
        <v/>
      </c>
      <c r="E203"/>
      <c r="F203" s="8" t="str">
        <f>IFERROR(VLOOKUP(E203,'(新)ﾍﾞﾝﾀﾞｰ中型'!$A$3:$K$81,8,0),"")</f>
        <v/>
      </c>
      <c r="G203" s="7" t="str">
        <f>IFERROR(VLOOKUP(E203,'(旧)ﾍﾞﾝﾀﾞｰ中型'!$A$3:$K$237,10,0),"")</f>
        <v/>
      </c>
      <c r="H203" s="12" t="s">
        <v>60</v>
      </c>
      <c r="I203" s="7" t="str">
        <f>IFERROR(VLOOKUP(E203,'(新)ﾍﾞﾝﾀﾞｰ中型'!$A$3:$K$81,10,0),"")</f>
        <v/>
      </c>
    </row>
    <row r="204" spans="1:9" s="19" customFormat="1" x14ac:dyDescent="0.15">
      <c r="B204" s="7"/>
      <c r="C204" s="7" t="str">
        <f>IFERROR(VLOOKUP(E204,'(新)ﾍﾞﾝﾀﾞｰ中型'!$A$3:$K$81,4,0),"")</f>
        <v/>
      </c>
      <c r="D204" s="7" t="str">
        <f>IFERROR(VLOOKUP(E204,'(新)ﾍﾞﾝﾀﾞｰ中型'!$A$3:$K$87,5,0),"")</f>
        <v/>
      </c>
      <c r="E204"/>
      <c r="F204" s="8" t="str">
        <f>IFERROR(VLOOKUP(E204,'(新)ﾍﾞﾝﾀﾞｰ中型'!$A$3:$K$81,8,0),"")</f>
        <v/>
      </c>
      <c r="G204" s="7" t="str">
        <f>IFERROR(VLOOKUP(E204,'(旧)ﾍﾞﾝﾀﾞｰ中型'!$A$3:$K$237,10,0),"")</f>
        <v/>
      </c>
      <c r="H204" s="12" t="s">
        <v>60</v>
      </c>
      <c r="I204" s="7" t="str">
        <f>IFERROR(VLOOKUP(E204,'(新)ﾍﾞﾝﾀﾞｰ中型'!$A$3:$K$81,10,0),"")</f>
        <v/>
      </c>
    </row>
    <row r="205" spans="1:9" s="19" customFormat="1" x14ac:dyDescent="0.15">
      <c r="B205" s="7"/>
      <c r="C205" s="7" t="str">
        <f>IFERROR(VLOOKUP(E205,'(新)ﾍﾞﾝﾀﾞｰ中型'!$A$3:$K$81,4,0),"")</f>
        <v/>
      </c>
      <c r="D205" s="7" t="str">
        <f>IFERROR(VLOOKUP(E205,'(新)ﾍﾞﾝﾀﾞｰ中型'!$A$3:$K$87,5,0),"")</f>
        <v/>
      </c>
      <c r="E205"/>
      <c r="F205" s="8" t="str">
        <f>IFERROR(VLOOKUP(E205,'(新)ﾍﾞﾝﾀﾞｰ中型'!$A$3:$K$81,8,0),"")</f>
        <v/>
      </c>
      <c r="G205" s="7" t="str">
        <f>IFERROR(VLOOKUP(E205,'(旧)ﾍﾞﾝﾀﾞｰ中型'!$A$3:$K$237,10,0),"")</f>
        <v/>
      </c>
      <c r="H205" s="12" t="s">
        <v>60</v>
      </c>
      <c r="I205" s="7" t="str">
        <f>IFERROR(VLOOKUP(E205,'(新)ﾍﾞﾝﾀﾞｰ中型'!$A$3:$K$81,10,0),"")</f>
        <v/>
      </c>
    </row>
    <row r="206" spans="1:9" s="19" customFormat="1" x14ac:dyDescent="0.15">
      <c r="B206" s="7"/>
      <c r="C206" s="7" t="str">
        <f>IFERROR(VLOOKUP(E206,'(新)ﾍﾞﾝﾀﾞｰ中型'!$A$3:$K$81,4,0),"")</f>
        <v/>
      </c>
      <c r="D206" s="7" t="str">
        <f>IFERROR(VLOOKUP(E206,'(新)ﾍﾞﾝﾀﾞｰ中型'!$A$3:$K$87,5,0),"")</f>
        <v/>
      </c>
      <c r="E206"/>
      <c r="F206" s="8" t="str">
        <f>IFERROR(VLOOKUP(E206,'(新)ﾍﾞﾝﾀﾞｰ中型'!$A$3:$K$81,8,0),"")</f>
        <v/>
      </c>
      <c r="G206" s="7" t="str">
        <f>IFERROR(VLOOKUP(E206,'(旧)ﾍﾞﾝﾀﾞｰ中型'!$A$3:$K$237,10,0),"")</f>
        <v/>
      </c>
      <c r="H206" s="12" t="s">
        <v>60</v>
      </c>
      <c r="I206" s="7" t="str">
        <f>IFERROR(VLOOKUP(E206,'(新)ﾍﾞﾝﾀﾞｰ中型'!$A$3:$K$81,10,0),"")</f>
        <v/>
      </c>
    </row>
    <row r="207" spans="1:9" s="19" customFormat="1" x14ac:dyDescent="0.15">
      <c r="B207" s="7"/>
      <c r="C207" s="7" t="str">
        <f>IFERROR(VLOOKUP(E207,'(新)ﾍﾞﾝﾀﾞｰ中型'!$A$3:$K$81,4,0),"")</f>
        <v/>
      </c>
      <c r="D207" s="7" t="str">
        <f>IFERROR(VLOOKUP(E207,'(新)ﾍﾞﾝﾀﾞｰ中型'!$A$3:$K$87,5,0),"")</f>
        <v/>
      </c>
      <c r="E207"/>
      <c r="F207" s="8" t="str">
        <f>IFERROR(VLOOKUP(E207,'(新)ﾍﾞﾝﾀﾞｰ中型'!$A$3:$K$81,8,0),"")</f>
        <v/>
      </c>
      <c r="G207" s="7" t="str">
        <f>IFERROR(VLOOKUP(E207,'(旧)ﾍﾞﾝﾀﾞｰ中型'!$A$3:$K$237,10,0),"")</f>
        <v/>
      </c>
      <c r="H207" s="12" t="s">
        <v>60</v>
      </c>
      <c r="I207" s="7" t="str">
        <f>IFERROR(VLOOKUP(E207,'(新)ﾍﾞﾝﾀﾞｰ中型'!$A$3:$K$81,10,0),"")</f>
        <v/>
      </c>
    </row>
    <row r="208" spans="1:9" s="19" customFormat="1" x14ac:dyDescent="0.15">
      <c r="B208" s="7"/>
      <c r="C208" s="7" t="str">
        <f>IFERROR(VLOOKUP(E208,'(新)ﾍﾞﾝﾀﾞｰ中型'!$A$3:$K$81,4,0),"")</f>
        <v/>
      </c>
      <c r="D208" s="7" t="str">
        <f>IFERROR(VLOOKUP(E208,'(新)ﾍﾞﾝﾀﾞｰ中型'!$A$3:$K$87,5,0),"")</f>
        <v/>
      </c>
      <c r="E208"/>
      <c r="F208" s="8" t="str">
        <f>IFERROR(VLOOKUP(E208,'(新)ﾍﾞﾝﾀﾞｰ中型'!$A$3:$K$81,8,0),"")</f>
        <v/>
      </c>
      <c r="G208" s="7" t="str">
        <f>IFERROR(VLOOKUP(E208,'(旧)ﾍﾞﾝﾀﾞｰ中型'!$A$3:$K$237,10,0),"")</f>
        <v/>
      </c>
      <c r="H208" s="12" t="s">
        <v>60</v>
      </c>
      <c r="I208" s="7" t="str">
        <f>IFERROR(VLOOKUP(E208,'(新)ﾍﾞﾝﾀﾞｰ中型'!$A$3:$K$81,10,0),"")</f>
        <v/>
      </c>
    </row>
    <row r="209" spans="2:9" s="19" customFormat="1" x14ac:dyDescent="0.15">
      <c r="B209" s="7"/>
      <c r="C209" s="7" t="str">
        <f>IFERROR(VLOOKUP(E209,'(新)ﾍﾞﾝﾀﾞｰ中型'!$A$3:$K$81,4,0),"")</f>
        <v/>
      </c>
      <c r="D209" s="7" t="str">
        <f>IFERROR(VLOOKUP(E209,'(新)ﾍﾞﾝﾀﾞｰ中型'!$A$3:$K$87,5,0),"")</f>
        <v/>
      </c>
      <c r="E209"/>
      <c r="F209" s="8" t="str">
        <f>IFERROR(VLOOKUP(E209,'(新)ﾍﾞﾝﾀﾞｰ中型'!$A$3:$K$81,8,0),"")</f>
        <v/>
      </c>
      <c r="G209" s="7" t="str">
        <f>IFERROR(VLOOKUP(E209,'(旧)ﾍﾞﾝﾀﾞｰ中型'!$A$3:$K$237,10,0),"")</f>
        <v/>
      </c>
      <c r="H209" s="12" t="s">
        <v>60</v>
      </c>
      <c r="I209" s="7" t="str">
        <f>IFERROR(VLOOKUP(E209,'(新)ﾍﾞﾝﾀﾞｰ中型'!$A$3:$K$81,10,0),"")</f>
        <v/>
      </c>
    </row>
    <row r="210" spans="2:9" s="19" customFormat="1" x14ac:dyDescent="0.15">
      <c r="B210" s="7"/>
      <c r="C210" s="7" t="str">
        <f>IFERROR(VLOOKUP(E210,'(新)ﾍﾞﾝﾀﾞｰ中型'!$A$3:$K$81,4,0),"")</f>
        <v/>
      </c>
      <c r="D210" s="7" t="str">
        <f>IFERROR(VLOOKUP(E210,'(新)ﾍﾞﾝﾀﾞｰ中型'!$A$3:$K$87,5,0),"")</f>
        <v/>
      </c>
      <c r="E210"/>
      <c r="F210" s="8" t="str">
        <f>IFERROR(VLOOKUP(E210,'(新)ﾍﾞﾝﾀﾞｰ中型'!$A$3:$K$81,8,0),"")</f>
        <v/>
      </c>
      <c r="G210" s="7" t="str">
        <f>IFERROR(VLOOKUP(E210,'(旧)ﾍﾞﾝﾀﾞｰ中型'!$A$3:$K$237,10,0),"")</f>
        <v/>
      </c>
      <c r="H210" s="12" t="s">
        <v>60</v>
      </c>
      <c r="I210" s="7" t="str">
        <f>IFERROR(VLOOKUP(E210,'(新)ﾍﾞﾝﾀﾞｰ中型'!$A$3:$K$81,10,0),"")</f>
        <v/>
      </c>
    </row>
    <row r="211" spans="2:9" s="19" customFormat="1" x14ac:dyDescent="0.15">
      <c r="B211" s="7"/>
      <c r="C211" s="7" t="str">
        <f>IFERROR(VLOOKUP(E211,'(新)ﾍﾞﾝﾀﾞｰ中型'!$A$3:$K$81,4,0),"")</f>
        <v/>
      </c>
      <c r="D211" s="7" t="str">
        <f>IFERROR(VLOOKUP(E211,'(新)ﾍﾞﾝﾀﾞｰ中型'!$A$3:$K$87,5,0),"")</f>
        <v/>
      </c>
      <c r="E211"/>
      <c r="F211" s="8" t="str">
        <f>IFERROR(VLOOKUP(E211,'(新)ﾍﾞﾝﾀﾞｰ中型'!$A$3:$K$81,8,0),"")</f>
        <v/>
      </c>
      <c r="G211" s="7" t="str">
        <f>IFERROR(VLOOKUP(E211,'(旧)ﾍﾞﾝﾀﾞｰ中型'!$A$3:$K$237,10,0),"")</f>
        <v/>
      </c>
      <c r="H211" s="12" t="s">
        <v>60</v>
      </c>
      <c r="I211" s="7" t="str">
        <f>IFERROR(VLOOKUP(E211,'(新)ﾍﾞﾝﾀﾞｰ中型'!$A$3:$K$81,10,0),"")</f>
        <v/>
      </c>
    </row>
    <row r="212" spans="2:9" s="19" customFormat="1" x14ac:dyDescent="0.15">
      <c r="B212" s="7"/>
      <c r="C212" s="7" t="str">
        <f>IFERROR(VLOOKUP(E212,'(新)ﾍﾞﾝﾀﾞｰ中型'!$A$3:$K$81,4,0),"")</f>
        <v/>
      </c>
      <c r="D212" s="7" t="str">
        <f>IFERROR(VLOOKUP(E212,'(新)ﾍﾞﾝﾀﾞｰ中型'!$A$3:$K$87,5,0),"")</f>
        <v/>
      </c>
      <c r="E212"/>
      <c r="F212" s="8" t="str">
        <f>IFERROR(VLOOKUP(E212,'(新)ﾍﾞﾝﾀﾞｰ中型'!$A$3:$K$81,8,0),"")</f>
        <v/>
      </c>
      <c r="G212" s="7" t="str">
        <f>IFERROR(VLOOKUP(E212,'(旧)ﾍﾞﾝﾀﾞｰ中型'!$A$3:$K$237,10,0),"")</f>
        <v/>
      </c>
      <c r="H212" s="12" t="s">
        <v>60</v>
      </c>
      <c r="I212" s="7" t="str">
        <f>IFERROR(VLOOKUP(E212,'(新)ﾍﾞﾝﾀﾞｰ中型'!$A$3:$K$81,10,0),"")</f>
        <v/>
      </c>
    </row>
    <row r="213" spans="2:9" s="19" customFormat="1" x14ac:dyDescent="0.15">
      <c r="B213" s="7"/>
      <c r="C213" s="7" t="str">
        <f>IFERROR(VLOOKUP(E213,'(新)ﾍﾞﾝﾀﾞｰ中型'!$A$3:$K$81,4,0),"")</f>
        <v/>
      </c>
      <c r="D213" s="7" t="str">
        <f>IFERROR(VLOOKUP(E213,'(新)ﾍﾞﾝﾀﾞｰ中型'!$A$3:$K$87,5,0),"")</f>
        <v/>
      </c>
      <c r="E213"/>
      <c r="F213" s="8" t="str">
        <f>IFERROR(VLOOKUP(E213,'(新)ﾍﾞﾝﾀﾞｰ中型'!$A$3:$K$81,8,0),"")</f>
        <v/>
      </c>
      <c r="G213" s="7" t="str">
        <f>IFERROR(VLOOKUP(E213,'(旧)ﾍﾞﾝﾀﾞｰ中型'!$A$3:$K$237,10,0),"")</f>
        <v/>
      </c>
      <c r="H213" s="12" t="s">
        <v>60</v>
      </c>
      <c r="I213" s="7" t="str">
        <f>IFERROR(VLOOKUP(E213,'(新)ﾍﾞﾝﾀﾞｰ中型'!$A$3:$K$81,10,0),"")</f>
        <v/>
      </c>
    </row>
    <row r="214" spans="2:9" s="19" customFormat="1" x14ac:dyDescent="0.15">
      <c r="B214" s="7"/>
      <c r="C214" s="7" t="str">
        <f>IFERROR(VLOOKUP(E214,'(新)ﾍﾞﾝﾀﾞｰ中型'!$A$3:$K$81,4,0),"")</f>
        <v/>
      </c>
      <c r="D214" s="7" t="str">
        <f>IFERROR(VLOOKUP(E214,'(新)ﾍﾞﾝﾀﾞｰ中型'!$A$3:$K$87,5,0),"")</f>
        <v/>
      </c>
      <c r="E214"/>
      <c r="F214" s="8" t="str">
        <f>IFERROR(VLOOKUP(E214,'(新)ﾍﾞﾝﾀﾞｰ中型'!$A$3:$K$81,8,0),"")</f>
        <v/>
      </c>
      <c r="G214" s="7" t="str">
        <f>IFERROR(VLOOKUP(E214,'(旧)ﾍﾞﾝﾀﾞｰ中型'!$A$3:$K$237,10,0),"")</f>
        <v/>
      </c>
      <c r="H214" s="12" t="s">
        <v>60</v>
      </c>
      <c r="I214" s="7" t="str">
        <f>IFERROR(VLOOKUP(E214,'(新)ﾍﾞﾝﾀﾞｰ中型'!$A$3:$K$81,10,0),"")</f>
        <v/>
      </c>
    </row>
    <row r="215" spans="2:9" s="19" customFormat="1" x14ac:dyDescent="0.15">
      <c r="B215" s="7"/>
      <c r="C215" s="7" t="str">
        <f>IFERROR(VLOOKUP(E215,'(新)ﾍﾞﾝﾀﾞｰ中型'!$A$3:$K$81,4,0),"")</f>
        <v/>
      </c>
      <c r="D215" s="7" t="str">
        <f>IFERROR(VLOOKUP(E215,'(新)ﾍﾞﾝﾀﾞｰ中型'!$A$3:$K$87,5,0),"")</f>
        <v/>
      </c>
      <c r="E215"/>
      <c r="F215" s="8" t="str">
        <f>IFERROR(VLOOKUP(E215,'(新)ﾍﾞﾝﾀﾞｰ中型'!$A$3:$K$81,8,0),"")</f>
        <v/>
      </c>
      <c r="G215" s="7" t="str">
        <f>IFERROR(VLOOKUP(E215,'(旧)ﾍﾞﾝﾀﾞｰ中型'!$A$3:$K$237,10,0),"")</f>
        <v/>
      </c>
      <c r="H215" s="12" t="s">
        <v>60</v>
      </c>
      <c r="I215" s="7" t="str">
        <f>IFERROR(VLOOKUP(E215,'(新)ﾍﾞﾝﾀﾞｰ中型'!$A$3:$K$81,10,0),"")</f>
        <v/>
      </c>
    </row>
    <row r="216" spans="2:9" s="19" customFormat="1" x14ac:dyDescent="0.15">
      <c r="B216" s="7"/>
      <c r="C216" s="7" t="str">
        <f>IFERROR(VLOOKUP(E216,'(新)ﾍﾞﾝﾀﾞｰ中型'!$A$3:$K$81,4,0),"")</f>
        <v/>
      </c>
      <c r="D216" s="7" t="str">
        <f>IFERROR(VLOOKUP(E216,'(新)ﾍﾞﾝﾀﾞｰ中型'!$A$3:$K$87,5,0),"")</f>
        <v/>
      </c>
      <c r="E216"/>
      <c r="F216" s="8" t="str">
        <f>IFERROR(VLOOKUP(E216,'(新)ﾍﾞﾝﾀﾞｰ中型'!$A$3:$K$81,8,0),"")</f>
        <v/>
      </c>
      <c r="G216" s="7" t="str">
        <f>IFERROR(VLOOKUP(E216,'(旧)ﾍﾞﾝﾀﾞｰ中型'!$A$3:$K$237,10,0),"")</f>
        <v/>
      </c>
      <c r="H216" s="12" t="s">
        <v>60</v>
      </c>
      <c r="I216" s="7" t="str">
        <f>IFERROR(VLOOKUP(E216,'(新)ﾍﾞﾝﾀﾞｰ中型'!$A$3:$K$81,10,0),"")</f>
        <v/>
      </c>
    </row>
    <row r="217" spans="2:9" s="19" customFormat="1" x14ac:dyDescent="0.15">
      <c r="B217" s="7"/>
      <c r="C217" s="7" t="str">
        <f>IFERROR(VLOOKUP(E217,'(新)ﾍﾞﾝﾀﾞｰ中型'!$A$3:$K$81,4,0),"")</f>
        <v/>
      </c>
      <c r="D217" s="7" t="str">
        <f>IFERROR(VLOOKUP(E217,'(新)ﾍﾞﾝﾀﾞｰ中型'!$A$3:$K$87,5,0),"")</f>
        <v/>
      </c>
      <c r="E217"/>
      <c r="F217" s="8" t="str">
        <f>IFERROR(VLOOKUP(E217,'(新)ﾍﾞﾝﾀﾞｰ中型'!$A$3:$K$81,8,0),"")</f>
        <v/>
      </c>
      <c r="G217" s="7" t="str">
        <f>IFERROR(VLOOKUP(E217,'(旧)ﾍﾞﾝﾀﾞｰ中型'!$A$3:$K$237,10,0),"")</f>
        <v/>
      </c>
      <c r="H217" s="12" t="s">
        <v>60</v>
      </c>
      <c r="I217" s="7" t="str">
        <f>IFERROR(VLOOKUP(E217,'(新)ﾍﾞﾝﾀﾞｰ中型'!$A$3:$K$81,10,0),"")</f>
        <v/>
      </c>
    </row>
    <row r="218" spans="2:9" s="19" customFormat="1" x14ac:dyDescent="0.15">
      <c r="B218" s="7"/>
      <c r="C218" s="7" t="str">
        <f>IFERROR(VLOOKUP(E218,'(新)ﾍﾞﾝﾀﾞｰ中型'!$A$3:$K$81,4,0),"")</f>
        <v/>
      </c>
      <c r="D218" s="7" t="str">
        <f>IFERROR(VLOOKUP(E218,'(新)ﾍﾞﾝﾀﾞｰ中型'!$A$3:$K$87,5,0),"")</f>
        <v/>
      </c>
      <c r="E218"/>
      <c r="F218" s="8" t="str">
        <f>IFERROR(VLOOKUP(E218,'(新)ﾍﾞﾝﾀﾞｰ中型'!$A$3:$K$81,8,0),"")</f>
        <v/>
      </c>
      <c r="G218" s="7" t="str">
        <f>IFERROR(VLOOKUP(E218,'(旧)ﾍﾞﾝﾀﾞｰ中型'!$A$3:$K$237,10,0),"")</f>
        <v/>
      </c>
      <c r="H218" s="12" t="s">
        <v>60</v>
      </c>
      <c r="I218" s="7" t="str">
        <f>IFERROR(VLOOKUP(E218,'(新)ﾍﾞﾝﾀﾞｰ中型'!$A$3:$K$81,10,0),"")</f>
        <v/>
      </c>
    </row>
    <row r="219" spans="2:9" s="19" customFormat="1" x14ac:dyDescent="0.15">
      <c r="B219" s="7"/>
      <c r="C219" s="7" t="str">
        <f>IFERROR(VLOOKUP(E219,'(新)ﾍﾞﾝﾀﾞｰ中型'!$A$3:$K$81,4,0),"")</f>
        <v/>
      </c>
      <c r="D219" s="7" t="str">
        <f>IFERROR(VLOOKUP(E219,'(新)ﾍﾞﾝﾀﾞｰ中型'!$A$3:$K$87,5,0),"")</f>
        <v/>
      </c>
      <c r="E219"/>
      <c r="F219" s="8" t="str">
        <f>IFERROR(VLOOKUP(E219,'(新)ﾍﾞﾝﾀﾞｰ中型'!$A$3:$K$81,8,0),"")</f>
        <v/>
      </c>
      <c r="G219" s="7" t="str">
        <f>IFERROR(VLOOKUP(E219,'(旧)ﾍﾞﾝﾀﾞｰ中型'!$A$3:$K$237,10,0),"")</f>
        <v/>
      </c>
      <c r="H219" s="12" t="s">
        <v>60</v>
      </c>
      <c r="I219" s="7" t="str">
        <f>IFERROR(VLOOKUP(E219,'(新)ﾍﾞﾝﾀﾞｰ中型'!$A$3:$K$81,10,0),"")</f>
        <v/>
      </c>
    </row>
    <row r="220" spans="2:9" s="19" customFormat="1" x14ac:dyDescent="0.15">
      <c r="B220" s="7"/>
      <c r="C220" s="7" t="str">
        <f>IFERROR(VLOOKUP(E220,'(新)ﾍﾞﾝﾀﾞｰ中型'!$A$3:$K$81,4,0),"")</f>
        <v/>
      </c>
      <c r="D220" s="7" t="str">
        <f>IFERROR(VLOOKUP(E220,'(新)ﾍﾞﾝﾀﾞｰ中型'!$A$3:$K$87,5,0),"")</f>
        <v/>
      </c>
      <c r="E220"/>
      <c r="F220" s="8" t="str">
        <f>IFERROR(VLOOKUP(E220,'(新)ﾍﾞﾝﾀﾞｰ中型'!$A$3:$K$81,8,0),"")</f>
        <v/>
      </c>
      <c r="G220" s="7" t="str">
        <f>IFERROR(VLOOKUP(E220,'(旧)ﾍﾞﾝﾀﾞｰ中型'!$A$3:$K$237,10,0),"")</f>
        <v/>
      </c>
      <c r="H220" s="12" t="s">
        <v>60</v>
      </c>
      <c r="I220" s="7" t="str">
        <f>IFERROR(VLOOKUP(E220,'(新)ﾍﾞﾝﾀﾞｰ中型'!$A$3:$K$81,10,0),"")</f>
        <v/>
      </c>
    </row>
    <row r="221" spans="2:9" s="19" customFormat="1" x14ac:dyDescent="0.15">
      <c r="B221" s="7"/>
      <c r="C221" s="7" t="str">
        <f>IFERROR(VLOOKUP(E221,'(新)ﾍﾞﾝﾀﾞｰ中型'!$A$3:$K$81,4,0),"")</f>
        <v/>
      </c>
      <c r="D221" s="7" t="str">
        <f>IFERROR(VLOOKUP(E221,'(新)ﾍﾞﾝﾀﾞｰ中型'!$A$3:$K$87,5,0),"")</f>
        <v/>
      </c>
      <c r="E221"/>
      <c r="F221" s="8" t="str">
        <f>IFERROR(VLOOKUP(E221,'(新)ﾍﾞﾝﾀﾞｰ中型'!$A$3:$K$81,8,0),"")</f>
        <v/>
      </c>
      <c r="G221" s="7" t="str">
        <f>IFERROR(VLOOKUP(E221,'(旧)ﾍﾞﾝﾀﾞｰ中型'!$A$3:$K$237,10,0),"")</f>
        <v/>
      </c>
      <c r="H221" s="12" t="s">
        <v>60</v>
      </c>
      <c r="I221" s="7" t="str">
        <f>IFERROR(VLOOKUP(E221,'(新)ﾍﾞﾝﾀﾞｰ中型'!$A$3:$K$81,10,0),"")</f>
        <v/>
      </c>
    </row>
    <row r="222" spans="2:9" s="19" customFormat="1" x14ac:dyDescent="0.15">
      <c r="B222" s="7" t="str">
        <f>IFERROR(VLOOKUP(E222,'(新)ﾍﾞﾝﾀﾞｰ中型'!$A$3:$K$81,2,0),"")</f>
        <v/>
      </c>
      <c r="C222" s="7" t="str">
        <f>IFERROR(VLOOKUP(E222,'(新)ﾍﾞﾝﾀﾞｰ中型'!$A$3:$K$81,4,0),"")</f>
        <v/>
      </c>
      <c r="D222" s="7" t="str">
        <f>IFERROR(VLOOKUP(E222,'(新)ﾍﾞﾝﾀﾞｰ中型'!$A$3:$K$87,5,0),"")</f>
        <v/>
      </c>
      <c r="E222"/>
      <c r="F222" s="8" t="str">
        <f>IFERROR(VLOOKUP(E222,'(新)ﾍﾞﾝﾀﾞｰ中型'!$A$3:$K$81,8,0),"")</f>
        <v/>
      </c>
      <c r="G222" s="7" t="str">
        <f>IFERROR(VLOOKUP(E222,'(旧)ﾍﾞﾝﾀﾞｰ中型'!$A$3:$K$237,10,0),"")</f>
        <v/>
      </c>
      <c r="H222" s="12" t="s">
        <v>60</v>
      </c>
      <c r="I222" s="7" t="str">
        <f>IFERROR(VLOOKUP(E222,'(新)ﾍﾞﾝﾀﾞｰ中型'!$A$3:$K$81,10,0),"")</f>
        <v/>
      </c>
    </row>
    <row r="223" spans="2:9" s="19" customFormat="1" x14ac:dyDescent="0.15">
      <c r="B223" s="7" t="str">
        <f>IFERROR(VLOOKUP(E223,'(新)ﾍﾞﾝﾀﾞｰ中型'!$A$3:$K$81,2,0),"")</f>
        <v/>
      </c>
      <c r="C223" s="7" t="str">
        <f>IFERROR(VLOOKUP(E223,'(新)ﾍﾞﾝﾀﾞｰ中型'!$A$3:$K$81,4,0),"")</f>
        <v/>
      </c>
      <c r="D223" s="7" t="str">
        <f>IFERROR(VLOOKUP(E223,'(新)ﾍﾞﾝﾀﾞｰ中型'!$A$3:$K$87,5,0),"")</f>
        <v/>
      </c>
      <c r="E223"/>
      <c r="F223" s="8" t="str">
        <f>IFERROR(VLOOKUP(E223,'(新)ﾍﾞﾝﾀﾞｰ中型'!$A$3:$K$81,8,0),"")</f>
        <v/>
      </c>
      <c r="G223" s="7" t="str">
        <f>IFERROR(VLOOKUP(E223,'(旧)ﾍﾞﾝﾀﾞｰ中型'!$A$3:$K$237,10,0),"")</f>
        <v/>
      </c>
      <c r="H223" s="12" t="s">
        <v>60</v>
      </c>
      <c r="I223" s="7" t="str">
        <f>IFERROR(VLOOKUP(E223,'(新)ﾍﾞﾝﾀﾞｰ中型'!$A$3:$K$81,10,0),"")</f>
        <v/>
      </c>
    </row>
    <row r="224" spans="2:9" s="19" customFormat="1" x14ac:dyDescent="0.15">
      <c r="B224" s="7" t="str">
        <f>IFERROR(VLOOKUP(E224,'(新)ﾍﾞﾝﾀﾞｰ中型'!$A$3:$K$81,2,0),"")</f>
        <v/>
      </c>
      <c r="C224" s="7" t="str">
        <f>IFERROR(VLOOKUP(E224,'(新)ﾍﾞﾝﾀﾞｰ中型'!$A$3:$K$81,4,0),"")</f>
        <v/>
      </c>
      <c r="D224" s="7" t="str">
        <f>IFERROR(VLOOKUP(E224,'(新)ﾍﾞﾝﾀﾞｰ中型'!$A$3:$K$87,5,0),"")</f>
        <v/>
      </c>
      <c r="E224"/>
      <c r="F224" s="8" t="str">
        <f>IFERROR(VLOOKUP(E224,'(新)ﾍﾞﾝﾀﾞｰ中型'!$A$3:$K$81,8,0),"")</f>
        <v/>
      </c>
      <c r="G224" s="7" t="str">
        <f>IFERROR(VLOOKUP(E224,'(旧)ﾍﾞﾝﾀﾞｰ中型'!$A$3:$K$237,10,0),"")</f>
        <v/>
      </c>
      <c r="H224" s="12" t="s">
        <v>60</v>
      </c>
      <c r="I224" s="7" t="str">
        <f>IFERROR(VLOOKUP(E224,'(新)ﾍﾞﾝﾀﾞｰ中型'!$A$3:$K$81,10,0),"")</f>
        <v/>
      </c>
    </row>
    <row r="225" spans="2:9" s="19" customFormat="1" x14ac:dyDescent="0.15">
      <c r="B225" s="7" t="str">
        <f>IFERROR(VLOOKUP(E225,'(新)ﾍﾞﾝﾀﾞｰ中型'!$A$3:$K$81,2,0),"")</f>
        <v/>
      </c>
      <c r="C225" s="7" t="str">
        <f>IFERROR(VLOOKUP(E225,'(新)ﾍﾞﾝﾀﾞｰ中型'!$A$3:$K$81,4,0),"")</f>
        <v/>
      </c>
      <c r="D225" s="7" t="str">
        <f>IFERROR(VLOOKUP(E225,'(新)ﾍﾞﾝﾀﾞｰ中型'!$A$3:$K$87,5,0),"")</f>
        <v/>
      </c>
      <c r="E225"/>
      <c r="F225" s="8" t="str">
        <f>IFERROR(VLOOKUP(E225,'(新)ﾍﾞﾝﾀﾞｰ中型'!$A$3:$K$81,8,0),"")</f>
        <v/>
      </c>
      <c r="G225" s="7" t="str">
        <f>IFERROR(VLOOKUP(E225,'(旧)ﾍﾞﾝﾀﾞｰ中型'!$A$3:$K$237,10,0),"")</f>
        <v/>
      </c>
      <c r="H225" s="12" t="s">
        <v>60</v>
      </c>
      <c r="I225" s="7" t="str">
        <f>IFERROR(VLOOKUP(E225,'(新)ﾍﾞﾝﾀﾞｰ中型'!$A$3:$K$81,10,0),"")</f>
        <v/>
      </c>
    </row>
    <row r="226" spans="2:9" s="19" customFormat="1" x14ac:dyDescent="0.15">
      <c r="B226" s="7" t="str">
        <f>IFERROR(VLOOKUP(E226,'(新)ﾍﾞﾝﾀﾞｰ中型'!$A$3:$K$81,2,0),"")</f>
        <v/>
      </c>
      <c r="C226" s="7" t="str">
        <f>IFERROR(VLOOKUP(E226,'(新)ﾍﾞﾝﾀﾞｰ中型'!$A$3:$K$81,4,0),"")</f>
        <v/>
      </c>
      <c r="D226" s="7" t="str">
        <f>IFERROR(VLOOKUP(E226,'(新)ﾍﾞﾝﾀﾞｰ中型'!$A$3:$K$87,5,0),"")</f>
        <v/>
      </c>
      <c r="E226"/>
      <c r="F226" s="8" t="str">
        <f>IFERROR(VLOOKUP(E226,'(新)ﾍﾞﾝﾀﾞｰ中型'!$A$3:$K$81,8,0),"")</f>
        <v/>
      </c>
      <c r="G226" s="7" t="str">
        <f>IFERROR(VLOOKUP(E226,'(旧)ﾍﾞﾝﾀﾞｰ中型'!$A$3:$K$237,10,0),"")</f>
        <v/>
      </c>
      <c r="H226" s="12" t="s">
        <v>60</v>
      </c>
      <c r="I226" s="7" t="str">
        <f>IFERROR(VLOOKUP(E226,'(新)ﾍﾞﾝﾀﾞｰ中型'!$A$3:$K$81,10,0),"")</f>
        <v/>
      </c>
    </row>
    <row r="227" spans="2:9" s="19" customFormat="1" x14ac:dyDescent="0.15">
      <c r="B227" s="7" t="str">
        <f>IFERROR(VLOOKUP(E227,'(新)ﾍﾞﾝﾀﾞｰ中型'!$A$3:$K$81,2,0),"")</f>
        <v/>
      </c>
      <c r="C227" s="7" t="str">
        <f>IFERROR(VLOOKUP(E227,'(新)ﾍﾞﾝﾀﾞｰ中型'!$A$3:$K$81,4,0),"")</f>
        <v/>
      </c>
      <c r="D227" s="7" t="str">
        <f>IFERROR(VLOOKUP(E227,'(新)ﾍﾞﾝﾀﾞｰ中型'!$A$3:$K$87,5,0),"")</f>
        <v/>
      </c>
      <c r="E227"/>
      <c r="F227" s="8" t="str">
        <f>IFERROR(VLOOKUP(E227,'(新)ﾍﾞﾝﾀﾞｰ中型'!$A$3:$K$81,8,0),"")</f>
        <v/>
      </c>
      <c r="G227" s="7" t="str">
        <f>IFERROR(VLOOKUP(E227,'(旧)ﾍﾞﾝﾀﾞｰ中型'!$A$3:$K$237,10,0),"")</f>
        <v/>
      </c>
      <c r="H227" s="12" t="s">
        <v>60</v>
      </c>
      <c r="I227" s="7" t="str">
        <f>IFERROR(VLOOKUP(E227,'(新)ﾍﾞﾝﾀﾞｰ中型'!$A$3:$K$81,10,0),"")</f>
        <v/>
      </c>
    </row>
    <row r="228" spans="2:9" s="19" customFormat="1" x14ac:dyDescent="0.15">
      <c r="B228" s="7" t="str">
        <f>IFERROR(VLOOKUP(E228,'(新)ﾍﾞﾝﾀﾞｰ中型'!$A$3:$K$81,2,0),"")</f>
        <v/>
      </c>
      <c r="C228" s="7" t="str">
        <f>IFERROR(VLOOKUP(E228,'(新)ﾍﾞﾝﾀﾞｰ中型'!$A$3:$K$81,4,0),"")</f>
        <v/>
      </c>
      <c r="D228" s="7" t="str">
        <f>IFERROR(VLOOKUP(E228,'(新)ﾍﾞﾝﾀﾞｰ中型'!$A$3:$K$87,5,0),"")</f>
        <v/>
      </c>
      <c r="E228"/>
      <c r="F228" s="8" t="str">
        <f>IFERROR(VLOOKUP(E228,'(新)ﾍﾞﾝﾀﾞｰ中型'!$A$3:$K$81,8,0),"")</f>
        <v/>
      </c>
      <c r="G228" s="7" t="str">
        <f>IFERROR(VLOOKUP(E228,'(旧)ﾍﾞﾝﾀﾞｰ中型'!$A$3:$K$237,10,0),"")</f>
        <v/>
      </c>
      <c r="H228" s="12" t="s">
        <v>60</v>
      </c>
      <c r="I228" s="7" t="str">
        <f>IFERROR(VLOOKUP(E228,'(新)ﾍﾞﾝﾀﾞｰ中型'!$A$3:$K$81,10,0),"")</f>
        <v/>
      </c>
    </row>
    <row r="229" spans="2:9" s="19" customFormat="1" x14ac:dyDescent="0.15">
      <c r="B229" s="7" t="str">
        <f>IFERROR(VLOOKUP(E229,'(新)ﾍﾞﾝﾀﾞｰ中型'!$A$3:$K$81,2,0),"")</f>
        <v/>
      </c>
      <c r="C229" s="7" t="str">
        <f>IFERROR(VLOOKUP(E229,'(新)ﾍﾞﾝﾀﾞｰ中型'!$A$3:$K$81,4,0),"")</f>
        <v/>
      </c>
      <c r="D229" s="7" t="str">
        <f>IFERROR(VLOOKUP(E229,'(新)ﾍﾞﾝﾀﾞｰ中型'!$A$3:$K$87,5,0),"")</f>
        <v/>
      </c>
      <c r="E229"/>
      <c r="F229" s="8" t="str">
        <f>IFERROR(VLOOKUP(E229,'(新)ﾍﾞﾝﾀﾞｰ中型'!$A$3:$K$81,8,0),"")</f>
        <v/>
      </c>
      <c r="G229" s="7" t="str">
        <f>IFERROR(VLOOKUP(E229,'(旧)ﾍﾞﾝﾀﾞｰ中型'!$A$3:$K$237,10,0),"")</f>
        <v/>
      </c>
      <c r="H229" s="12" t="s">
        <v>60</v>
      </c>
      <c r="I229" s="7" t="str">
        <f>IFERROR(VLOOKUP(E229,'(新)ﾍﾞﾝﾀﾞｰ中型'!$A$3:$K$81,10,0),"")</f>
        <v/>
      </c>
    </row>
    <row r="230" spans="2:9" s="19" customFormat="1" x14ac:dyDescent="0.15">
      <c r="B230" s="7" t="str">
        <f>IFERROR(VLOOKUP(E230,'(新)ﾍﾞﾝﾀﾞｰ中型'!$A$3:$K$81,2,0),"")</f>
        <v/>
      </c>
      <c r="C230" s="7" t="str">
        <f>IFERROR(VLOOKUP(E230,'(新)ﾍﾞﾝﾀﾞｰ中型'!$A$3:$K$81,4,0),"")</f>
        <v/>
      </c>
      <c r="D230" s="7" t="str">
        <f>IFERROR(VLOOKUP(E230,'(新)ﾍﾞﾝﾀﾞｰ中型'!$A$3:$K$87,5,0),"")</f>
        <v/>
      </c>
      <c r="E230"/>
      <c r="F230" s="8" t="str">
        <f>IFERROR(VLOOKUP(E230,'(新)ﾍﾞﾝﾀﾞｰ中型'!$A$3:$K$81,8,0),"")</f>
        <v/>
      </c>
      <c r="G230" s="7" t="str">
        <f>IFERROR(VLOOKUP(E230,'(旧)ﾍﾞﾝﾀﾞｰ中型'!$A$3:$K$237,10,0),"")</f>
        <v/>
      </c>
      <c r="H230" s="12" t="s">
        <v>60</v>
      </c>
      <c r="I230" s="7" t="str">
        <f>IFERROR(VLOOKUP(E230,'(新)ﾍﾞﾝﾀﾞｰ中型'!$A$3:$K$81,10,0),"")</f>
        <v/>
      </c>
    </row>
    <row r="231" spans="2:9" s="19" customFormat="1" x14ac:dyDescent="0.15">
      <c r="B231" s="7" t="str">
        <f>IFERROR(VLOOKUP(E231,'(新)ﾍﾞﾝﾀﾞｰ中型'!$A$3:$K$81,2,0),"")</f>
        <v/>
      </c>
      <c r="C231" s="7" t="str">
        <f>IFERROR(VLOOKUP(E231,'(新)ﾍﾞﾝﾀﾞｰ中型'!$A$3:$K$81,4,0),"")</f>
        <v/>
      </c>
      <c r="D231" s="7" t="str">
        <f>IFERROR(VLOOKUP(E231,'(新)ﾍﾞﾝﾀﾞｰ中型'!$A$3:$K$87,5,0),"")</f>
        <v/>
      </c>
      <c r="E231"/>
      <c r="F231" s="8" t="str">
        <f>IFERROR(VLOOKUP(E231,'(新)ﾍﾞﾝﾀﾞｰ中型'!$A$3:$K$81,8,0),"")</f>
        <v/>
      </c>
      <c r="G231" s="7" t="str">
        <f>IFERROR(VLOOKUP(E231,'(旧)ﾍﾞﾝﾀﾞｰ中型'!$A$3:$K$237,10,0),"")</f>
        <v/>
      </c>
      <c r="H231" s="12" t="s">
        <v>60</v>
      </c>
      <c r="I231" s="7" t="str">
        <f>IFERROR(VLOOKUP(E231,'(新)ﾍﾞﾝﾀﾞｰ中型'!$A$3:$K$81,10,0),"")</f>
        <v/>
      </c>
    </row>
    <row r="232" spans="2:9" s="19" customFormat="1" x14ac:dyDescent="0.15">
      <c r="B232" s="7" t="str">
        <f>IFERROR(VLOOKUP(E232,'(新)ﾍﾞﾝﾀﾞｰ中型'!$A$3:$K$81,2,0),"")</f>
        <v/>
      </c>
      <c r="C232" s="7" t="str">
        <f>IFERROR(VLOOKUP(E232,'(新)ﾍﾞﾝﾀﾞｰ中型'!$A$3:$K$81,4,0),"")</f>
        <v/>
      </c>
      <c r="D232" s="7" t="str">
        <f>IFERROR(VLOOKUP(E232,'(新)ﾍﾞﾝﾀﾞｰ中型'!$A$3:$K$87,5,0),"")</f>
        <v/>
      </c>
      <c r="E232"/>
      <c r="F232" s="8" t="str">
        <f>IFERROR(VLOOKUP(E232,'(新)ﾍﾞﾝﾀﾞｰ中型'!$A$3:$K$81,8,0),"")</f>
        <v/>
      </c>
      <c r="G232" s="7" t="str">
        <f>IFERROR(VLOOKUP(E232,'(旧)ﾍﾞﾝﾀﾞｰ中型'!$A$3:$K$237,10,0),"")</f>
        <v/>
      </c>
      <c r="H232" s="12" t="s">
        <v>60</v>
      </c>
      <c r="I232" s="7" t="str">
        <f>IFERROR(VLOOKUP(E232,'(新)ﾍﾞﾝﾀﾞｰ中型'!$A$3:$K$81,10,0),"")</f>
        <v/>
      </c>
    </row>
    <row r="233" spans="2:9" s="19" customFormat="1" x14ac:dyDescent="0.15">
      <c r="B233" s="7" t="str">
        <f>IFERROR(VLOOKUP(E233,'(新)ﾍﾞﾝﾀﾞｰ中型'!$A$3:$K$81,2,0),"")</f>
        <v/>
      </c>
      <c r="C233" s="7" t="str">
        <f>IFERROR(VLOOKUP(E233,'(新)ﾍﾞﾝﾀﾞｰ中型'!$A$3:$K$81,4,0),"")</f>
        <v/>
      </c>
      <c r="D233" s="7" t="str">
        <f>IFERROR(VLOOKUP(E233,'(新)ﾍﾞﾝﾀﾞｰ中型'!$A$3:$K$87,5,0),"")</f>
        <v/>
      </c>
      <c r="E233"/>
      <c r="F233" s="8" t="str">
        <f>IFERROR(VLOOKUP(E233,'(新)ﾍﾞﾝﾀﾞｰ中型'!$A$3:$K$81,8,0),"")</f>
        <v/>
      </c>
      <c r="G233" s="7" t="str">
        <f>IFERROR(VLOOKUP(E233,'(旧)ﾍﾞﾝﾀﾞｰ中型'!$A$3:$K$237,10,0),"")</f>
        <v/>
      </c>
      <c r="H233" s="12" t="s">
        <v>60</v>
      </c>
      <c r="I233" s="7" t="str">
        <f>IFERROR(VLOOKUP(E233,'(新)ﾍﾞﾝﾀﾞｰ中型'!$A$3:$K$81,10,0),"")</f>
        <v/>
      </c>
    </row>
    <row r="234" spans="2:9" s="19" customFormat="1" x14ac:dyDescent="0.15">
      <c r="B234" s="7" t="str">
        <f>IFERROR(VLOOKUP(E234,'(新)ﾍﾞﾝﾀﾞｰ中型'!$A$3:$K$81,2,0),"")</f>
        <v/>
      </c>
      <c r="C234" s="7" t="str">
        <f>IFERROR(VLOOKUP(E234,'(新)ﾍﾞﾝﾀﾞｰ中型'!$A$3:$K$81,4,0),"")</f>
        <v/>
      </c>
      <c r="D234" s="7" t="str">
        <f>IFERROR(VLOOKUP(E234,'(新)ﾍﾞﾝﾀﾞｰ中型'!$A$3:$K$87,5,0),"")</f>
        <v/>
      </c>
      <c r="E234"/>
      <c r="F234" s="8" t="str">
        <f>IFERROR(VLOOKUP(E234,'(新)ﾍﾞﾝﾀﾞｰ中型'!$A$3:$K$81,8,0),"")</f>
        <v/>
      </c>
      <c r="G234" s="7" t="str">
        <f>IFERROR(VLOOKUP(E234,'(旧)ﾍﾞﾝﾀﾞｰ中型'!$A$3:$K$237,10,0),"")</f>
        <v/>
      </c>
      <c r="H234" s="12" t="s">
        <v>60</v>
      </c>
      <c r="I234" s="7" t="str">
        <f>IFERROR(VLOOKUP(E234,'(新)ﾍﾞﾝﾀﾞｰ中型'!$A$3:$K$81,10,0),"")</f>
        <v/>
      </c>
    </row>
    <row r="235" spans="2:9" s="19" customFormat="1" x14ac:dyDescent="0.15">
      <c r="B235" s="7" t="str">
        <f>IFERROR(VLOOKUP(E235,'(新)ﾍﾞﾝﾀﾞｰ中型'!$A$3:$K$81,2,0),"")</f>
        <v/>
      </c>
      <c r="C235" s="7" t="str">
        <f>IFERROR(VLOOKUP(E235,'(新)ﾍﾞﾝﾀﾞｰ中型'!$A$3:$K$81,4,0),"")</f>
        <v/>
      </c>
      <c r="D235" s="7" t="str">
        <f>IFERROR(VLOOKUP(E235,'(新)ﾍﾞﾝﾀﾞｰ中型'!$A$3:$K$87,5,0),"")</f>
        <v/>
      </c>
      <c r="E235"/>
      <c r="F235" s="8" t="str">
        <f>IFERROR(VLOOKUP(E235,'(新)ﾍﾞﾝﾀﾞｰ中型'!$A$3:$K$81,8,0),"")</f>
        <v/>
      </c>
      <c r="G235" s="7" t="str">
        <f>IFERROR(VLOOKUP(E235,'(旧)ﾍﾞﾝﾀﾞｰ中型'!$A$3:$K$237,10,0),"")</f>
        <v/>
      </c>
      <c r="H235" s="12" t="s">
        <v>60</v>
      </c>
      <c r="I235" s="7" t="str">
        <f>IFERROR(VLOOKUP(E235,'(新)ﾍﾞﾝﾀﾞｰ中型'!$A$3:$K$81,10,0),"")</f>
        <v/>
      </c>
    </row>
    <row r="236" spans="2:9" s="19" customFormat="1" x14ac:dyDescent="0.15">
      <c r="B236" s="7" t="str">
        <f>IFERROR(VLOOKUP(E236,'(新)ﾍﾞﾝﾀﾞｰ中型'!$A$3:$K$81,2,0),"")</f>
        <v/>
      </c>
      <c r="C236" s="7" t="str">
        <f>IFERROR(VLOOKUP(E236,'(新)ﾍﾞﾝﾀﾞｰ中型'!$A$3:$K$81,4,0),"")</f>
        <v/>
      </c>
      <c r="D236" s="7" t="str">
        <f>IFERROR(VLOOKUP(E236,'(新)ﾍﾞﾝﾀﾞｰ中型'!$A$3:$K$87,5,0),"")</f>
        <v/>
      </c>
      <c r="E236"/>
      <c r="F236" s="8" t="str">
        <f>IFERROR(VLOOKUP(E236,'(新)ﾍﾞﾝﾀﾞｰ中型'!$A$3:$K$81,8,0),"")</f>
        <v/>
      </c>
      <c r="G236" s="7" t="str">
        <f>IFERROR(VLOOKUP(E236,'(旧)ﾍﾞﾝﾀﾞｰ中型'!$A$3:$K$237,10,0),"")</f>
        <v/>
      </c>
      <c r="H236" s="12" t="s">
        <v>60</v>
      </c>
      <c r="I236" s="7" t="str">
        <f>IFERROR(VLOOKUP(E236,'(新)ﾍﾞﾝﾀﾞｰ中型'!$A$3:$K$81,10,0),"")</f>
        <v/>
      </c>
    </row>
    <row r="237" spans="2:9" s="19" customFormat="1" x14ac:dyDescent="0.15">
      <c r="B237" s="7" t="str">
        <f>IFERROR(VLOOKUP(E237,'(新)ﾍﾞﾝﾀﾞｰ中型'!$A$3:$K$81,2,0),"")</f>
        <v/>
      </c>
      <c r="C237" s="7" t="str">
        <f>IFERROR(VLOOKUP(E237,'(新)ﾍﾞﾝﾀﾞｰ中型'!$A$3:$K$81,4,0),"")</f>
        <v/>
      </c>
      <c r="D237" s="7" t="str">
        <f>IFERROR(VLOOKUP(E237,'(新)ﾍﾞﾝﾀﾞｰ中型'!$A$3:$K$87,5,0),"")</f>
        <v/>
      </c>
      <c r="E237"/>
      <c r="F237" s="8" t="str">
        <f>IFERROR(VLOOKUP(E237,'(新)ﾍﾞﾝﾀﾞｰ中型'!$A$3:$K$81,8,0),"")</f>
        <v/>
      </c>
      <c r="G237" s="7" t="str">
        <f>IFERROR(VLOOKUP(E237,'(旧)ﾍﾞﾝﾀﾞｰ中型'!$A$3:$K$237,10,0),"")</f>
        <v/>
      </c>
      <c r="H237" s="12" t="s">
        <v>60</v>
      </c>
      <c r="I237" s="7" t="str">
        <f>IFERROR(VLOOKUP(E237,'(新)ﾍﾞﾝﾀﾞｰ中型'!$A$3:$K$81,10,0),"")</f>
        <v/>
      </c>
    </row>
    <row r="238" spans="2:9" s="19" customFormat="1" x14ac:dyDescent="0.15">
      <c r="B238" s="7" t="str">
        <f>IFERROR(VLOOKUP(E238,'(新)ﾍﾞﾝﾀﾞｰ中型'!$A$3:$K$81,2,0),"")</f>
        <v/>
      </c>
      <c r="C238" s="7" t="str">
        <f>IFERROR(VLOOKUP(E238,'(新)ﾍﾞﾝﾀﾞｰ中型'!$A$3:$K$81,4,0),"")</f>
        <v/>
      </c>
      <c r="D238" s="7" t="str">
        <f>IFERROR(VLOOKUP(E238,'(新)ﾍﾞﾝﾀﾞｰ中型'!$A$3:$K$81,5,0),"")</f>
        <v/>
      </c>
      <c r="E238"/>
      <c r="F238" s="8" t="str">
        <f>IFERROR(VLOOKUP(E238,'(新)ﾍﾞﾝﾀﾞｰ中型'!$A$3:$K$81,8,0),"")</f>
        <v/>
      </c>
      <c r="G238" s="7" t="str">
        <f>IFERROR(VLOOKUP(E238,'(旧)ﾍﾞﾝﾀﾞｰ中型'!$A$3:$K$237,10,0),"")</f>
        <v/>
      </c>
      <c r="H238" s="12" t="s">
        <v>60</v>
      </c>
      <c r="I238" s="7" t="str">
        <f>IFERROR(VLOOKUP(E238,'(新)ﾍﾞﾝﾀﾞｰ中型'!$A$3:$K$81,10,0),"")</f>
        <v/>
      </c>
    </row>
    <row r="239" spans="2:9" s="19" customFormat="1" x14ac:dyDescent="0.15">
      <c r="B239" s="7" t="str">
        <f>IFERROR(VLOOKUP(E239,'(新)ﾍﾞﾝﾀﾞｰ中型'!$A$3:$K$81,2,0),"")</f>
        <v/>
      </c>
      <c r="C239" s="7" t="str">
        <f>IFERROR(VLOOKUP(E239,'(新)ﾍﾞﾝﾀﾞｰ中型'!$A$3:$K$81,4,0),"")</f>
        <v/>
      </c>
      <c r="D239" s="7" t="str">
        <f>IFERROR(VLOOKUP(E239,'(新)ﾍﾞﾝﾀﾞｰ中型'!$A$3:$K$81,5,0),"")</f>
        <v/>
      </c>
      <c r="E239"/>
      <c r="F239" s="8" t="str">
        <f>IFERROR(VLOOKUP(E239,'(新)ﾍﾞﾝﾀﾞｰ中型'!$A$3:$K$81,8,0),"")</f>
        <v/>
      </c>
      <c r="G239" s="7" t="str">
        <f>IFERROR(VLOOKUP(E239,'(旧)ﾍﾞﾝﾀﾞｰ中型'!$A$3:$K$237,10,0),"")</f>
        <v/>
      </c>
      <c r="H239" s="12" t="s">
        <v>60</v>
      </c>
      <c r="I239" s="7" t="str">
        <f>IFERROR(VLOOKUP(E239,'(新)ﾍﾞﾝﾀﾞｰ中型'!$A$3:$K$81,10,0),"")</f>
        <v/>
      </c>
    </row>
    <row r="240" spans="2:9" s="19" customFormat="1" x14ac:dyDescent="0.15">
      <c r="B240" s="7" t="str">
        <f>IFERROR(VLOOKUP(E240,'(新)ﾍﾞﾝﾀﾞｰ中型'!$A$3:$K$81,2,0),"")</f>
        <v/>
      </c>
      <c r="C240" s="7" t="str">
        <f>IFERROR(VLOOKUP(E240,'(新)ﾍﾞﾝﾀﾞｰ中型'!$A$3:$K$81,4,0),"")</f>
        <v/>
      </c>
      <c r="D240" s="7" t="str">
        <f>IFERROR(VLOOKUP(E240,'(新)ﾍﾞﾝﾀﾞｰ中型'!$A$3:$K$81,5,0),"")</f>
        <v/>
      </c>
      <c r="E240"/>
      <c r="F240" s="8" t="str">
        <f>IFERROR(VLOOKUP(E240,'(新)ﾍﾞﾝﾀﾞｰ中型'!$A$3:$K$81,8,0),"")</f>
        <v/>
      </c>
      <c r="G240" s="7" t="str">
        <f>IFERROR(VLOOKUP(E240,'(旧)ﾍﾞﾝﾀﾞｰ中型'!$A$3:$K$237,10,0),"")</f>
        <v/>
      </c>
      <c r="H240" s="12" t="s">
        <v>60</v>
      </c>
      <c r="I240" s="7" t="str">
        <f>IFERROR(VLOOKUP(E240,'(新)ﾍﾞﾝﾀﾞｰ中型'!$A$3:$K$81,10,0),"")</f>
        <v/>
      </c>
    </row>
    <row r="241" spans="2:9" s="19" customFormat="1" x14ac:dyDescent="0.15">
      <c r="B241" s="7" t="str">
        <f>IFERROR(VLOOKUP(E241,'(新)ﾍﾞﾝﾀﾞｰ中型'!$A$3:$K$81,2,0),"")</f>
        <v/>
      </c>
      <c r="C241" s="7" t="str">
        <f>IFERROR(VLOOKUP(E241,'(新)ﾍﾞﾝﾀﾞｰ中型'!$A$3:$K$81,4,0),"")</f>
        <v/>
      </c>
      <c r="D241" s="7" t="str">
        <f>IFERROR(VLOOKUP(E241,'(新)ﾍﾞﾝﾀﾞｰ中型'!$A$3:$K$81,5,0),"")</f>
        <v/>
      </c>
      <c r="E241"/>
      <c r="F241" s="8" t="str">
        <f>IFERROR(VLOOKUP(E241,'(新)ﾍﾞﾝﾀﾞｰ中型'!$A$3:$K$81,8,0),"")</f>
        <v/>
      </c>
      <c r="G241" s="7" t="str">
        <f>IFERROR(VLOOKUP(E241,'(旧)ﾍﾞﾝﾀﾞｰ中型'!$A$3:$K$237,10,0),"")</f>
        <v/>
      </c>
      <c r="H241" s="12" t="s">
        <v>60</v>
      </c>
      <c r="I241" s="7" t="str">
        <f>IFERROR(VLOOKUP(E241,'(新)ﾍﾞﾝﾀﾞｰ中型'!$A$3:$K$81,10,0),"")</f>
        <v/>
      </c>
    </row>
    <row r="242" spans="2:9" s="19" customFormat="1" x14ac:dyDescent="0.15">
      <c r="B242" s="7" t="str">
        <f>IFERROR(VLOOKUP(E242,'(新)ﾍﾞﾝﾀﾞｰ中型'!$A$3:$K$81,2,0),"")</f>
        <v/>
      </c>
      <c r="C242" s="7" t="str">
        <f>IFERROR(VLOOKUP(E242,'(新)ﾍﾞﾝﾀﾞｰ中型'!$A$3:$K$81,4,0),"")</f>
        <v/>
      </c>
      <c r="D242" s="7" t="str">
        <f>IFERROR(VLOOKUP(E242,'(新)ﾍﾞﾝﾀﾞｰ中型'!$A$3:$K$81,5,0),"")</f>
        <v/>
      </c>
      <c r="E242"/>
      <c r="F242" s="8" t="str">
        <f>IFERROR(VLOOKUP(E242,'(新)ﾍﾞﾝﾀﾞｰ中型'!$A$3:$K$81,8,0),"")</f>
        <v/>
      </c>
      <c r="G242" s="7" t="str">
        <f>IFERROR(VLOOKUP(E242,'(旧)ﾍﾞﾝﾀﾞｰ中型'!$A$3:$K$237,10,0),"")</f>
        <v/>
      </c>
      <c r="H242" s="12" t="s">
        <v>60</v>
      </c>
      <c r="I242" s="7" t="str">
        <f>IFERROR(VLOOKUP(E242,'(新)ﾍﾞﾝﾀﾞｰ中型'!$A$3:$K$81,10,0),"")</f>
        <v/>
      </c>
    </row>
    <row r="243" spans="2:9" s="19" customFormat="1" x14ac:dyDescent="0.15">
      <c r="B243" s="7" t="str">
        <f>IFERROR(VLOOKUP(E243,'(新)ﾍﾞﾝﾀﾞｰ中型'!$A$3:$K$81,2,0),"")</f>
        <v/>
      </c>
      <c r="C243" s="7" t="str">
        <f>IFERROR(VLOOKUP(E243,'(新)ﾍﾞﾝﾀﾞｰ中型'!$A$3:$K$81,4,0),"")</f>
        <v/>
      </c>
      <c r="D243" s="7" t="str">
        <f>IFERROR(VLOOKUP(E243,'(新)ﾍﾞﾝﾀﾞｰ中型'!$A$3:$K$81,5,0),"")</f>
        <v/>
      </c>
      <c r="E243"/>
      <c r="F243" s="8" t="str">
        <f>IFERROR(VLOOKUP(E243,'(新)ﾍﾞﾝﾀﾞｰ中型'!$A$3:$K$81,8,0),"")</f>
        <v/>
      </c>
      <c r="G243" s="7" t="str">
        <f>IFERROR(VLOOKUP(E243,'(旧)ﾍﾞﾝﾀﾞｰ中型'!$A$3:$K$237,10,0),"")</f>
        <v/>
      </c>
      <c r="H243" s="12" t="s">
        <v>60</v>
      </c>
      <c r="I243" s="7" t="str">
        <f>IFERROR(VLOOKUP(E243,'(新)ﾍﾞﾝﾀﾞｰ中型'!$A$3:$K$81,10,0),"")</f>
        <v/>
      </c>
    </row>
    <row r="244" spans="2:9" s="19" customFormat="1" x14ac:dyDescent="0.15">
      <c r="B244" s="7" t="str">
        <f>IFERROR(VLOOKUP(E244,'(新)ﾍﾞﾝﾀﾞｰ中型'!$A$3:$K$81,2,0),"")</f>
        <v/>
      </c>
      <c r="C244" s="7" t="str">
        <f>IFERROR(VLOOKUP(E244,'(新)ﾍﾞﾝﾀﾞｰ中型'!$A$3:$K$81,4,0),"")</f>
        <v/>
      </c>
      <c r="D244" s="7" t="str">
        <f>IFERROR(VLOOKUP(E244,'(新)ﾍﾞﾝﾀﾞｰ中型'!$A$3:$K$81,5,0),"")</f>
        <v/>
      </c>
      <c r="E244"/>
      <c r="F244" s="8" t="str">
        <f>IFERROR(VLOOKUP(E244,'(新)ﾍﾞﾝﾀﾞｰ中型'!$A$3:$K$81,8,0),"")</f>
        <v/>
      </c>
      <c r="G244" s="7" t="str">
        <f>IFERROR(VLOOKUP(E244,'(旧)ﾍﾞﾝﾀﾞｰ中型'!$A$3:$K$237,10,0),"")</f>
        <v/>
      </c>
      <c r="H244" s="12" t="s">
        <v>60</v>
      </c>
      <c r="I244" s="7" t="str">
        <f>IFERROR(VLOOKUP(E244,'(新)ﾍﾞﾝﾀﾞｰ中型'!$A$3:$K$81,10,0),"")</f>
        <v/>
      </c>
    </row>
    <row r="245" spans="2:9" s="19" customFormat="1" x14ac:dyDescent="0.15">
      <c r="B245" s="7" t="str">
        <f>IFERROR(VLOOKUP(E245,'(新)ﾍﾞﾝﾀﾞｰ中型'!$A$3:$K$81,2,0),"")</f>
        <v/>
      </c>
      <c r="C245" s="7" t="str">
        <f>IFERROR(VLOOKUP(E245,'(新)ﾍﾞﾝﾀﾞｰ中型'!$A$3:$K$81,4,0),"")</f>
        <v/>
      </c>
      <c r="D245" s="7" t="str">
        <f>IFERROR(VLOOKUP(E245,'(新)ﾍﾞﾝﾀﾞｰ中型'!$A$3:$K$81,5,0),"")</f>
        <v/>
      </c>
      <c r="E245"/>
      <c r="F245" s="8" t="str">
        <f>IFERROR(VLOOKUP(E245,'(新)ﾍﾞﾝﾀﾞｰ中型'!$A$3:$K$81,8,0),"")</f>
        <v/>
      </c>
      <c r="G245" s="7" t="str">
        <f>IFERROR(VLOOKUP(E245,'(旧)ﾍﾞﾝﾀﾞｰ中型'!$A$3:$K$237,10,0),"")</f>
        <v/>
      </c>
      <c r="H245" s="12" t="s">
        <v>60</v>
      </c>
      <c r="I245" s="7" t="str">
        <f>IFERROR(VLOOKUP(E245,'(新)ﾍﾞﾝﾀﾞｰ中型'!$A$3:$K$81,10,0),"")</f>
        <v/>
      </c>
    </row>
    <row r="246" spans="2:9" s="19" customFormat="1" x14ac:dyDescent="0.15">
      <c r="B246" s="7" t="str">
        <f>IFERROR(VLOOKUP(E246,'(新)ﾍﾞﾝﾀﾞｰ中型'!$A$3:$K$81,2,0),"")</f>
        <v/>
      </c>
      <c r="C246" s="7" t="str">
        <f>IFERROR(VLOOKUP(E246,'(新)ﾍﾞﾝﾀﾞｰ中型'!$A$3:$K$81,4,0),"")</f>
        <v/>
      </c>
      <c r="D246" s="7" t="str">
        <f>IFERROR(VLOOKUP(E246,'(新)ﾍﾞﾝﾀﾞｰ中型'!$A$3:$K$81,5,0),"")</f>
        <v/>
      </c>
      <c r="E246"/>
      <c r="F246" s="8" t="str">
        <f>IFERROR(VLOOKUP(E246,'(新)ﾍﾞﾝﾀﾞｰ中型'!$A$3:$K$81,8,0),"")</f>
        <v/>
      </c>
      <c r="G246" s="7" t="str">
        <f>IFERROR(VLOOKUP(E246,'(旧)ﾍﾞﾝﾀﾞｰ中型'!$A$3:$K$237,10,0),"")</f>
        <v/>
      </c>
      <c r="H246" s="12" t="s">
        <v>60</v>
      </c>
      <c r="I246" s="7" t="str">
        <f>IFERROR(VLOOKUP(E246,'(新)ﾍﾞﾝﾀﾞｰ中型'!$A$3:$K$81,10,0),"")</f>
        <v/>
      </c>
    </row>
    <row r="247" spans="2:9" s="19" customFormat="1" x14ac:dyDescent="0.15">
      <c r="B247" s="7" t="str">
        <f>IFERROR(VLOOKUP(E247,'(新)ﾍﾞﾝﾀﾞｰ中型'!$A$3:$K$81,2,0),"")</f>
        <v/>
      </c>
      <c r="C247" s="7" t="str">
        <f>IFERROR(VLOOKUP(E247,'(新)ﾍﾞﾝﾀﾞｰ中型'!$A$3:$K$81,4,0),"")</f>
        <v/>
      </c>
      <c r="D247" s="7" t="str">
        <f>IFERROR(VLOOKUP(E247,'(新)ﾍﾞﾝﾀﾞｰ中型'!$A$3:$K$81,5,0),"")</f>
        <v/>
      </c>
      <c r="E247"/>
      <c r="F247" s="8" t="str">
        <f>IFERROR(VLOOKUP(E247,'(新)ﾍﾞﾝﾀﾞｰ中型'!$A$3:$K$81,8,0),"")</f>
        <v/>
      </c>
      <c r="G247" s="7" t="str">
        <f>IFERROR(VLOOKUP(E247,'(旧)ﾍﾞﾝﾀﾞｰ中型'!$A$3:$K$237,10,0),"")</f>
        <v/>
      </c>
      <c r="H247" s="12" t="s">
        <v>60</v>
      </c>
      <c r="I247" s="7" t="str">
        <f>IFERROR(VLOOKUP(E247,'(新)ﾍﾞﾝﾀﾞｰ中型'!$A$3:$K$81,10,0),"")</f>
        <v/>
      </c>
    </row>
    <row r="248" spans="2:9" s="19" customFormat="1" x14ac:dyDescent="0.15">
      <c r="B248" s="7" t="str">
        <f>IFERROR(VLOOKUP(E248,'(新)ﾍﾞﾝﾀﾞｰ中型'!$A$3:$K$81,2,0),"")</f>
        <v/>
      </c>
      <c r="C248" s="7" t="str">
        <f>IFERROR(VLOOKUP(E248,'(新)ﾍﾞﾝﾀﾞｰ中型'!$A$3:$K$81,4,0),"")</f>
        <v/>
      </c>
      <c r="D248" s="7" t="str">
        <f>IFERROR(VLOOKUP(E248,'(新)ﾍﾞﾝﾀﾞｰ中型'!$A$3:$K$81,5,0),"")</f>
        <v/>
      </c>
      <c r="E248"/>
      <c r="F248" s="8" t="str">
        <f>IFERROR(VLOOKUP(E248,'(新)ﾍﾞﾝﾀﾞｰ中型'!$A$3:$K$81,8,0),"")</f>
        <v/>
      </c>
      <c r="G248" s="7" t="str">
        <f>IFERROR(VLOOKUP(E248,'(旧)ﾍﾞﾝﾀﾞｰ中型'!$A$3:$K$237,10,0),"")</f>
        <v/>
      </c>
      <c r="H248" s="12" t="s">
        <v>60</v>
      </c>
      <c r="I248" s="7" t="str">
        <f>IFERROR(VLOOKUP(E248,'(新)ﾍﾞﾝﾀﾞｰ中型'!$A$3:$K$81,10,0),"")</f>
        <v/>
      </c>
    </row>
    <row r="249" spans="2:9" s="19" customFormat="1" x14ac:dyDescent="0.15">
      <c r="B249" s="7" t="str">
        <f>IFERROR(VLOOKUP(E249,'(新)ﾍﾞﾝﾀﾞｰ中型'!$A$3:$K$81,2,0),"")</f>
        <v/>
      </c>
      <c r="C249" s="7" t="str">
        <f>IFERROR(VLOOKUP(E249,'(新)ﾍﾞﾝﾀﾞｰ中型'!$A$3:$K$81,4,0),"")</f>
        <v/>
      </c>
      <c r="D249" s="7" t="str">
        <f>IFERROR(VLOOKUP(E249,'(新)ﾍﾞﾝﾀﾞｰ中型'!$A$3:$K$81,5,0),"")</f>
        <v/>
      </c>
      <c r="E249"/>
      <c r="F249" s="8" t="str">
        <f>IFERROR(VLOOKUP(E249,'(新)ﾍﾞﾝﾀﾞｰ中型'!$A$3:$K$81,8,0),"")</f>
        <v/>
      </c>
      <c r="G249" s="7" t="str">
        <f>IFERROR(VLOOKUP(E249,'(旧)ﾍﾞﾝﾀﾞｰ中型'!$A$3:$K$237,10,0),"")</f>
        <v/>
      </c>
      <c r="H249" s="12" t="s">
        <v>60</v>
      </c>
      <c r="I249" s="7" t="str">
        <f>IFERROR(VLOOKUP(E249,'(新)ﾍﾞﾝﾀﾞｰ中型'!$A$3:$K$81,10,0),"")</f>
        <v/>
      </c>
    </row>
    <row r="250" spans="2:9" s="19" customFormat="1" x14ac:dyDescent="0.15">
      <c r="B250" s="7" t="str">
        <f>IFERROR(VLOOKUP(E250,'(新)ﾍﾞﾝﾀﾞｰ中型'!$A$3:$K$81,2,0),"")</f>
        <v/>
      </c>
      <c r="C250" s="7" t="str">
        <f>IFERROR(VLOOKUP(E250,'(新)ﾍﾞﾝﾀﾞｰ中型'!$A$3:$K$81,4,0),"")</f>
        <v/>
      </c>
      <c r="D250" s="7" t="str">
        <f>IFERROR(VLOOKUP(E250,'(新)ﾍﾞﾝﾀﾞｰ中型'!$A$3:$K$81,5,0),"")</f>
        <v/>
      </c>
      <c r="E250"/>
      <c r="F250" s="8" t="str">
        <f>IFERROR(VLOOKUP(E250,'(新)ﾍﾞﾝﾀﾞｰ中型'!$A$3:$K$81,8,0),"")</f>
        <v/>
      </c>
      <c r="G250" s="7" t="str">
        <f>IFERROR(VLOOKUP(E250,'(旧)ﾍﾞﾝﾀﾞｰ中型'!$A$3:$K$237,10,0),"")</f>
        <v/>
      </c>
      <c r="H250" s="12" t="s">
        <v>60</v>
      </c>
      <c r="I250" s="7" t="str">
        <f>IFERROR(VLOOKUP(E250,'(新)ﾍﾞﾝﾀﾞｰ中型'!$A$3:$K$81,10,0),"")</f>
        <v/>
      </c>
    </row>
    <row r="251" spans="2:9" s="19" customFormat="1" x14ac:dyDescent="0.15">
      <c r="B251" s="7" t="str">
        <f>IFERROR(VLOOKUP(E251,'(新)ﾍﾞﾝﾀﾞｰ中型'!$A$3:$K$81,2,0),"")</f>
        <v/>
      </c>
      <c r="C251" s="7" t="str">
        <f>IFERROR(VLOOKUP(E251,'(新)ﾍﾞﾝﾀﾞｰ中型'!$A$3:$K$81,4,0),"")</f>
        <v/>
      </c>
      <c r="D251" s="7" t="str">
        <f>IFERROR(VLOOKUP(E251,'(新)ﾍﾞﾝﾀﾞｰ中型'!$A$3:$K$81,5,0),"")</f>
        <v/>
      </c>
      <c r="E251"/>
      <c r="F251" s="8" t="str">
        <f>IFERROR(VLOOKUP(E251,'(新)ﾍﾞﾝﾀﾞｰ中型'!$A$3:$K$81,8,0),"")</f>
        <v/>
      </c>
      <c r="G251" s="7" t="str">
        <f>IFERROR(VLOOKUP(E251,'(旧)ﾍﾞﾝﾀﾞｰ中型'!$A$3:$K$237,10,0),"")</f>
        <v/>
      </c>
      <c r="H251" s="12" t="s">
        <v>60</v>
      </c>
      <c r="I251" s="7" t="str">
        <f>IFERROR(VLOOKUP(E251,'(新)ﾍﾞﾝﾀﾞｰ中型'!$A$3:$K$81,10,0),"")</f>
        <v/>
      </c>
    </row>
    <row r="252" spans="2:9" s="19" customFormat="1" x14ac:dyDescent="0.15">
      <c r="B252" s="7" t="str">
        <f>IFERROR(VLOOKUP(E252,'(新)ﾍﾞﾝﾀﾞｰ中型'!$A$3:$K$81,2,0),"")</f>
        <v/>
      </c>
      <c r="C252" s="7" t="str">
        <f>IFERROR(VLOOKUP(E252,'(新)ﾍﾞﾝﾀﾞｰ中型'!$A$3:$K$81,4,0),"")</f>
        <v/>
      </c>
      <c r="D252" s="7" t="str">
        <f>IFERROR(VLOOKUP(E252,'(新)ﾍﾞﾝﾀﾞｰ中型'!$A$3:$K$81,5,0),"")</f>
        <v/>
      </c>
      <c r="E252"/>
      <c r="F252" s="8" t="str">
        <f>IFERROR(VLOOKUP(E252,'(新)ﾍﾞﾝﾀﾞｰ中型'!$A$3:$K$81,8,0),"")</f>
        <v/>
      </c>
      <c r="G252" s="7" t="str">
        <f>IFERROR(VLOOKUP(E252,'(旧)ﾍﾞﾝﾀﾞｰ中型'!$A$3:$K$237,10,0),"")</f>
        <v/>
      </c>
      <c r="H252" s="12" t="s">
        <v>60</v>
      </c>
      <c r="I252" s="7" t="str">
        <f>IFERROR(VLOOKUP(E252,'(新)ﾍﾞﾝﾀﾞｰ中型'!$A$3:$K$81,10,0),"")</f>
        <v/>
      </c>
    </row>
    <row r="253" spans="2:9" s="19" customFormat="1" x14ac:dyDescent="0.15">
      <c r="B253" s="7" t="str">
        <f>IFERROR(VLOOKUP(E253,'(新)ﾍﾞﾝﾀﾞｰ中型'!$A$3:$K$81,2,0),"")</f>
        <v/>
      </c>
      <c r="C253" s="7" t="str">
        <f>IFERROR(VLOOKUP(E253,'(新)ﾍﾞﾝﾀﾞｰ中型'!$A$3:$K$81,4,0),"")</f>
        <v/>
      </c>
      <c r="D253" s="7" t="str">
        <f>IFERROR(VLOOKUP(E253,'(新)ﾍﾞﾝﾀﾞｰ中型'!$A$3:$K$81,5,0),"")</f>
        <v/>
      </c>
      <c r="E253"/>
      <c r="F253" s="8" t="str">
        <f>IFERROR(VLOOKUP(E253,'(新)ﾍﾞﾝﾀﾞｰ中型'!$A$3:$K$81,8,0),"")</f>
        <v/>
      </c>
      <c r="G253" s="7" t="str">
        <f>IFERROR(VLOOKUP(E253,'(旧)ﾍﾞﾝﾀﾞｰ中型'!$A$3:$K$237,10,0),"")</f>
        <v/>
      </c>
      <c r="H253" s="12" t="s">
        <v>60</v>
      </c>
      <c r="I253" s="7" t="str">
        <f>IFERROR(VLOOKUP(E253,'(新)ﾍﾞﾝﾀﾞｰ中型'!$A$3:$K$81,10,0),"")</f>
        <v/>
      </c>
    </row>
    <row r="254" spans="2:9" s="19" customFormat="1" x14ac:dyDescent="0.15">
      <c r="B254" s="7" t="str">
        <f>IFERROR(VLOOKUP(E254,'(新)ﾍﾞﾝﾀﾞｰ中型'!$A$3:$K$81,2,0),"")</f>
        <v/>
      </c>
      <c r="C254" s="7" t="str">
        <f>IFERROR(VLOOKUP(E254,'(新)ﾍﾞﾝﾀﾞｰ中型'!$A$3:$K$81,4,0),"")</f>
        <v/>
      </c>
      <c r="D254" s="7" t="str">
        <f>IFERROR(VLOOKUP(E254,'(新)ﾍﾞﾝﾀﾞｰ中型'!$A$3:$K$81,5,0),"")</f>
        <v/>
      </c>
      <c r="E254"/>
      <c r="F254" s="8" t="str">
        <f>IFERROR(VLOOKUP(E254,'(新)ﾍﾞﾝﾀﾞｰ中型'!$A$3:$K$81,8,0),"")</f>
        <v/>
      </c>
      <c r="G254" s="7" t="str">
        <f>IFERROR(VLOOKUP(E254,'(旧)ﾍﾞﾝﾀﾞｰ中型'!$A$3:$K$237,10,0),"")</f>
        <v/>
      </c>
      <c r="H254" s="12" t="s">
        <v>60</v>
      </c>
      <c r="I254" s="7" t="str">
        <f>IFERROR(VLOOKUP(E254,'(新)ﾍﾞﾝﾀﾞｰ中型'!$A$3:$K$81,10,0),"")</f>
        <v/>
      </c>
    </row>
    <row r="255" spans="2:9" s="19" customFormat="1" x14ac:dyDescent="0.15">
      <c r="B255" s="7" t="str">
        <f>IFERROR(VLOOKUP(E255,'(新)ﾍﾞﾝﾀﾞｰ中型'!$A$3:$K$81,2,0),"")</f>
        <v/>
      </c>
      <c r="C255" s="7" t="str">
        <f>IFERROR(VLOOKUP(E255,'(新)ﾍﾞﾝﾀﾞｰ中型'!$A$3:$K$81,4,0),"")</f>
        <v/>
      </c>
      <c r="D255" s="7" t="str">
        <f>IFERROR(VLOOKUP(E255,'(新)ﾍﾞﾝﾀﾞｰ中型'!$A$3:$K$81,5,0),"")</f>
        <v/>
      </c>
      <c r="E255"/>
      <c r="F255" s="8" t="str">
        <f>IFERROR(VLOOKUP(E255,'(新)ﾍﾞﾝﾀﾞｰ中型'!$A$3:$K$81,8,0),"")</f>
        <v/>
      </c>
      <c r="G255" s="7" t="str">
        <f>IFERROR(VLOOKUP(E255,'(旧)ﾍﾞﾝﾀﾞｰ中型'!$A$3:$K$237,10,0),"")</f>
        <v/>
      </c>
      <c r="H255" s="12" t="s">
        <v>60</v>
      </c>
      <c r="I255" s="7" t="str">
        <f>IFERROR(VLOOKUP(E255,'(新)ﾍﾞﾝﾀﾞｰ中型'!$A$3:$K$81,10,0),"")</f>
        <v/>
      </c>
    </row>
    <row r="256" spans="2:9" s="19" customFormat="1" x14ac:dyDescent="0.15">
      <c r="B256" s="7" t="str">
        <f>IFERROR(VLOOKUP(E256,'(新)ﾍﾞﾝﾀﾞｰ中型'!$A$3:$K$81,2,0),"")</f>
        <v/>
      </c>
      <c r="C256" s="7" t="str">
        <f>IFERROR(VLOOKUP(E256,'(新)ﾍﾞﾝﾀﾞｰ中型'!$A$3:$K$81,4,0),"")</f>
        <v/>
      </c>
      <c r="D256" s="7" t="str">
        <f>IFERROR(VLOOKUP(E256,'(新)ﾍﾞﾝﾀﾞｰ中型'!$A$3:$K$81,5,0),"")</f>
        <v/>
      </c>
      <c r="E256"/>
      <c r="F256" s="8" t="str">
        <f>IFERROR(VLOOKUP(E256,'(新)ﾍﾞﾝﾀﾞｰ中型'!$A$3:$K$81,8,0),"")</f>
        <v/>
      </c>
      <c r="G256" s="7" t="str">
        <f>IFERROR(VLOOKUP(E256,'(旧)ﾍﾞﾝﾀﾞｰ中型'!$A$3:$K$237,10,0),"")</f>
        <v/>
      </c>
      <c r="H256" s="12" t="s">
        <v>60</v>
      </c>
      <c r="I256" s="7" t="str">
        <f>IFERROR(VLOOKUP(E256,'(新)ﾍﾞﾝﾀﾞｰ中型'!$A$3:$K$81,10,0),"")</f>
        <v/>
      </c>
    </row>
    <row r="257" spans="2:9" s="19" customFormat="1" x14ac:dyDescent="0.15">
      <c r="B257" s="7" t="str">
        <f>IFERROR(VLOOKUP(E257,'(新)ﾍﾞﾝﾀﾞｰ中型'!$A$3:$K$81,2,0),"")</f>
        <v/>
      </c>
      <c r="C257" s="7" t="str">
        <f>IFERROR(VLOOKUP(E257,'(新)ﾍﾞﾝﾀﾞｰ中型'!$A$3:$K$81,4,0),"")</f>
        <v/>
      </c>
      <c r="D257" s="7" t="str">
        <f>IFERROR(VLOOKUP(E257,'(新)ﾍﾞﾝﾀﾞｰ中型'!$A$3:$K$81,5,0),"")</f>
        <v/>
      </c>
      <c r="E257"/>
      <c r="F257" s="8" t="str">
        <f>IFERROR(VLOOKUP(E257,'(新)ﾍﾞﾝﾀﾞｰ中型'!$A$3:$K$81,8,0),"")</f>
        <v/>
      </c>
      <c r="G257" s="7" t="str">
        <f>IFERROR(VLOOKUP(E257,'(旧)ﾍﾞﾝﾀﾞｰ中型'!$A$3:$K$237,10,0),"")</f>
        <v/>
      </c>
      <c r="H257" s="12" t="s">
        <v>60</v>
      </c>
      <c r="I257" s="7" t="str">
        <f>IFERROR(VLOOKUP(E257,'(新)ﾍﾞﾝﾀﾞｰ中型'!$A$3:$K$81,10,0),"")</f>
        <v/>
      </c>
    </row>
    <row r="258" spans="2:9" s="19" customFormat="1" x14ac:dyDescent="0.15">
      <c r="B258" s="7" t="str">
        <f>IFERROR(VLOOKUP(E258,'(新)ﾍﾞﾝﾀﾞｰ中型'!$A$3:$K$81,2,0),"")</f>
        <v/>
      </c>
      <c r="C258" s="7" t="str">
        <f>IFERROR(VLOOKUP(E258,'(新)ﾍﾞﾝﾀﾞｰ中型'!$A$3:$K$81,4,0),"")</f>
        <v/>
      </c>
      <c r="D258" s="7" t="str">
        <f>IFERROR(VLOOKUP(E258,'(新)ﾍﾞﾝﾀﾞｰ中型'!$A$3:$K$81,5,0),"")</f>
        <v/>
      </c>
      <c r="E258"/>
      <c r="F258" s="8" t="str">
        <f>IFERROR(VLOOKUP(E258,'(新)ﾍﾞﾝﾀﾞｰ中型'!$A$3:$K$81,8,0),"")</f>
        <v/>
      </c>
      <c r="G258" s="7" t="str">
        <f>IFERROR(VLOOKUP(E258,'(旧)ﾍﾞﾝﾀﾞｰ中型'!$A$3:$K$237,10,0),"")</f>
        <v/>
      </c>
      <c r="H258" s="12" t="s">
        <v>60</v>
      </c>
      <c r="I258" s="7" t="str">
        <f>IFERROR(VLOOKUP(E258,'(新)ﾍﾞﾝﾀﾞｰ中型'!$A$3:$K$81,10,0),"")</f>
        <v/>
      </c>
    </row>
    <row r="259" spans="2:9" s="19" customFormat="1" x14ac:dyDescent="0.15">
      <c r="B259" s="7" t="str">
        <f>IFERROR(VLOOKUP(E259,'(新)ﾍﾞﾝﾀﾞｰ中型'!$A$3:$K$81,2,0),"")</f>
        <v/>
      </c>
      <c r="C259" s="7" t="str">
        <f>IFERROR(VLOOKUP(E259,'(新)ﾍﾞﾝﾀﾞｰ中型'!$A$3:$K$81,4,0),"")</f>
        <v/>
      </c>
      <c r="D259" s="7" t="str">
        <f>IFERROR(VLOOKUP(E259,'(新)ﾍﾞﾝﾀﾞｰ中型'!$A$3:$K$81,5,0),"")</f>
        <v/>
      </c>
      <c r="E259"/>
      <c r="F259" s="8" t="str">
        <f>IFERROR(VLOOKUP(E259,'(新)ﾍﾞﾝﾀﾞｰ中型'!$A$3:$K$81,8,0),"")</f>
        <v/>
      </c>
      <c r="G259" s="7" t="str">
        <f>IFERROR(VLOOKUP(E259,'(旧)ﾍﾞﾝﾀﾞｰ中型'!$A$3:$K$237,10,0),"")</f>
        <v/>
      </c>
      <c r="H259" s="12" t="s">
        <v>60</v>
      </c>
      <c r="I259" s="7" t="str">
        <f>IFERROR(VLOOKUP(E259,'(新)ﾍﾞﾝﾀﾞｰ中型'!$A$3:$K$81,10,0),"")</f>
        <v/>
      </c>
    </row>
    <row r="260" spans="2:9" s="19" customFormat="1" x14ac:dyDescent="0.15">
      <c r="B260" s="7" t="str">
        <f>IFERROR(VLOOKUP(E260,'(新)ﾍﾞﾝﾀﾞｰ中型'!$A$3:$K$81,2,0),"")</f>
        <v/>
      </c>
      <c r="C260" s="7" t="str">
        <f>IFERROR(VLOOKUP(E260,'(新)ﾍﾞﾝﾀﾞｰ中型'!$A$3:$K$81,4,0),"")</f>
        <v/>
      </c>
      <c r="D260" s="7" t="str">
        <f>IFERROR(VLOOKUP(E260,'(新)ﾍﾞﾝﾀﾞｰ中型'!$A$3:$K$81,5,0),"")</f>
        <v/>
      </c>
      <c r="E260"/>
      <c r="F260" s="8" t="str">
        <f>IFERROR(VLOOKUP(E260,'(新)ﾍﾞﾝﾀﾞｰ中型'!$A$3:$K$81,8,0),"")</f>
        <v/>
      </c>
      <c r="G260" s="7" t="str">
        <f>IFERROR(VLOOKUP(E260,'(旧)ﾍﾞﾝﾀﾞｰ中型'!$A$3:$K$237,10,0),"")</f>
        <v/>
      </c>
      <c r="H260" s="12" t="s">
        <v>60</v>
      </c>
      <c r="I260" s="7" t="str">
        <f>IFERROR(VLOOKUP(E260,'(新)ﾍﾞﾝﾀﾞｰ中型'!$A$3:$K$81,10,0),"")</f>
        <v/>
      </c>
    </row>
    <row r="261" spans="2:9" s="19" customFormat="1" x14ac:dyDescent="0.15">
      <c r="B261" s="7" t="str">
        <f>IFERROR(VLOOKUP(E261,'(新)ﾍﾞﾝﾀﾞｰ中型'!$A$3:$K$81,2,0),"")</f>
        <v/>
      </c>
      <c r="C261" s="7" t="str">
        <f>IFERROR(VLOOKUP(E261,'(新)ﾍﾞﾝﾀﾞｰ中型'!$A$3:$K$81,4,0),"")</f>
        <v/>
      </c>
      <c r="D261" s="7" t="str">
        <f>IFERROR(VLOOKUP(E261,'(新)ﾍﾞﾝﾀﾞｰ中型'!$A$3:$K$81,5,0),"")</f>
        <v/>
      </c>
      <c r="E261"/>
      <c r="F261" s="8" t="str">
        <f>IFERROR(VLOOKUP(E261,'(新)ﾍﾞﾝﾀﾞｰ中型'!$A$3:$K$81,8,0),"")</f>
        <v/>
      </c>
      <c r="G261" s="7" t="str">
        <f>IFERROR(VLOOKUP(E261,'(旧)ﾍﾞﾝﾀﾞｰ中型'!$A$3:$K$237,10,0),"")</f>
        <v/>
      </c>
      <c r="H261" s="12" t="s">
        <v>60</v>
      </c>
      <c r="I261" s="7" t="str">
        <f>IFERROR(VLOOKUP(E261,'(新)ﾍﾞﾝﾀﾞｰ中型'!$A$3:$K$81,10,0),"")</f>
        <v/>
      </c>
    </row>
    <row r="262" spans="2:9" s="19" customFormat="1" x14ac:dyDescent="0.15">
      <c r="B262" s="7" t="str">
        <f>IFERROR(VLOOKUP(E262,'(新)ﾍﾞﾝﾀﾞｰ中型'!$A$3:$K$81,2,0),"")</f>
        <v/>
      </c>
      <c r="C262" s="7" t="str">
        <f>IFERROR(VLOOKUP(E262,'(新)ﾍﾞﾝﾀﾞｰ中型'!$A$3:$K$81,4,0),"")</f>
        <v/>
      </c>
      <c r="D262" s="7" t="str">
        <f>IFERROR(VLOOKUP(E262,'(新)ﾍﾞﾝﾀﾞｰ中型'!$A$3:$K$81,5,0),"")</f>
        <v/>
      </c>
      <c r="E262"/>
      <c r="F262" s="8" t="str">
        <f>IFERROR(VLOOKUP(E262,'(新)ﾍﾞﾝﾀﾞｰ中型'!$A$3:$K$81,8,0),"")</f>
        <v/>
      </c>
      <c r="G262" s="7" t="str">
        <f>IFERROR(VLOOKUP(E262,'(旧)ﾍﾞﾝﾀﾞｰ中型'!$A$3:$K$237,10,0),"")</f>
        <v/>
      </c>
      <c r="H262" s="12" t="s">
        <v>60</v>
      </c>
      <c r="I262" s="7" t="str">
        <f>IFERROR(VLOOKUP(E262,'(新)ﾍﾞﾝﾀﾞｰ中型'!$A$3:$K$81,10,0),"")</f>
        <v/>
      </c>
    </row>
    <row r="263" spans="2:9" s="19" customFormat="1" x14ac:dyDescent="0.15">
      <c r="B263" s="7" t="str">
        <f>IFERROR(VLOOKUP(E263,'(新)ﾍﾞﾝﾀﾞｰ中型'!$A$3:$K$81,2,0),"")</f>
        <v/>
      </c>
      <c r="C263" s="7" t="str">
        <f>IFERROR(VLOOKUP(E263,'(新)ﾍﾞﾝﾀﾞｰ中型'!$A$3:$K$81,4,0),"")</f>
        <v/>
      </c>
      <c r="D263" s="7" t="str">
        <f>IFERROR(VLOOKUP(E263,'(新)ﾍﾞﾝﾀﾞｰ中型'!$A$3:$K$81,5,0),"")</f>
        <v/>
      </c>
      <c r="E263"/>
      <c r="F263" s="8" t="str">
        <f>IFERROR(VLOOKUP(E263,'(新)ﾍﾞﾝﾀﾞｰ中型'!$A$3:$K$81,8,0),"")</f>
        <v/>
      </c>
      <c r="G263" s="7" t="str">
        <f>IFERROR(VLOOKUP(E263,'(旧)ﾍﾞﾝﾀﾞｰ中型'!$A$3:$K$237,10,0),"")</f>
        <v/>
      </c>
      <c r="H263" s="12" t="s">
        <v>60</v>
      </c>
      <c r="I263" s="7" t="str">
        <f>IFERROR(VLOOKUP(E263,'(新)ﾍﾞﾝﾀﾞｰ中型'!$A$3:$K$81,10,0),"")</f>
        <v/>
      </c>
    </row>
    <row r="264" spans="2:9" s="19" customFormat="1" x14ac:dyDescent="0.15">
      <c r="B264" s="7" t="str">
        <f>IFERROR(VLOOKUP(E264,'(新)ﾍﾞﾝﾀﾞｰ中型'!$A$3:$K$81,2,0),"")</f>
        <v/>
      </c>
      <c r="C264" s="7" t="str">
        <f>IFERROR(VLOOKUP(E264,'(新)ﾍﾞﾝﾀﾞｰ中型'!$A$3:$K$81,4,0),"")</f>
        <v/>
      </c>
      <c r="D264" s="7" t="str">
        <f>IFERROR(VLOOKUP(E264,'(新)ﾍﾞﾝﾀﾞｰ中型'!$A$3:$K$81,5,0),"")</f>
        <v/>
      </c>
      <c r="E264"/>
      <c r="F264" s="8" t="str">
        <f>IFERROR(VLOOKUP(E264,'(新)ﾍﾞﾝﾀﾞｰ中型'!$A$3:$K$81,8,0),"")</f>
        <v/>
      </c>
      <c r="G264" s="7" t="str">
        <f>IFERROR(VLOOKUP(E264,'(旧)ﾍﾞﾝﾀﾞｰ中型'!$A$3:$K$237,10,0),"")</f>
        <v/>
      </c>
      <c r="H264" s="12" t="s">
        <v>60</v>
      </c>
      <c r="I264" s="7" t="str">
        <f>IFERROR(VLOOKUP(E264,'(新)ﾍﾞﾝﾀﾞｰ中型'!$A$3:$K$81,10,0),"")</f>
        <v/>
      </c>
    </row>
    <row r="265" spans="2:9" s="19" customFormat="1" x14ac:dyDescent="0.15">
      <c r="B265" s="7" t="str">
        <f>IFERROR(VLOOKUP(E265,'(新)ﾍﾞﾝﾀﾞｰ中型'!$A$3:$K$81,2,0),"")</f>
        <v/>
      </c>
      <c r="C265" s="7" t="str">
        <f>IFERROR(VLOOKUP(E265,'(新)ﾍﾞﾝﾀﾞｰ中型'!$A$3:$K$81,4,0),"")</f>
        <v/>
      </c>
      <c r="D265" s="7" t="str">
        <f>IFERROR(VLOOKUP(E265,'(新)ﾍﾞﾝﾀﾞｰ中型'!$A$3:$K$81,5,0),"")</f>
        <v/>
      </c>
      <c r="E265"/>
      <c r="F265" s="8" t="str">
        <f>IFERROR(VLOOKUP(E265,'(新)ﾍﾞﾝﾀﾞｰ中型'!$A$3:$K$81,8,0),"")</f>
        <v/>
      </c>
      <c r="G265" s="7" t="str">
        <f>IFERROR(VLOOKUP(E265,'(旧)ﾍﾞﾝﾀﾞｰ中型'!$A$3:$K$237,10,0),"")</f>
        <v/>
      </c>
      <c r="H265" s="12" t="s">
        <v>60</v>
      </c>
      <c r="I265" s="7" t="str">
        <f>IFERROR(VLOOKUP(E265,'(新)ﾍﾞﾝﾀﾞｰ中型'!$A$3:$K$81,10,0),"")</f>
        <v/>
      </c>
    </row>
    <row r="266" spans="2:9" s="19" customFormat="1" x14ac:dyDescent="0.15">
      <c r="B266" s="7" t="str">
        <f>IFERROR(VLOOKUP(E266,'(新)ﾍﾞﾝﾀﾞｰ中型'!$A$3:$K$81,2,0),"")</f>
        <v/>
      </c>
      <c r="C266" s="7" t="str">
        <f>IFERROR(VLOOKUP(E266,'(新)ﾍﾞﾝﾀﾞｰ中型'!$A$3:$K$81,4,0),"")</f>
        <v/>
      </c>
      <c r="D266" s="7" t="str">
        <f>IFERROR(VLOOKUP(E266,'(新)ﾍﾞﾝﾀﾞｰ中型'!$A$3:$K$81,5,0),"")</f>
        <v/>
      </c>
      <c r="E266"/>
      <c r="F266" s="8" t="str">
        <f>IFERROR(VLOOKUP(E266,'(新)ﾍﾞﾝﾀﾞｰ中型'!$A$3:$K$81,8,0),"")</f>
        <v/>
      </c>
      <c r="G266" s="7" t="str">
        <f>IFERROR(VLOOKUP(E266,'(旧)ﾍﾞﾝﾀﾞｰ中型'!$A$3:$K$237,10,0),"")</f>
        <v/>
      </c>
      <c r="H266" s="12" t="s">
        <v>60</v>
      </c>
      <c r="I266" s="7" t="str">
        <f>IFERROR(VLOOKUP(E266,'(新)ﾍﾞﾝﾀﾞｰ中型'!$A$3:$K$81,10,0),"")</f>
        <v/>
      </c>
    </row>
    <row r="267" spans="2:9" s="19" customFormat="1" x14ac:dyDescent="0.15">
      <c r="B267" s="7" t="str">
        <f>IFERROR(VLOOKUP(E267,'(新)ﾍﾞﾝﾀﾞｰ中型'!$A$3:$K$81,2,0),"")</f>
        <v/>
      </c>
      <c r="C267" s="7" t="str">
        <f>IFERROR(VLOOKUP(E267,'(新)ﾍﾞﾝﾀﾞｰ中型'!$A$3:$K$81,4,0),"")</f>
        <v/>
      </c>
      <c r="D267" s="7" t="str">
        <f>IFERROR(VLOOKUP(E267,'(新)ﾍﾞﾝﾀﾞｰ中型'!$A$3:$K$81,5,0),"")</f>
        <v/>
      </c>
      <c r="E267"/>
      <c r="F267" s="8" t="str">
        <f>IFERROR(VLOOKUP(E267,'(新)ﾍﾞﾝﾀﾞｰ中型'!$A$3:$K$81,8,0),"")</f>
        <v/>
      </c>
      <c r="G267" s="7" t="str">
        <f>IFERROR(VLOOKUP(E267,'(旧)ﾍﾞﾝﾀﾞｰ中型'!$A$3:$K$237,10,0),"")</f>
        <v/>
      </c>
      <c r="H267" s="12" t="s">
        <v>60</v>
      </c>
      <c r="I267" s="7" t="str">
        <f>IFERROR(VLOOKUP(E267,'(新)ﾍﾞﾝﾀﾞｰ中型'!$A$3:$K$81,10,0),"")</f>
        <v/>
      </c>
    </row>
    <row r="268" spans="2:9" s="19" customFormat="1" x14ac:dyDescent="0.15">
      <c r="B268" s="7" t="str">
        <f>IFERROR(VLOOKUP(E268,'(新)ﾍﾞﾝﾀﾞｰ中型'!$A$3:$K$81,2,0),"")</f>
        <v/>
      </c>
      <c r="C268" s="7" t="str">
        <f>IFERROR(VLOOKUP(E268,'(新)ﾍﾞﾝﾀﾞｰ中型'!$A$3:$K$81,4,0),"")</f>
        <v/>
      </c>
      <c r="D268" s="7" t="str">
        <f>IFERROR(VLOOKUP(E268,'(新)ﾍﾞﾝﾀﾞｰ中型'!$A$3:$K$81,5,0),"")</f>
        <v/>
      </c>
      <c r="E268"/>
      <c r="F268" s="8" t="str">
        <f>IFERROR(VLOOKUP(E268,'(新)ﾍﾞﾝﾀﾞｰ中型'!$A$3:$K$81,8,0),"")</f>
        <v/>
      </c>
      <c r="G268" s="7" t="str">
        <f>IFERROR(VLOOKUP(E268,'(旧)ﾍﾞﾝﾀﾞｰ中型'!$A$3:$K$237,10,0),"")</f>
        <v/>
      </c>
      <c r="H268" s="12" t="s">
        <v>60</v>
      </c>
      <c r="I268" s="7" t="str">
        <f>IFERROR(VLOOKUP(E268,'(新)ﾍﾞﾝﾀﾞｰ中型'!$A$3:$K$81,10,0),"")</f>
        <v/>
      </c>
    </row>
    <row r="269" spans="2:9" s="19" customFormat="1" x14ac:dyDescent="0.15">
      <c r="B269" s="7" t="str">
        <f>IFERROR(VLOOKUP(E269,'(新)ﾍﾞﾝﾀﾞｰ中型'!$A$3:$K$81,2,0),"")</f>
        <v/>
      </c>
      <c r="C269" s="7" t="str">
        <f>IFERROR(VLOOKUP(E269,'(新)ﾍﾞﾝﾀﾞｰ中型'!$A$3:$K$81,4,0),"")</f>
        <v/>
      </c>
      <c r="D269" s="7" t="str">
        <f>IFERROR(VLOOKUP(E269,'(新)ﾍﾞﾝﾀﾞｰ中型'!$A$3:$K$81,5,0),"")</f>
        <v/>
      </c>
      <c r="E269"/>
      <c r="F269" s="8" t="str">
        <f>IFERROR(VLOOKUP(E269,'(新)ﾍﾞﾝﾀﾞｰ中型'!$A$3:$K$81,8,0),"")</f>
        <v/>
      </c>
      <c r="G269" s="7" t="str">
        <f>IFERROR(VLOOKUP(E269,'(旧)ﾍﾞﾝﾀﾞｰ中型'!$A$3:$K$237,10,0),"")</f>
        <v/>
      </c>
      <c r="H269" s="12" t="s">
        <v>60</v>
      </c>
      <c r="I269" s="7" t="str">
        <f>IFERROR(VLOOKUP(E269,'(新)ﾍﾞﾝﾀﾞｰ中型'!$A$3:$K$81,10,0),"")</f>
        <v/>
      </c>
    </row>
    <row r="270" spans="2:9" s="19" customFormat="1" x14ac:dyDescent="0.15">
      <c r="B270" s="7" t="str">
        <f>IFERROR(VLOOKUP(E270,'(新)ﾍﾞﾝﾀﾞｰ中型'!$A$3:$K$81,2,0),"")</f>
        <v/>
      </c>
      <c r="C270" s="7" t="str">
        <f>IFERROR(VLOOKUP(E270,'(新)ﾍﾞﾝﾀﾞｰ中型'!$A$3:$K$81,4,0),"")</f>
        <v/>
      </c>
      <c r="D270" s="7" t="str">
        <f>IFERROR(VLOOKUP(E270,'(新)ﾍﾞﾝﾀﾞｰ中型'!$A$3:$K$81,5,0),"")</f>
        <v/>
      </c>
      <c r="E270" s="20"/>
      <c r="F270" s="8" t="str">
        <f>IFERROR(VLOOKUP(E270,'(新)ﾍﾞﾝﾀﾞｰ中型'!$A$3:$K$81,8,0),"")</f>
        <v/>
      </c>
      <c r="G270" s="7" t="str">
        <f>IFERROR(VLOOKUP(E270,'(旧)ﾍﾞﾝﾀﾞｰ中型'!$A$3:$K$237,10,0),"")</f>
        <v/>
      </c>
      <c r="H270" s="12" t="s">
        <v>60</v>
      </c>
      <c r="I270" s="7" t="str">
        <f>IFERROR(VLOOKUP(E270,'(新)ﾍﾞﾝﾀﾞｰ中型'!$A$3:$K$81,10,0),"")</f>
        <v/>
      </c>
    </row>
    <row r="271" spans="2:9" s="19" customFormat="1" x14ac:dyDescent="0.15">
      <c r="B271" s="7" t="str">
        <f>IFERROR(VLOOKUP(E271,'(新)ﾍﾞﾝﾀﾞｰ中型'!$A$3:$K$81,2,0),"")</f>
        <v/>
      </c>
      <c r="C271" s="7" t="str">
        <f>IFERROR(VLOOKUP(E271,'(新)ﾍﾞﾝﾀﾞｰ中型'!$A$3:$K$81,4,0),"")</f>
        <v/>
      </c>
      <c r="D271" s="7" t="str">
        <f>IFERROR(VLOOKUP(E271,'(新)ﾍﾞﾝﾀﾞｰ中型'!$A$3:$K$81,5,0),"")</f>
        <v/>
      </c>
      <c r="E271" s="20"/>
      <c r="F271" s="8" t="str">
        <f>IFERROR(VLOOKUP(E271,'(新)ﾍﾞﾝﾀﾞｰ中型'!$A$3:$K$81,8,0),"")</f>
        <v/>
      </c>
      <c r="G271" s="7" t="str">
        <f>IFERROR(VLOOKUP(E271,'(旧)ﾍﾞﾝﾀﾞｰ中型'!$A$3:$K$237,10,0),"")</f>
        <v/>
      </c>
      <c r="H271" s="12" t="s">
        <v>60</v>
      </c>
      <c r="I271" s="7" t="str">
        <f>IFERROR(VLOOKUP(E271,'(新)ﾍﾞﾝﾀﾞｰ中型'!$A$3:$K$81,10,0),"")</f>
        <v/>
      </c>
    </row>
    <row r="272" spans="2:9" s="19" customFormat="1" x14ac:dyDescent="0.15">
      <c r="B272" s="7" t="str">
        <f>IFERROR(VLOOKUP(E272,'(新)ﾍﾞﾝﾀﾞｰ中型'!$A$3:$K$81,2,0),"")</f>
        <v/>
      </c>
      <c r="C272" s="7" t="str">
        <f>IFERROR(VLOOKUP(E272,'(新)ﾍﾞﾝﾀﾞｰ中型'!$A$3:$K$81,4,0),"")</f>
        <v/>
      </c>
      <c r="D272" s="7" t="str">
        <f>IFERROR(VLOOKUP(E272,'(新)ﾍﾞﾝﾀﾞｰ中型'!$A$3:$K$81,5,0),"")</f>
        <v/>
      </c>
      <c r="E272" s="20"/>
      <c r="F272" s="8" t="str">
        <f>IFERROR(VLOOKUP(E272,'(新)ﾍﾞﾝﾀﾞｰ中型'!$A$3:$K$81,8,0),"")</f>
        <v/>
      </c>
      <c r="G272" s="7" t="str">
        <f>IFERROR(VLOOKUP(E272,'(旧)ﾍﾞﾝﾀﾞｰ中型'!$A$3:$K$237,10,0),"")</f>
        <v/>
      </c>
      <c r="H272" s="12" t="s">
        <v>60</v>
      </c>
      <c r="I272" s="7" t="str">
        <f>IFERROR(VLOOKUP(E272,'(新)ﾍﾞﾝﾀﾞｰ中型'!$A$3:$K$81,10,0),"")</f>
        <v/>
      </c>
    </row>
    <row r="273" spans="2:9" s="19" customFormat="1" x14ac:dyDescent="0.15">
      <c r="B273" s="7" t="str">
        <f>IFERROR(VLOOKUP(E273,'(新)ﾍﾞﾝﾀﾞｰ中型'!$A$3:$K$81,2,0),"")</f>
        <v/>
      </c>
      <c r="C273" s="7" t="str">
        <f>IFERROR(VLOOKUP(E273,'(新)ﾍﾞﾝﾀﾞｰ中型'!$A$3:$K$81,4,0),"")</f>
        <v/>
      </c>
      <c r="D273" s="7" t="str">
        <f>IFERROR(VLOOKUP(E273,'(新)ﾍﾞﾝﾀﾞｰ中型'!$A$3:$K$81,5,0),"")</f>
        <v/>
      </c>
      <c r="E273" s="20"/>
      <c r="F273" s="8" t="str">
        <f>IFERROR(VLOOKUP(E273,'(新)ﾍﾞﾝﾀﾞｰ中型'!$A$3:$K$81,8,0),"")</f>
        <v/>
      </c>
      <c r="G273" s="7" t="str">
        <f>IFERROR(VLOOKUP(E273,'(旧)ﾍﾞﾝﾀﾞｰ中型'!$A$3:$K$237,10,0),"")</f>
        <v/>
      </c>
      <c r="H273" s="12" t="s">
        <v>60</v>
      </c>
      <c r="I273" s="7" t="str">
        <f>IFERROR(VLOOKUP(E273,'(新)ﾍﾞﾝﾀﾞｰ中型'!$A$3:$K$81,10,0),"")</f>
        <v/>
      </c>
    </row>
    <row r="274" spans="2:9" s="19" customFormat="1" x14ac:dyDescent="0.15">
      <c r="B274" s="7" t="str">
        <f>IFERROR(VLOOKUP(E274,'(新)ﾍﾞﾝﾀﾞｰ中型'!$A$3:$K$81,2,0),"")</f>
        <v/>
      </c>
      <c r="C274" s="7" t="str">
        <f>IFERROR(VLOOKUP(E274,'(新)ﾍﾞﾝﾀﾞｰ中型'!$A$3:$K$81,4,0),"")</f>
        <v/>
      </c>
      <c r="D274" s="7" t="str">
        <f>IFERROR(VLOOKUP(E274,'(新)ﾍﾞﾝﾀﾞｰ中型'!$A$3:$K$81,5,0),"")</f>
        <v/>
      </c>
      <c r="E274" s="20"/>
      <c r="F274" s="8" t="str">
        <f>IFERROR(VLOOKUP(E274,'(新)ﾍﾞﾝﾀﾞｰ中型'!$A$3:$K$81,8,0),"")</f>
        <v/>
      </c>
      <c r="G274" s="7" t="str">
        <f>IFERROR(VLOOKUP(E274,'(旧)ﾍﾞﾝﾀﾞｰ中型'!$A$3:$K$237,10,0),"")</f>
        <v/>
      </c>
      <c r="H274" s="12" t="s">
        <v>60</v>
      </c>
      <c r="I274" s="7" t="str">
        <f>IFERROR(VLOOKUP(E274,'(新)ﾍﾞﾝﾀﾞｰ中型'!$A$3:$K$81,10,0),"")</f>
        <v/>
      </c>
    </row>
    <row r="275" spans="2:9" s="19" customFormat="1" x14ac:dyDescent="0.15">
      <c r="B275" s="7" t="str">
        <f>IFERROR(VLOOKUP(E275,'(新)ﾍﾞﾝﾀﾞｰ中型'!$A$3:$K$81,2,0),"")</f>
        <v/>
      </c>
      <c r="C275" s="7" t="str">
        <f>IFERROR(VLOOKUP(E275,'(新)ﾍﾞﾝﾀﾞｰ中型'!$A$3:$K$81,4,0),"")</f>
        <v/>
      </c>
      <c r="D275" s="7" t="str">
        <f>IFERROR(VLOOKUP(E275,'(新)ﾍﾞﾝﾀﾞｰ中型'!$A$3:$K$81,5,0),"")</f>
        <v/>
      </c>
      <c r="E275" s="20"/>
      <c r="F275" s="8" t="str">
        <f>IFERROR(VLOOKUP(E275,'(新)ﾍﾞﾝﾀﾞｰ中型'!$A$3:$K$81,8,0),"")</f>
        <v/>
      </c>
      <c r="G275" s="7" t="str">
        <f>IFERROR(VLOOKUP(E275,'(旧)ﾍﾞﾝﾀﾞｰ中型'!$A$3:$K$237,10,0),"")</f>
        <v/>
      </c>
      <c r="H275" s="12" t="s">
        <v>60</v>
      </c>
      <c r="I275" s="7" t="str">
        <f>IFERROR(VLOOKUP(E275,'(新)ﾍﾞﾝﾀﾞｰ中型'!$A$3:$K$81,10,0),"")</f>
        <v/>
      </c>
    </row>
    <row r="276" spans="2:9" s="19" customFormat="1" x14ac:dyDescent="0.15">
      <c r="B276" s="7" t="str">
        <f>IFERROR(VLOOKUP(E276,'(新)ﾍﾞﾝﾀﾞｰ中型'!$A$3:$K$81,2,0),"")</f>
        <v/>
      </c>
      <c r="C276" s="7" t="str">
        <f>IFERROR(VLOOKUP(E276,'(新)ﾍﾞﾝﾀﾞｰ中型'!$A$3:$K$81,4,0),"")</f>
        <v/>
      </c>
      <c r="D276" s="7" t="str">
        <f>IFERROR(VLOOKUP(E276,'(新)ﾍﾞﾝﾀﾞｰ中型'!$A$3:$K$81,5,0),"")</f>
        <v/>
      </c>
      <c r="E276" s="20"/>
      <c r="F276" s="8" t="str">
        <f>IFERROR(VLOOKUP(E276,'(新)ﾍﾞﾝﾀﾞｰ中型'!$A$3:$K$81,8,0),"")</f>
        <v/>
      </c>
      <c r="G276" s="7" t="str">
        <f>IFERROR(VLOOKUP(E276,'(旧)ﾍﾞﾝﾀﾞｰ中型'!$A$3:$K$237,10,0),"")</f>
        <v/>
      </c>
      <c r="H276" s="12" t="s">
        <v>60</v>
      </c>
      <c r="I276" s="7" t="str">
        <f>IFERROR(VLOOKUP(E276,'(新)ﾍﾞﾝﾀﾞｰ中型'!$A$3:$K$81,10,0),"")</f>
        <v/>
      </c>
    </row>
    <row r="277" spans="2:9" s="19" customFormat="1" x14ac:dyDescent="0.15">
      <c r="B277" s="7" t="str">
        <f>IFERROR(VLOOKUP(E277,'(新)ﾍﾞﾝﾀﾞｰ中型'!$A$3:$K$81,2,0),"")</f>
        <v/>
      </c>
      <c r="C277" s="7" t="str">
        <f>IFERROR(VLOOKUP(E277,'(新)ﾍﾞﾝﾀﾞｰ中型'!$A$3:$K$81,4,0),"")</f>
        <v/>
      </c>
      <c r="D277" s="7" t="str">
        <f>IFERROR(VLOOKUP(E277,'(新)ﾍﾞﾝﾀﾞｰ中型'!$A$3:$K$81,5,0),"")</f>
        <v/>
      </c>
      <c r="E277" s="20"/>
      <c r="F277" s="8" t="str">
        <f>IFERROR(VLOOKUP(E277,'(新)ﾍﾞﾝﾀﾞｰ中型'!$A$3:$K$81,8,0),"")</f>
        <v/>
      </c>
      <c r="G277" s="7" t="str">
        <f>IFERROR(VLOOKUP(E277,'(旧)ﾍﾞﾝﾀﾞｰ中型'!$A$3:$K$237,10,0),"")</f>
        <v/>
      </c>
      <c r="H277" s="12" t="s">
        <v>60</v>
      </c>
      <c r="I277" s="7" t="str">
        <f>IFERROR(VLOOKUP(E277,'(新)ﾍﾞﾝﾀﾞｰ中型'!$A$3:$K$81,10,0),"")</f>
        <v/>
      </c>
    </row>
    <row r="278" spans="2:9" s="19" customFormat="1" x14ac:dyDescent="0.15">
      <c r="B278" s="7" t="str">
        <f>IFERROR(VLOOKUP(E278,'(新)ﾍﾞﾝﾀﾞｰ中型'!$A$3:$K$81,2,0),"")</f>
        <v/>
      </c>
      <c r="C278" s="7" t="str">
        <f>IFERROR(VLOOKUP(E278,'(新)ﾍﾞﾝﾀﾞｰ中型'!$A$3:$K$81,4,0),"")</f>
        <v/>
      </c>
      <c r="D278" s="7" t="str">
        <f>IFERROR(VLOOKUP(E278,'(新)ﾍﾞﾝﾀﾞｰ中型'!$A$3:$K$81,5,0),"")</f>
        <v/>
      </c>
      <c r="E278" s="20"/>
      <c r="F278" s="8" t="str">
        <f>IFERROR(VLOOKUP(E278,'(新)ﾍﾞﾝﾀﾞｰ中型'!$A$3:$K$81,8,0),"")</f>
        <v/>
      </c>
      <c r="G278" s="7" t="str">
        <f>IFERROR(VLOOKUP(E278,'(旧)ﾍﾞﾝﾀﾞｰ中型'!$A$3:$K$237,10,0),"")</f>
        <v/>
      </c>
      <c r="H278" s="12" t="s">
        <v>60</v>
      </c>
      <c r="I278" s="7" t="str">
        <f>IFERROR(VLOOKUP(E278,'(新)ﾍﾞﾝﾀﾞｰ中型'!$A$3:$K$81,10,0),"")</f>
        <v/>
      </c>
    </row>
    <row r="279" spans="2:9" s="19" customFormat="1" x14ac:dyDescent="0.15">
      <c r="B279" s="7" t="str">
        <f>IFERROR(VLOOKUP(E279,'(新)ﾍﾞﾝﾀﾞｰ中型'!$A$3:$K$81,2,0),"")</f>
        <v/>
      </c>
      <c r="C279" s="7" t="str">
        <f>IFERROR(VLOOKUP(E279,'(新)ﾍﾞﾝﾀﾞｰ中型'!$A$3:$K$81,4,0),"")</f>
        <v/>
      </c>
      <c r="D279" s="7" t="str">
        <f>IFERROR(VLOOKUP(E279,'(新)ﾍﾞﾝﾀﾞｰ中型'!$A$3:$K$81,5,0),"")</f>
        <v/>
      </c>
      <c r="E279" s="20"/>
      <c r="F279" s="8" t="str">
        <f>IFERROR(VLOOKUP(E279,'(新)ﾍﾞﾝﾀﾞｰ中型'!$A$3:$K$81,8,0),"")</f>
        <v/>
      </c>
      <c r="G279" s="7" t="str">
        <f>IFERROR(VLOOKUP(E279,'(旧)ﾍﾞﾝﾀﾞｰ中型'!$A$3:$K$237,10,0),"")</f>
        <v/>
      </c>
      <c r="H279" s="12" t="s">
        <v>60</v>
      </c>
      <c r="I279" s="7" t="str">
        <f>IFERROR(VLOOKUP(E279,'(新)ﾍﾞﾝﾀﾞｰ中型'!$A$3:$K$81,10,0),"")</f>
        <v/>
      </c>
    </row>
    <row r="280" spans="2:9" s="19" customFormat="1" x14ac:dyDescent="0.15">
      <c r="B280" s="7" t="str">
        <f>IFERROR(VLOOKUP(E280,'(新)ﾍﾞﾝﾀﾞｰ中型'!$A$3:$K$81,2,0),"")</f>
        <v/>
      </c>
      <c r="C280" s="7" t="str">
        <f>IFERROR(VLOOKUP(E280,'(新)ﾍﾞﾝﾀﾞｰ中型'!$A$3:$K$81,4,0),"")</f>
        <v/>
      </c>
      <c r="D280" s="7" t="str">
        <f>IFERROR(VLOOKUP(E280,'(新)ﾍﾞﾝﾀﾞｰ中型'!$A$3:$K$81,5,0),"")</f>
        <v/>
      </c>
      <c r="E280" s="20"/>
      <c r="F280" s="8" t="str">
        <f>IFERROR(VLOOKUP(E280,'(新)ﾍﾞﾝﾀﾞｰ中型'!$A$3:$K$81,8,0),"")</f>
        <v/>
      </c>
      <c r="G280" s="7" t="str">
        <f>IFERROR(VLOOKUP(E280,'(旧)ﾍﾞﾝﾀﾞｰ中型'!$A$3:$K$237,10,0),"")</f>
        <v/>
      </c>
      <c r="H280" s="12" t="s">
        <v>60</v>
      </c>
      <c r="I280" s="7" t="str">
        <f>IFERROR(VLOOKUP(E280,'(新)ﾍﾞﾝﾀﾞｰ中型'!$A$3:$K$81,10,0),"")</f>
        <v/>
      </c>
    </row>
    <row r="281" spans="2:9" s="19" customFormat="1" x14ac:dyDescent="0.15">
      <c r="B281" s="7" t="str">
        <f>IFERROR(VLOOKUP(E281,'(新)ﾍﾞﾝﾀﾞｰ中型'!$A$3:$K$81,2,0),"")</f>
        <v/>
      </c>
      <c r="C281" s="7" t="str">
        <f>IFERROR(VLOOKUP(E281,'(新)ﾍﾞﾝﾀﾞｰ中型'!$A$3:$K$81,4,0),"")</f>
        <v/>
      </c>
      <c r="D281" s="7" t="str">
        <f>IFERROR(VLOOKUP(E281,'(新)ﾍﾞﾝﾀﾞｰ中型'!$A$3:$K$81,5,0),"")</f>
        <v/>
      </c>
      <c r="E281" s="20"/>
      <c r="F281" s="8" t="str">
        <f>IFERROR(VLOOKUP(E281,'(新)ﾍﾞﾝﾀﾞｰ中型'!$A$3:$K$81,8,0),"")</f>
        <v/>
      </c>
      <c r="G281" s="7" t="str">
        <f>IFERROR(VLOOKUP(E281,'(旧)ﾍﾞﾝﾀﾞｰ中型'!$A$3:$K$237,10,0),"")</f>
        <v/>
      </c>
      <c r="H281" s="12" t="s">
        <v>60</v>
      </c>
      <c r="I281" s="7" t="str">
        <f>IFERROR(VLOOKUP(E281,'(新)ﾍﾞﾝﾀﾞｰ中型'!$A$3:$K$81,10,0),"")</f>
        <v/>
      </c>
    </row>
    <row r="282" spans="2:9" s="19" customFormat="1" x14ac:dyDescent="0.15">
      <c r="B282" s="7" t="str">
        <f>IFERROR(VLOOKUP(E282,'(新)ﾍﾞﾝﾀﾞｰ中型'!$A$3:$K$81,2,0),"")</f>
        <v/>
      </c>
      <c r="C282" s="7" t="str">
        <f>IFERROR(VLOOKUP(E282,'(新)ﾍﾞﾝﾀﾞｰ中型'!$A$3:$K$81,4,0),"")</f>
        <v/>
      </c>
      <c r="D282" s="7" t="str">
        <f>IFERROR(VLOOKUP(E282,'(新)ﾍﾞﾝﾀﾞｰ中型'!$A$3:$K$81,5,0),"")</f>
        <v/>
      </c>
      <c r="E282" s="20"/>
      <c r="F282" s="8" t="str">
        <f>IFERROR(VLOOKUP(E282,'(新)ﾍﾞﾝﾀﾞｰ中型'!$A$3:$K$81,8,0),"")</f>
        <v/>
      </c>
      <c r="G282" s="7" t="str">
        <f>IFERROR(VLOOKUP(E282,'(旧)ﾍﾞﾝﾀﾞｰ中型'!$A$3:$K$237,10,0),"")</f>
        <v/>
      </c>
      <c r="H282" s="12" t="s">
        <v>60</v>
      </c>
      <c r="I282" s="7" t="str">
        <f>IFERROR(VLOOKUP(E282,'(新)ﾍﾞﾝﾀﾞｰ中型'!$A$3:$K$81,10,0),"")</f>
        <v/>
      </c>
    </row>
    <row r="283" spans="2:9" s="19" customFormat="1" x14ac:dyDescent="0.15">
      <c r="B283" s="7" t="str">
        <f>IFERROR(VLOOKUP(E283,'(新)ﾍﾞﾝﾀﾞｰ中型'!$A$3:$K$81,2,0),"")</f>
        <v/>
      </c>
      <c r="C283" s="7" t="str">
        <f>IFERROR(VLOOKUP(E283,'(新)ﾍﾞﾝﾀﾞｰ中型'!$A$3:$K$81,4,0),"")</f>
        <v/>
      </c>
      <c r="D283" s="7" t="str">
        <f>IFERROR(VLOOKUP(E283,'(新)ﾍﾞﾝﾀﾞｰ中型'!$A$3:$K$81,5,0),"")</f>
        <v/>
      </c>
      <c r="E283" s="20"/>
      <c r="F283" s="8" t="str">
        <f>IFERROR(VLOOKUP(E283,'(新)ﾍﾞﾝﾀﾞｰ中型'!$A$3:$K$81,8,0),"")</f>
        <v/>
      </c>
      <c r="G283" s="7" t="str">
        <f>IFERROR(VLOOKUP(E283,'(旧)ﾍﾞﾝﾀﾞｰ中型'!$A$3:$K$237,10,0),"")</f>
        <v/>
      </c>
      <c r="H283" s="12" t="s">
        <v>60</v>
      </c>
      <c r="I283" s="7" t="str">
        <f>IFERROR(VLOOKUP(E283,'(新)ﾍﾞﾝﾀﾞｰ中型'!$A$3:$K$81,10,0),"")</f>
        <v/>
      </c>
    </row>
    <row r="284" spans="2:9" s="19" customFormat="1" x14ac:dyDescent="0.15">
      <c r="B284" s="7" t="str">
        <f>IFERROR(VLOOKUP(E284,'(新)ﾍﾞﾝﾀﾞｰ中型'!$A$3:$K$81,2,0),"")</f>
        <v/>
      </c>
      <c r="C284" s="7" t="str">
        <f>IFERROR(VLOOKUP(E284,'(新)ﾍﾞﾝﾀﾞｰ中型'!$A$3:$K$81,4,0),"")</f>
        <v/>
      </c>
      <c r="D284" s="7" t="str">
        <f>IFERROR(VLOOKUP(E284,'(新)ﾍﾞﾝﾀﾞｰ中型'!$A$3:$K$81,5,0),"")</f>
        <v/>
      </c>
      <c r="E284" s="20"/>
      <c r="F284" s="8" t="str">
        <f>IFERROR(VLOOKUP(E284,'(新)ﾍﾞﾝﾀﾞｰ中型'!$A$3:$K$81,8,0),"")</f>
        <v/>
      </c>
      <c r="G284" s="7" t="str">
        <f>IFERROR(VLOOKUP(E284,'(旧)ﾍﾞﾝﾀﾞｰ中型'!$A$3:$K$237,10,0),"")</f>
        <v/>
      </c>
      <c r="H284" s="12" t="s">
        <v>60</v>
      </c>
      <c r="I284" s="7" t="str">
        <f>IFERROR(VLOOKUP(E284,'(新)ﾍﾞﾝﾀﾞｰ中型'!$A$3:$K$81,10,0),"")</f>
        <v/>
      </c>
    </row>
    <row r="285" spans="2:9" s="19" customFormat="1" x14ac:dyDescent="0.15">
      <c r="B285" s="7" t="str">
        <f>IFERROR(VLOOKUP(E285,'(新)ﾍﾞﾝﾀﾞｰ中型'!$A$3:$K$81,2,0),"")</f>
        <v/>
      </c>
      <c r="C285" s="7" t="str">
        <f>IFERROR(VLOOKUP(E285,'(新)ﾍﾞﾝﾀﾞｰ中型'!$A$3:$K$81,4,0),"")</f>
        <v/>
      </c>
      <c r="D285" s="7" t="str">
        <f>IFERROR(VLOOKUP(E285,'(新)ﾍﾞﾝﾀﾞｰ中型'!$A$3:$K$81,5,0),"")</f>
        <v/>
      </c>
      <c r="E285" s="20"/>
      <c r="F285" s="8" t="str">
        <f>IFERROR(VLOOKUP(E285,'(新)ﾍﾞﾝﾀﾞｰ中型'!$A$3:$K$81,8,0),"")</f>
        <v/>
      </c>
      <c r="G285" s="7" t="str">
        <f>IFERROR(VLOOKUP(E285,'(旧)ﾍﾞﾝﾀﾞｰ中型'!$A$3:$K$237,10,0),"")</f>
        <v/>
      </c>
      <c r="H285" s="12" t="s">
        <v>60</v>
      </c>
      <c r="I285" s="7" t="str">
        <f>IFERROR(VLOOKUP(E285,'(新)ﾍﾞﾝﾀﾞｰ中型'!$A$3:$K$81,10,0),"")</f>
        <v/>
      </c>
    </row>
    <row r="286" spans="2:9" x14ac:dyDescent="0.15">
      <c r="B286" s="17" t="str">
        <f>IFERROR(VLOOKUP(E286,'(新)ﾍﾞﾝﾀﾞｰ中型'!$A$3:$K$81,2,0),"")</f>
        <v/>
      </c>
      <c r="C286" s="17" t="str">
        <f>IFERROR(VLOOKUP(E286,'(新)ﾍﾞﾝﾀﾞｰ中型'!$A$3:$K$81,4,0),"")</f>
        <v/>
      </c>
      <c r="D286" s="17" t="str">
        <f>IFERROR(VLOOKUP(E286,'(新)ﾍﾞﾝﾀﾞｰ中型'!$A$3:$K$81,5,0),"")</f>
        <v/>
      </c>
      <c r="E286" s="13"/>
      <c r="F286" s="18" t="str">
        <f>IFERROR(VLOOKUP(E286,'(新)ﾍﾞﾝﾀﾞｰ中型'!$A$3:$K$81,8,0),"")</f>
        <v/>
      </c>
      <c r="G286" s="17" t="str">
        <f>IFERROR(VLOOKUP(E286,'(旧)ﾍﾞﾝﾀﾞｰ中型'!$A$3:$K$237,10,0),"")</f>
        <v/>
      </c>
      <c r="H286" s="12" t="s">
        <v>60</v>
      </c>
      <c r="I286" s="17" t="str">
        <f>IFERROR(VLOOKUP(E286,'(新)ﾍﾞﾝﾀﾞｰ中型'!$A$3:$K$81,10,0),"")</f>
        <v/>
      </c>
    </row>
    <row r="287" spans="2:9" x14ac:dyDescent="0.15">
      <c r="B287" s="17" t="str">
        <f>IFERROR(VLOOKUP(E287,'(新)ﾍﾞﾝﾀﾞｰ中型'!$A$3:$K$81,2,0),"")</f>
        <v/>
      </c>
      <c r="C287" s="17" t="str">
        <f>IFERROR(VLOOKUP(E287,'(新)ﾍﾞﾝﾀﾞｰ中型'!$A$3:$K$81,4,0),"")</f>
        <v/>
      </c>
      <c r="D287" s="17" t="str">
        <f>IFERROR(VLOOKUP(E287,'(新)ﾍﾞﾝﾀﾞｰ中型'!$A$3:$K$81,5,0),"")</f>
        <v/>
      </c>
      <c r="E287" s="13"/>
      <c r="F287" s="18" t="str">
        <f>IFERROR(VLOOKUP(E287,'(新)ﾍﾞﾝﾀﾞｰ中型'!$A$3:$K$81,8,0),"")</f>
        <v/>
      </c>
      <c r="G287" s="17" t="str">
        <f>IFERROR(VLOOKUP(E287,'(旧)ﾍﾞﾝﾀﾞｰ中型'!$A$3:$K$237,10,0),"")</f>
        <v/>
      </c>
      <c r="H287" s="12" t="s">
        <v>60</v>
      </c>
      <c r="I287" s="17" t="str">
        <f>IFERROR(VLOOKUP(E287,'(新)ﾍﾞﾝﾀﾞｰ中型'!$A$3:$K$81,10,0),"")</f>
        <v/>
      </c>
    </row>
    <row r="288" spans="2:9" x14ac:dyDescent="0.15">
      <c r="B288" s="17" t="str">
        <f>IFERROR(VLOOKUP(E288,'(新)ﾍﾞﾝﾀﾞｰ中型'!$A$3:$K$81,2,0),"")</f>
        <v/>
      </c>
      <c r="C288" s="17" t="str">
        <f>IFERROR(VLOOKUP(E288,'(新)ﾍﾞﾝﾀﾞｰ中型'!$A$3:$K$81,4,0),"")</f>
        <v/>
      </c>
      <c r="D288" s="17" t="str">
        <f>IFERROR(VLOOKUP(E288,'(新)ﾍﾞﾝﾀﾞｰ中型'!$A$3:$K$81,5,0),"")</f>
        <v/>
      </c>
      <c r="E288" s="13"/>
      <c r="F288" s="18" t="str">
        <f>IFERROR(VLOOKUP(E288,'(新)ﾍﾞﾝﾀﾞｰ中型'!$A$3:$K$81,8,0),"")</f>
        <v/>
      </c>
      <c r="G288" s="17" t="str">
        <f>IFERROR(VLOOKUP(E288,'(旧)ﾍﾞﾝﾀﾞｰ中型'!$A$3:$K$237,10,0),"")</f>
        <v/>
      </c>
      <c r="H288" s="12" t="s">
        <v>60</v>
      </c>
      <c r="I288" s="17" t="str">
        <f>IFERROR(VLOOKUP(E288,'(新)ﾍﾞﾝﾀﾞｰ中型'!$A$3:$K$81,10,0),"")</f>
        <v/>
      </c>
    </row>
    <row r="289" spans="2:9" x14ac:dyDescent="0.15">
      <c r="B289" s="17" t="str">
        <f>IFERROR(VLOOKUP(E289,'(新)ﾍﾞﾝﾀﾞｰ中型'!$A$3:$K$81,2,0),"")</f>
        <v/>
      </c>
      <c r="C289" s="17" t="str">
        <f>IFERROR(VLOOKUP(E289,'(新)ﾍﾞﾝﾀﾞｰ中型'!$A$3:$K$81,4,0),"")</f>
        <v/>
      </c>
      <c r="D289" s="17" t="str">
        <f>IFERROR(VLOOKUP(E289,'(新)ﾍﾞﾝﾀﾞｰ中型'!$A$3:$K$81,5,0),"")</f>
        <v/>
      </c>
      <c r="E289" s="13"/>
      <c r="F289" s="18" t="str">
        <f>IFERROR(VLOOKUP(E289,'(新)ﾍﾞﾝﾀﾞｰ中型'!$A$3:$K$81,8,0),"")</f>
        <v/>
      </c>
      <c r="G289" s="17" t="str">
        <f>IFERROR(VLOOKUP(E289,'(旧)ﾍﾞﾝﾀﾞｰ中型'!$A$3:$K$237,10,0),"")</f>
        <v/>
      </c>
      <c r="H289" s="12" t="s">
        <v>60</v>
      </c>
      <c r="I289" s="17" t="str">
        <f>IFERROR(VLOOKUP(E289,'(新)ﾍﾞﾝﾀﾞｰ中型'!$A$3:$K$81,10,0),"")</f>
        <v/>
      </c>
    </row>
    <row r="290" spans="2:9" x14ac:dyDescent="0.15">
      <c r="B290" s="17" t="str">
        <f>IFERROR(VLOOKUP(E290,'(新)ﾍﾞﾝﾀﾞｰ中型'!$A$3:$K$81,2,0),"")</f>
        <v/>
      </c>
      <c r="C290" s="17" t="str">
        <f>IFERROR(VLOOKUP(E290,'(新)ﾍﾞﾝﾀﾞｰ中型'!$A$3:$K$81,4,0),"")</f>
        <v/>
      </c>
      <c r="D290" s="17" t="str">
        <f>IFERROR(VLOOKUP(E290,'(新)ﾍﾞﾝﾀﾞｰ中型'!$A$3:$K$81,5,0),"")</f>
        <v/>
      </c>
      <c r="E290" s="13"/>
      <c r="F290" s="18" t="str">
        <f>IFERROR(VLOOKUP(E290,'(新)ﾍﾞﾝﾀﾞｰ中型'!$A$3:$K$81,8,0),"")</f>
        <v/>
      </c>
      <c r="G290" s="17" t="str">
        <f>IFERROR(VLOOKUP(E290,'(旧)ﾍﾞﾝﾀﾞｰ中型'!$A$3:$K$237,10,0),"")</f>
        <v/>
      </c>
      <c r="H290" s="12" t="s">
        <v>60</v>
      </c>
      <c r="I290" s="17" t="str">
        <f>IFERROR(VLOOKUP(E290,'(新)ﾍﾞﾝﾀﾞｰ中型'!$A$3:$K$81,10,0),"")</f>
        <v/>
      </c>
    </row>
    <row r="291" spans="2:9" x14ac:dyDescent="0.15">
      <c r="B291" s="17" t="str">
        <f>IFERROR(VLOOKUP(E291,'(新)ﾍﾞﾝﾀﾞｰ中型'!$A$3:$K$81,2,0),"")</f>
        <v/>
      </c>
      <c r="C291" s="17" t="str">
        <f>IFERROR(VLOOKUP(E291,'(新)ﾍﾞﾝﾀﾞｰ中型'!$A$3:$K$81,4,0),"")</f>
        <v/>
      </c>
      <c r="D291" s="17" t="str">
        <f>IFERROR(VLOOKUP(E291,'(新)ﾍﾞﾝﾀﾞｰ中型'!$A$3:$K$81,5,0),"")</f>
        <v/>
      </c>
      <c r="E291" s="13"/>
      <c r="F291" s="18" t="str">
        <f>IFERROR(VLOOKUP(E291,'(新)ﾍﾞﾝﾀﾞｰ中型'!$A$3:$K$81,8,0),"")</f>
        <v/>
      </c>
      <c r="G291" s="17" t="str">
        <f>IFERROR(VLOOKUP(E291,'(旧)ﾍﾞﾝﾀﾞｰ中型'!$A$3:$K$237,10,0),"")</f>
        <v/>
      </c>
      <c r="H291" s="12" t="s">
        <v>60</v>
      </c>
      <c r="I291" s="17" t="str">
        <f>IFERROR(VLOOKUP(E291,'(新)ﾍﾞﾝﾀﾞｰ中型'!$A$3:$K$81,10,0),"")</f>
        <v/>
      </c>
    </row>
    <row r="292" spans="2:9" x14ac:dyDescent="0.15">
      <c r="B292" s="17" t="str">
        <f>IFERROR(VLOOKUP(E292,'(新)ﾍﾞﾝﾀﾞｰ中型'!$A$3:$K$81,2,0),"")</f>
        <v/>
      </c>
      <c r="C292" s="17" t="str">
        <f>IFERROR(VLOOKUP(E292,'(新)ﾍﾞﾝﾀﾞｰ中型'!$A$3:$K$81,4,0),"")</f>
        <v/>
      </c>
      <c r="D292" s="17" t="str">
        <f>IFERROR(VLOOKUP(E292,'(新)ﾍﾞﾝﾀﾞｰ中型'!$A$3:$K$81,5,0),"")</f>
        <v/>
      </c>
      <c r="E292" s="13"/>
      <c r="F292" s="18" t="str">
        <f>IFERROR(VLOOKUP(E292,'(新)ﾍﾞﾝﾀﾞｰ中型'!$A$3:$K$81,8,0),"")</f>
        <v/>
      </c>
      <c r="G292" s="17" t="str">
        <f>IFERROR(VLOOKUP(E292,'(旧)ﾍﾞﾝﾀﾞｰ中型'!$A$3:$K$237,10,0),"")</f>
        <v/>
      </c>
      <c r="H292" s="12" t="s">
        <v>60</v>
      </c>
      <c r="I292" s="17" t="str">
        <f>IFERROR(VLOOKUP(E292,'(新)ﾍﾞﾝﾀﾞｰ中型'!$A$3:$K$81,10,0),"")</f>
        <v/>
      </c>
    </row>
    <row r="293" spans="2:9" x14ac:dyDescent="0.15">
      <c r="B293" s="17" t="str">
        <f>IFERROR(VLOOKUP(E293,'(新)ﾍﾞﾝﾀﾞｰ中型'!$A$3:$K$81,2,0),"")</f>
        <v/>
      </c>
      <c r="C293" s="17" t="str">
        <f>IFERROR(VLOOKUP(E293,'(新)ﾍﾞﾝﾀﾞｰ中型'!$A$3:$K$81,4,0),"")</f>
        <v/>
      </c>
      <c r="D293" s="17" t="str">
        <f>IFERROR(VLOOKUP(E293,'(新)ﾍﾞﾝﾀﾞｰ中型'!$A$3:$K$81,5,0),"")</f>
        <v/>
      </c>
      <c r="E293" s="13"/>
      <c r="F293" s="18" t="str">
        <f>IFERROR(VLOOKUP(E293,'(新)ﾍﾞﾝﾀﾞｰ中型'!$A$3:$K$81,8,0),"")</f>
        <v/>
      </c>
      <c r="G293" s="17" t="str">
        <f>IFERROR(VLOOKUP(E293,'(旧)ﾍﾞﾝﾀﾞｰ中型'!$A$3:$K$237,10,0),"")</f>
        <v/>
      </c>
      <c r="H293" s="12" t="s">
        <v>60</v>
      </c>
      <c r="I293" s="17" t="str">
        <f>IFERROR(VLOOKUP(E293,'(新)ﾍﾞﾝﾀﾞｰ中型'!$A$3:$K$81,10,0),"")</f>
        <v/>
      </c>
    </row>
    <row r="294" spans="2:9" x14ac:dyDescent="0.15">
      <c r="B294" s="17" t="str">
        <f>IFERROR(VLOOKUP(E294,'(新)ﾍﾞﾝﾀﾞｰ中型'!$A$3:$K$81,2,0),"")</f>
        <v/>
      </c>
      <c r="C294" s="17" t="str">
        <f>IFERROR(VLOOKUP(E294,'(新)ﾍﾞﾝﾀﾞｰ中型'!$A$3:$K$81,4,0),"")</f>
        <v/>
      </c>
      <c r="D294" s="17" t="str">
        <f>IFERROR(VLOOKUP(E294,'(新)ﾍﾞﾝﾀﾞｰ中型'!$A$3:$K$81,5,0),"")</f>
        <v/>
      </c>
      <c r="E294" s="13"/>
      <c r="F294" s="18" t="str">
        <f>IFERROR(VLOOKUP(E294,'(新)ﾍﾞﾝﾀﾞｰ中型'!$A$3:$K$81,8,0),"")</f>
        <v/>
      </c>
      <c r="G294" s="17" t="str">
        <f>IFERROR(VLOOKUP(E294,'(旧)ﾍﾞﾝﾀﾞｰ中型'!$A$3:$K$237,10,0),"")</f>
        <v/>
      </c>
      <c r="H294" s="12" t="s">
        <v>60</v>
      </c>
      <c r="I294" s="17" t="str">
        <f>IFERROR(VLOOKUP(E294,'(新)ﾍﾞﾝﾀﾞｰ中型'!$A$3:$K$81,10,0),"")</f>
        <v/>
      </c>
    </row>
    <row r="295" spans="2:9" x14ac:dyDescent="0.15">
      <c r="B295" s="17" t="str">
        <f>IFERROR(VLOOKUP(E295,'(新)ﾍﾞﾝﾀﾞｰ中型'!$A$3:$K$81,2,0),"")</f>
        <v/>
      </c>
      <c r="C295" s="17" t="str">
        <f>IFERROR(VLOOKUP(E295,'(新)ﾍﾞﾝﾀﾞｰ中型'!$A$3:$K$81,4,0),"")</f>
        <v/>
      </c>
      <c r="D295" s="17" t="str">
        <f>IFERROR(VLOOKUP(E295,'(新)ﾍﾞﾝﾀﾞｰ中型'!$A$3:$K$81,5,0),"")</f>
        <v/>
      </c>
      <c r="E295" s="13"/>
      <c r="F295" s="18" t="str">
        <f>IFERROR(VLOOKUP(E295,'(新)ﾍﾞﾝﾀﾞｰ中型'!$A$3:$K$81,8,0),"")</f>
        <v/>
      </c>
      <c r="G295" s="17" t="str">
        <f>IFERROR(VLOOKUP(E295,'(旧)ﾍﾞﾝﾀﾞｰ中型'!$A$3:$K$237,10,0),"")</f>
        <v/>
      </c>
      <c r="H295" s="12" t="s">
        <v>60</v>
      </c>
      <c r="I295" s="17" t="str">
        <f>IFERROR(VLOOKUP(E295,'(新)ﾍﾞﾝﾀﾞｰ中型'!$A$3:$K$81,10,0),"")</f>
        <v/>
      </c>
    </row>
    <row r="296" spans="2:9" x14ac:dyDescent="0.15">
      <c r="B296" s="17" t="str">
        <f>IFERROR(VLOOKUP(E296,'(新)ﾍﾞﾝﾀﾞｰ中型'!$A$3:$K$81,2,0),"")</f>
        <v/>
      </c>
      <c r="C296" s="17" t="str">
        <f>IFERROR(VLOOKUP(E296,'(新)ﾍﾞﾝﾀﾞｰ中型'!$A$3:$K$81,4,0),"")</f>
        <v/>
      </c>
      <c r="D296" s="17" t="str">
        <f>IFERROR(VLOOKUP(E296,'(新)ﾍﾞﾝﾀﾞｰ中型'!$A$3:$K$81,5,0),"")</f>
        <v/>
      </c>
      <c r="E296" s="13"/>
      <c r="F296" s="18" t="str">
        <f>IFERROR(VLOOKUP(E296,'(新)ﾍﾞﾝﾀﾞｰ中型'!$A$3:$K$81,8,0),"")</f>
        <v/>
      </c>
      <c r="G296" s="17" t="str">
        <f>IFERROR(VLOOKUP(E296,'(旧)ﾍﾞﾝﾀﾞｰ中型'!$A$3:$K$237,10,0),"")</f>
        <v/>
      </c>
      <c r="H296" s="12" t="s">
        <v>60</v>
      </c>
      <c r="I296" s="17" t="str">
        <f>IFERROR(VLOOKUP(E296,'(新)ﾍﾞﾝﾀﾞｰ中型'!$A$3:$K$81,10,0),"")</f>
        <v/>
      </c>
    </row>
    <row r="297" spans="2:9" x14ac:dyDescent="0.15">
      <c r="B297" s="17" t="str">
        <f>IFERROR(VLOOKUP(E297,'(新)ﾍﾞﾝﾀﾞｰ中型'!$A$3:$K$81,2,0),"")</f>
        <v/>
      </c>
      <c r="C297" s="17" t="str">
        <f>IFERROR(VLOOKUP(E297,'(新)ﾍﾞﾝﾀﾞｰ中型'!$A$3:$K$81,4,0),"")</f>
        <v/>
      </c>
      <c r="D297" s="17" t="str">
        <f>IFERROR(VLOOKUP(E297,'(新)ﾍﾞﾝﾀﾞｰ中型'!$A$3:$K$81,5,0),"")</f>
        <v/>
      </c>
      <c r="E297" s="13"/>
      <c r="F297" s="18" t="str">
        <f>IFERROR(VLOOKUP(E297,'(新)ﾍﾞﾝﾀﾞｰ中型'!$A$3:$K$81,8,0),"")</f>
        <v/>
      </c>
      <c r="G297" s="17" t="str">
        <f>IFERROR(VLOOKUP(E297,'(旧)ﾍﾞﾝﾀﾞｰ中型'!$A$3:$K$237,10,0),"")</f>
        <v/>
      </c>
      <c r="H297" s="12" t="s">
        <v>60</v>
      </c>
      <c r="I297" s="17" t="str">
        <f>IFERROR(VLOOKUP(E297,'(新)ﾍﾞﾝﾀﾞｰ中型'!$A$3:$K$81,10,0),"")</f>
        <v/>
      </c>
    </row>
    <row r="298" spans="2:9" x14ac:dyDescent="0.15">
      <c r="B298" s="17" t="str">
        <f>IFERROR(VLOOKUP(E298,'(新)ﾍﾞﾝﾀﾞｰ中型'!$A$3:$K$81,2,0),"")</f>
        <v/>
      </c>
      <c r="C298" s="17" t="str">
        <f>IFERROR(VLOOKUP(E298,'(新)ﾍﾞﾝﾀﾞｰ中型'!$A$3:$K$81,4,0),"")</f>
        <v/>
      </c>
      <c r="D298" s="17" t="str">
        <f>IFERROR(VLOOKUP(E298,'(新)ﾍﾞﾝﾀﾞｰ中型'!$A$3:$K$81,5,0),"")</f>
        <v/>
      </c>
      <c r="E298" s="13"/>
      <c r="F298" s="18" t="str">
        <f>IFERROR(VLOOKUP(E298,'(新)ﾍﾞﾝﾀﾞｰ中型'!$A$3:$K$81,8,0),"")</f>
        <v/>
      </c>
      <c r="G298" s="17" t="str">
        <f>IFERROR(VLOOKUP(E298,'(旧)ﾍﾞﾝﾀﾞｰ中型'!$A$3:$K$237,10,0),"")</f>
        <v/>
      </c>
      <c r="H298" s="12" t="s">
        <v>60</v>
      </c>
      <c r="I298" s="17" t="str">
        <f>IFERROR(VLOOKUP(E298,'(新)ﾍﾞﾝﾀﾞｰ中型'!$A$3:$K$81,10,0),"")</f>
        <v/>
      </c>
    </row>
    <row r="299" spans="2:9" x14ac:dyDescent="0.15">
      <c r="B299" s="17" t="str">
        <f>IFERROR(VLOOKUP(E299,'(新)ﾍﾞﾝﾀﾞｰ中型'!$A$3:$K$81,2,0),"")</f>
        <v/>
      </c>
      <c r="C299" s="17" t="str">
        <f>IFERROR(VLOOKUP(E299,'(新)ﾍﾞﾝﾀﾞｰ中型'!$A$3:$K$81,4,0),"")</f>
        <v/>
      </c>
      <c r="D299" s="17" t="str">
        <f>IFERROR(VLOOKUP(E299,'(新)ﾍﾞﾝﾀﾞｰ中型'!$A$3:$K$81,5,0),"")</f>
        <v/>
      </c>
      <c r="E299" s="13"/>
      <c r="F299" s="18" t="str">
        <f>IFERROR(VLOOKUP(E299,'(新)ﾍﾞﾝﾀﾞｰ中型'!$A$3:$K$81,8,0),"")</f>
        <v/>
      </c>
      <c r="G299" s="17" t="str">
        <f>IFERROR(VLOOKUP(E299,'(旧)ﾍﾞﾝﾀﾞｰ中型'!$A$3:$K$237,10,0),"")</f>
        <v/>
      </c>
      <c r="H299" s="12" t="s">
        <v>60</v>
      </c>
      <c r="I299" s="17" t="str">
        <f>IFERROR(VLOOKUP(E299,'(新)ﾍﾞﾝﾀﾞｰ中型'!$A$3:$K$81,10,0),"")</f>
        <v/>
      </c>
    </row>
    <row r="300" spans="2:9" x14ac:dyDescent="0.15">
      <c r="B300" s="17" t="str">
        <f>IFERROR(VLOOKUP(E300,'(新)ﾍﾞﾝﾀﾞｰ中型'!$A$3:$K$81,2,0),"")</f>
        <v/>
      </c>
      <c r="C300" s="17" t="str">
        <f>IFERROR(VLOOKUP(E300,'(新)ﾍﾞﾝﾀﾞｰ中型'!$A$3:$K$81,4,0),"")</f>
        <v/>
      </c>
      <c r="D300" s="17" t="str">
        <f>IFERROR(VLOOKUP(E300,'(新)ﾍﾞﾝﾀﾞｰ中型'!$A$3:$K$81,5,0),"")</f>
        <v/>
      </c>
      <c r="E300" s="13"/>
      <c r="F300" s="18" t="str">
        <f>IFERROR(VLOOKUP(E300,'(新)ﾍﾞﾝﾀﾞｰ中型'!$A$3:$K$81,8,0),"")</f>
        <v/>
      </c>
      <c r="G300" s="17" t="str">
        <f>IFERROR(VLOOKUP(E300,'(旧)ﾍﾞﾝﾀﾞｰ中型'!$A$3:$K$237,10,0),"")</f>
        <v/>
      </c>
      <c r="H300" s="12" t="s">
        <v>60</v>
      </c>
      <c r="I300" s="17" t="str">
        <f>IFERROR(VLOOKUP(E300,'(新)ﾍﾞﾝﾀﾞｰ中型'!$A$3:$K$81,10,0),"")</f>
        <v/>
      </c>
    </row>
    <row r="301" spans="2:9" x14ac:dyDescent="0.15">
      <c r="B301" s="17" t="str">
        <f>IFERROR(VLOOKUP(E301,'(新)ﾍﾞﾝﾀﾞｰ中型'!$A$3:$K$81,2,0),"")</f>
        <v/>
      </c>
      <c r="C301" s="17" t="str">
        <f>IFERROR(VLOOKUP(E301,'(新)ﾍﾞﾝﾀﾞｰ中型'!$A$3:$K$81,4,0),"")</f>
        <v/>
      </c>
      <c r="D301" s="17" t="str">
        <f>IFERROR(VLOOKUP(E301,'(新)ﾍﾞﾝﾀﾞｰ中型'!$A$3:$K$81,5,0),"")</f>
        <v/>
      </c>
      <c r="E301" s="13"/>
      <c r="F301" s="18" t="str">
        <f>IFERROR(VLOOKUP(E301,'(新)ﾍﾞﾝﾀﾞｰ中型'!$A$3:$K$81,8,0),"")</f>
        <v/>
      </c>
      <c r="G301" s="17" t="str">
        <f>IFERROR(VLOOKUP(E301,'(旧)ﾍﾞﾝﾀﾞｰ中型'!$A$3:$K$237,10,0),"")</f>
        <v/>
      </c>
      <c r="H301" s="12" t="s">
        <v>60</v>
      </c>
      <c r="I301" s="17" t="str">
        <f>IFERROR(VLOOKUP(E301,'(新)ﾍﾞﾝﾀﾞｰ中型'!$A$3:$K$81,10,0),"")</f>
        <v/>
      </c>
    </row>
    <row r="302" spans="2:9" x14ac:dyDescent="0.15">
      <c r="B302" s="17" t="str">
        <f>IFERROR(VLOOKUP(E302,'(新)ﾍﾞﾝﾀﾞｰ中型'!$A$3:$K$81,2,0),"")</f>
        <v/>
      </c>
      <c r="C302" s="17" t="str">
        <f>IFERROR(VLOOKUP(E302,'(新)ﾍﾞﾝﾀﾞｰ中型'!$A$3:$K$81,4,0),"")</f>
        <v/>
      </c>
      <c r="D302" s="17" t="str">
        <f>IFERROR(VLOOKUP(E302,'(新)ﾍﾞﾝﾀﾞｰ中型'!$A$3:$K$81,5,0),"")</f>
        <v/>
      </c>
      <c r="E302" s="13"/>
      <c r="F302" s="18" t="str">
        <f>IFERROR(VLOOKUP(E302,'(新)ﾍﾞﾝﾀﾞｰ中型'!$A$3:$K$81,8,0),"")</f>
        <v/>
      </c>
      <c r="G302" s="17" t="str">
        <f>IFERROR(VLOOKUP(E302,'(旧)ﾍﾞﾝﾀﾞｰ中型'!$A$3:$K$237,10,0),"")</f>
        <v/>
      </c>
      <c r="H302" s="12" t="s">
        <v>60</v>
      </c>
      <c r="I302" s="17" t="str">
        <f>IFERROR(VLOOKUP(E302,'(新)ﾍﾞﾝﾀﾞｰ中型'!$A$3:$K$81,10,0),"")</f>
        <v/>
      </c>
    </row>
    <row r="303" spans="2:9" x14ac:dyDescent="0.15">
      <c r="B303" s="17" t="str">
        <f>IFERROR(VLOOKUP(E303,'(新)ﾍﾞﾝﾀﾞｰ中型'!$A$3:$K$81,2,0),"")</f>
        <v/>
      </c>
      <c r="C303" s="17" t="str">
        <f>IFERROR(VLOOKUP(E303,'(新)ﾍﾞﾝﾀﾞｰ中型'!$A$3:$K$81,4,0),"")</f>
        <v/>
      </c>
      <c r="D303" s="17" t="str">
        <f>IFERROR(VLOOKUP(E303,'(新)ﾍﾞﾝﾀﾞｰ中型'!$A$3:$K$81,5,0),"")</f>
        <v/>
      </c>
      <c r="E303" s="13"/>
      <c r="F303" s="18" t="str">
        <f>IFERROR(VLOOKUP(E303,'(新)ﾍﾞﾝﾀﾞｰ中型'!$A$3:$K$81,8,0),"")</f>
        <v/>
      </c>
      <c r="G303" s="17" t="str">
        <f>IFERROR(VLOOKUP(E303,'(旧)ﾍﾞﾝﾀﾞｰ中型'!$A$3:$K$237,10,0),"")</f>
        <v/>
      </c>
      <c r="H303" s="12" t="s">
        <v>60</v>
      </c>
      <c r="I303" s="17" t="str">
        <f>IFERROR(VLOOKUP(E303,'(新)ﾍﾞﾝﾀﾞｰ中型'!$A$3:$K$81,10,0),"")</f>
        <v/>
      </c>
    </row>
    <row r="304" spans="2:9" x14ac:dyDescent="0.15">
      <c r="B304" s="17" t="str">
        <f>IFERROR(VLOOKUP(E304,'(新)ﾍﾞﾝﾀﾞｰ中型'!$A$3:$K$81,2,0),"")</f>
        <v/>
      </c>
      <c r="C304" s="17" t="str">
        <f>IFERROR(VLOOKUP(E304,'(新)ﾍﾞﾝﾀﾞｰ中型'!$A$3:$K$81,4,0),"")</f>
        <v/>
      </c>
      <c r="D304" s="17" t="str">
        <f>IFERROR(VLOOKUP(E304,'(新)ﾍﾞﾝﾀﾞｰ中型'!$A$3:$K$81,5,0),"")</f>
        <v/>
      </c>
      <c r="E304" s="13"/>
      <c r="F304" s="18" t="str">
        <f>IFERROR(VLOOKUP(E304,'(新)ﾍﾞﾝﾀﾞｰ中型'!$A$3:$K$81,8,0),"")</f>
        <v/>
      </c>
      <c r="G304" s="17" t="str">
        <f>IFERROR(VLOOKUP(E304,'(旧)ﾍﾞﾝﾀﾞｰ中型'!$A$3:$K$237,10,0),"")</f>
        <v/>
      </c>
      <c r="H304" s="12" t="s">
        <v>60</v>
      </c>
      <c r="I304" s="17" t="str">
        <f>IFERROR(VLOOKUP(E304,'(新)ﾍﾞﾝﾀﾞｰ中型'!$A$3:$K$81,10,0),"")</f>
        <v/>
      </c>
    </row>
    <row r="305" spans="2:9" x14ac:dyDescent="0.15">
      <c r="B305" s="17" t="str">
        <f>IFERROR(VLOOKUP(E305,'(新)ﾍﾞﾝﾀﾞｰ中型'!$A$3:$K$81,2,0),"")</f>
        <v/>
      </c>
      <c r="C305" s="17" t="str">
        <f>IFERROR(VLOOKUP(E305,'(新)ﾍﾞﾝﾀﾞｰ中型'!$A$3:$K$81,4,0),"")</f>
        <v/>
      </c>
      <c r="D305" s="17" t="str">
        <f>IFERROR(VLOOKUP(E305,'(新)ﾍﾞﾝﾀﾞｰ中型'!$A$3:$K$81,5,0),"")</f>
        <v/>
      </c>
      <c r="E305" s="13"/>
      <c r="F305" s="18" t="str">
        <f>IFERROR(VLOOKUP(E305,'(新)ﾍﾞﾝﾀﾞｰ中型'!$A$3:$K$81,8,0),"")</f>
        <v/>
      </c>
      <c r="G305" s="17" t="str">
        <f>IFERROR(VLOOKUP(E305,'(旧)ﾍﾞﾝﾀﾞｰ中型'!$A$3:$K$237,10,0),"")</f>
        <v/>
      </c>
      <c r="H305" s="12" t="s">
        <v>60</v>
      </c>
      <c r="I305" s="17" t="str">
        <f>IFERROR(VLOOKUP(E305,'(新)ﾍﾞﾝﾀﾞｰ中型'!$A$3:$K$81,10,0),"")</f>
        <v/>
      </c>
    </row>
    <row r="306" spans="2:9" x14ac:dyDescent="0.15">
      <c r="B306" s="17" t="str">
        <f>IFERROR(VLOOKUP(E306,'(新)ﾍﾞﾝﾀﾞｰ中型'!$A$3:$K$81,2,0),"")</f>
        <v/>
      </c>
      <c r="C306" s="17" t="str">
        <f>IFERROR(VLOOKUP(E306,'(新)ﾍﾞﾝﾀﾞｰ中型'!$A$3:$K$81,4,0),"")</f>
        <v/>
      </c>
      <c r="D306" s="17" t="str">
        <f>IFERROR(VLOOKUP(E306,'(新)ﾍﾞﾝﾀﾞｰ中型'!$A$3:$K$81,5,0),"")</f>
        <v/>
      </c>
      <c r="E306" s="13"/>
      <c r="F306" s="18" t="str">
        <f>IFERROR(VLOOKUP(E306,'(新)ﾍﾞﾝﾀﾞｰ中型'!$A$3:$K$81,8,0),"")</f>
        <v/>
      </c>
      <c r="G306" s="17" t="str">
        <f>IFERROR(VLOOKUP(E306,'(旧)ﾍﾞﾝﾀﾞｰ中型'!$A$3:$K$237,10,0),"")</f>
        <v/>
      </c>
      <c r="H306" s="12" t="s">
        <v>60</v>
      </c>
      <c r="I306" s="17" t="str">
        <f>IFERROR(VLOOKUP(E306,'(新)ﾍﾞﾝﾀﾞｰ中型'!$A$3:$K$81,10,0),"")</f>
        <v/>
      </c>
    </row>
    <row r="307" spans="2:9" x14ac:dyDescent="0.15">
      <c r="B307" s="17" t="str">
        <f>IFERROR(VLOOKUP(E307,'(新)ﾍﾞﾝﾀﾞｰ中型'!$A$3:$K$81,2,0),"")</f>
        <v/>
      </c>
      <c r="C307" s="17" t="str">
        <f>IFERROR(VLOOKUP(E307,'(新)ﾍﾞﾝﾀﾞｰ中型'!$A$3:$K$81,4,0),"")</f>
        <v/>
      </c>
      <c r="D307" s="17" t="str">
        <f>IFERROR(VLOOKUP(E307,'(新)ﾍﾞﾝﾀﾞｰ中型'!$A$3:$K$81,5,0),"")</f>
        <v/>
      </c>
      <c r="E307" s="13"/>
      <c r="F307" s="18" t="str">
        <f>IFERROR(VLOOKUP(E307,'(新)ﾍﾞﾝﾀﾞｰ中型'!$A$3:$K$81,8,0),"")</f>
        <v/>
      </c>
      <c r="G307" s="17" t="str">
        <f>IFERROR(VLOOKUP(E307,'(旧)ﾍﾞﾝﾀﾞｰ中型'!$A$3:$K$237,10,0),"")</f>
        <v/>
      </c>
      <c r="H307" s="12" t="s">
        <v>60</v>
      </c>
      <c r="I307" s="17" t="str">
        <f>IFERROR(VLOOKUP(E307,'(新)ﾍﾞﾝﾀﾞｰ中型'!$A$3:$K$81,10,0),"")</f>
        <v/>
      </c>
    </row>
    <row r="308" spans="2:9" x14ac:dyDescent="0.15">
      <c r="B308" s="17" t="str">
        <f>IFERROR(VLOOKUP(E308,'(新)ﾍﾞﾝﾀﾞｰ中型'!$A$3:$K$81,2,0),"")</f>
        <v/>
      </c>
      <c r="C308" s="17" t="str">
        <f>IFERROR(VLOOKUP(E308,'(新)ﾍﾞﾝﾀﾞｰ中型'!$A$3:$K$81,4,0),"")</f>
        <v/>
      </c>
      <c r="D308" s="17" t="str">
        <f>IFERROR(VLOOKUP(E308,'(新)ﾍﾞﾝﾀﾞｰ中型'!$A$3:$K$81,5,0),"")</f>
        <v/>
      </c>
      <c r="E308" s="13"/>
      <c r="F308" s="18" t="str">
        <f>IFERROR(VLOOKUP(E308,'(新)ﾍﾞﾝﾀﾞｰ中型'!$A$3:$K$81,8,0),"")</f>
        <v/>
      </c>
      <c r="G308" s="17" t="str">
        <f>IFERROR(VLOOKUP(E308,'(旧)ﾍﾞﾝﾀﾞｰ中型'!$A$3:$K$237,10,0),"")</f>
        <v/>
      </c>
      <c r="H308" s="12" t="s">
        <v>60</v>
      </c>
      <c r="I308" s="17" t="str">
        <f>IFERROR(VLOOKUP(E308,'(新)ﾍﾞﾝﾀﾞｰ中型'!$A$3:$K$81,10,0),"")</f>
        <v/>
      </c>
    </row>
    <row r="309" spans="2:9" x14ac:dyDescent="0.15">
      <c r="B309" s="17" t="str">
        <f>IFERROR(VLOOKUP(E309,'(新)ﾍﾞﾝﾀﾞｰ中型'!$A$3:$K$81,2,0),"")</f>
        <v/>
      </c>
      <c r="C309" s="17" t="str">
        <f>IFERROR(VLOOKUP(E309,'(新)ﾍﾞﾝﾀﾞｰ中型'!$A$3:$K$81,4,0),"")</f>
        <v/>
      </c>
      <c r="D309" s="17" t="str">
        <f>IFERROR(VLOOKUP(E309,'(新)ﾍﾞﾝﾀﾞｰ中型'!$A$3:$K$81,5,0),"")</f>
        <v/>
      </c>
      <c r="E309" s="13"/>
      <c r="F309" s="18" t="str">
        <f>IFERROR(VLOOKUP(E309,'(新)ﾍﾞﾝﾀﾞｰ中型'!$A$3:$K$81,8,0),"")</f>
        <v/>
      </c>
      <c r="G309" s="17" t="str">
        <f>IFERROR(VLOOKUP(E309,'(旧)ﾍﾞﾝﾀﾞｰ中型'!$A$3:$K$237,10,0),"")</f>
        <v/>
      </c>
      <c r="H309" s="12" t="s">
        <v>60</v>
      </c>
      <c r="I309" s="17" t="str">
        <f>IFERROR(VLOOKUP(E309,'(新)ﾍﾞﾝﾀﾞｰ中型'!$A$3:$K$81,10,0),"")</f>
        <v/>
      </c>
    </row>
    <row r="310" spans="2:9" x14ac:dyDescent="0.15">
      <c r="B310" s="17" t="str">
        <f>IFERROR(VLOOKUP(E310,'(新)ﾍﾞﾝﾀﾞｰ中型'!$A$3:$K$81,2,0),"")</f>
        <v/>
      </c>
      <c r="C310" s="17" t="str">
        <f>IFERROR(VLOOKUP(E310,'(新)ﾍﾞﾝﾀﾞｰ中型'!$A$3:$K$81,4,0),"")</f>
        <v/>
      </c>
      <c r="D310" s="17" t="str">
        <f>IFERROR(VLOOKUP(E310,'(新)ﾍﾞﾝﾀﾞｰ中型'!$A$3:$K$81,5,0),"")</f>
        <v/>
      </c>
      <c r="E310" s="13"/>
      <c r="F310" s="18" t="str">
        <f>IFERROR(VLOOKUP(E310,'(新)ﾍﾞﾝﾀﾞｰ中型'!$A$3:$K$81,8,0),"")</f>
        <v/>
      </c>
      <c r="G310" s="17" t="str">
        <f>IFERROR(VLOOKUP(E310,'(旧)ﾍﾞﾝﾀﾞｰ中型'!$A$3:$K$237,10,0),"")</f>
        <v/>
      </c>
      <c r="H310" s="12" t="s">
        <v>60</v>
      </c>
      <c r="I310" s="17" t="str">
        <f>IFERROR(VLOOKUP(E310,'(新)ﾍﾞﾝﾀﾞｰ中型'!$A$3:$K$81,10,0),"")</f>
        <v/>
      </c>
    </row>
    <row r="311" spans="2:9" x14ac:dyDescent="0.15">
      <c r="B311" s="17" t="str">
        <f>IFERROR(VLOOKUP(E311,'(新)ﾍﾞﾝﾀﾞｰ中型'!$A$3:$K$81,2,0),"")</f>
        <v/>
      </c>
      <c r="C311" s="17" t="str">
        <f>IFERROR(VLOOKUP(E311,'(新)ﾍﾞﾝﾀﾞｰ中型'!$A$3:$K$81,4,0),"")</f>
        <v/>
      </c>
      <c r="D311" s="17" t="str">
        <f>IFERROR(VLOOKUP(E311,'(新)ﾍﾞﾝﾀﾞｰ中型'!$A$3:$K$81,5,0),"")</f>
        <v/>
      </c>
      <c r="E311" s="13"/>
      <c r="F311" s="18" t="str">
        <f>IFERROR(VLOOKUP(E311,'(新)ﾍﾞﾝﾀﾞｰ中型'!$A$3:$K$81,8,0),"")</f>
        <v/>
      </c>
      <c r="G311" s="17" t="str">
        <f>IFERROR(VLOOKUP(E311,'(旧)ﾍﾞﾝﾀﾞｰ中型'!$A$3:$K$237,10,0),"")</f>
        <v/>
      </c>
      <c r="H311" s="12" t="s">
        <v>60</v>
      </c>
      <c r="I311" s="17" t="str">
        <f>IFERROR(VLOOKUP(E311,'(新)ﾍﾞﾝﾀﾞｰ中型'!$A$3:$K$81,10,0),"")</f>
        <v/>
      </c>
    </row>
    <row r="312" spans="2:9" x14ac:dyDescent="0.15">
      <c r="B312" s="17" t="str">
        <f>IFERROR(VLOOKUP(E312,'(新)ﾍﾞﾝﾀﾞｰ中型'!$A$3:$K$81,2,0),"")</f>
        <v/>
      </c>
      <c r="C312" s="17" t="str">
        <f>IFERROR(VLOOKUP(E312,'(新)ﾍﾞﾝﾀﾞｰ中型'!$A$3:$K$81,4,0),"")</f>
        <v/>
      </c>
      <c r="D312" s="17" t="str">
        <f>IFERROR(VLOOKUP(E312,'(新)ﾍﾞﾝﾀﾞｰ中型'!$A$3:$K$81,5,0),"")</f>
        <v/>
      </c>
      <c r="E312" s="13"/>
      <c r="F312" s="18" t="str">
        <f>IFERROR(VLOOKUP(E312,'(新)ﾍﾞﾝﾀﾞｰ中型'!$A$3:$K$81,8,0),"")</f>
        <v/>
      </c>
      <c r="G312" s="17" t="str">
        <f>IFERROR(VLOOKUP(E312,'(旧)ﾍﾞﾝﾀﾞｰ中型'!$A$3:$K$237,10,0),"")</f>
        <v/>
      </c>
      <c r="H312" s="12" t="s">
        <v>60</v>
      </c>
      <c r="I312" s="17" t="str">
        <f>IFERROR(VLOOKUP(E312,'(新)ﾍﾞﾝﾀﾞｰ中型'!$A$3:$K$81,10,0),"")</f>
        <v/>
      </c>
    </row>
    <row r="313" spans="2:9" x14ac:dyDescent="0.15">
      <c r="B313" s="17" t="str">
        <f>IFERROR(VLOOKUP(E313,'(新)ﾍﾞﾝﾀﾞｰ中型'!$A$3:$K$81,2,0),"")</f>
        <v/>
      </c>
      <c r="C313" s="17" t="str">
        <f>IFERROR(VLOOKUP(E313,'(新)ﾍﾞﾝﾀﾞｰ中型'!$A$3:$K$81,4,0),"")</f>
        <v/>
      </c>
      <c r="D313" s="17" t="str">
        <f>IFERROR(VLOOKUP(E313,'(新)ﾍﾞﾝﾀﾞｰ中型'!$A$3:$K$81,5,0),"")</f>
        <v/>
      </c>
      <c r="E313" s="13"/>
      <c r="F313" s="18" t="str">
        <f>IFERROR(VLOOKUP(E313,'(新)ﾍﾞﾝﾀﾞｰ中型'!$A$3:$K$81,8,0),"")</f>
        <v/>
      </c>
      <c r="G313" s="17" t="str">
        <f>IFERROR(VLOOKUP(E313,'(旧)ﾍﾞﾝﾀﾞｰ中型'!$A$3:$K$237,10,0),"")</f>
        <v/>
      </c>
      <c r="H313" s="12" t="s">
        <v>60</v>
      </c>
      <c r="I313" s="17" t="str">
        <f>IFERROR(VLOOKUP(E313,'(新)ﾍﾞﾝﾀﾞｰ中型'!$A$3:$K$81,10,0),"")</f>
        <v/>
      </c>
    </row>
    <row r="314" spans="2:9" x14ac:dyDescent="0.15">
      <c r="B314" s="17" t="str">
        <f>IFERROR(VLOOKUP(E314,'(新)ﾍﾞﾝﾀﾞｰ中型'!$A$3:$K$81,2,0),"")</f>
        <v/>
      </c>
      <c r="C314" s="17" t="str">
        <f>IFERROR(VLOOKUP(E314,'(新)ﾍﾞﾝﾀﾞｰ中型'!$A$3:$K$81,4,0),"")</f>
        <v/>
      </c>
      <c r="D314" s="17" t="str">
        <f>IFERROR(VLOOKUP(E314,'(新)ﾍﾞﾝﾀﾞｰ中型'!$A$3:$K$81,5,0),"")</f>
        <v/>
      </c>
      <c r="E314" s="13"/>
      <c r="F314" s="18" t="str">
        <f>IFERROR(VLOOKUP(E314,'(新)ﾍﾞﾝﾀﾞｰ中型'!$A$3:$K$81,8,0),"")</f>
        <v/>
      </c>
      <c r="G314" s="17" t="str">
        <f>IFERROR(VLOOKUP(E314,'(旧)ﾍﾞﾝﾀﾞｰ中型'!$A$3:$K$237,10,0),"")</f>
        <v/>
      </c>
      <c r="H314" s="12" t="s">
        <v>60</v>
      </c>
      <c r="I314" s="17" t="str">
        <f>IFERROR(VLOOKUP(E314,'(新)ﾍﾞﾝﾀﾞｰ中型'!$A$3:$K$81,10,0),"")</f>
        <v/>
      </c>
    </row>
    <row r="315" spans="2:9" x14ac:dyDescent="0.15">
      <c r="B315" s="17" t="str">
        <f>IFERROR(VLOOKUP(E315,'(新)ﾍﾞﾝﾀﾞｰ中型'!$A$3:$K$81,2,0),"")</f>
        <v/>
      </c>
      <c r="C315" s="17" t="str">
        <f>IFERROR(VLOOKUP(E315,'(新)ﾍﾞﾝﾀﾞｰ中型'!$A$3:$K$81,4,0),"")</f>
        <v/>
      </c>
      <c r="D315" s="17" t="str">
        <f>IFERROR(VLOOKUP(E315,'(新)ﾍﾞﾝﾀﾞｰ中型'!$A$3:$K$81,5,0),"")</f>
        <v/>
      </c>
      <c r="E315" s="13"/>
      <c r="F315" s="18" t="str">
        <f>IFERROR(VLOOKUP(E315,'(新)ﾍﾞﾝﾀﾞｰ中型'!$A$3:$K$81,8,0),"")</f>
        <v/>
      </c>
      <c r="G315" s="17" t="str">
        <f>IFERROR(VLOOKUP(E315,'(旧)ﾍﾞﾝﾀﾞｰ中型'!$A$3:$K$237,10,0),"")</f>
        <v/>
      </c>
      <c r="H315" s="12" t="s">
        <v>60</v>
      </c>
      <c r="I315" s="17" t="str">
        <f>IFERROR(VLOOKUP(E315,'(新)ﾍﾞﾝﾀﾞｰ中型'!$A$3:$K$81,10,0),"")</f>
        <v/>
      </c>
    </row>
    <row r="316" spans="2:9" x14ac:dyDescent="0.15">
      <c r="B316" s="17" t="str">
        <f>IFERROR(VLOOKUP(E316,'(新)ﾍﾞﾝﾀﾞｰ中型'!$A$3:$K$81,2,0),"")</f>
        <v/>
      </c>
      <c r="C316" s="17" t="str">
        <f>IFERROR(VLOOKUP(E316,'(新)ﾍﾞﾝﾀﾞｰ中型'!$A$3:$K$81,4,0),"")</f>
        <v/>
      </c>
      <c r="D316" s="17" t="str">
        <f>IFERROR(VLOOKUP(E316,'(新)ﾍﾞﾝﾀﾞｰ中型'!$A$3:$K$81,5,0),"")</f>
        <v/>
      </c>
      <c r="E316" s="13"/>
      <c r="F316" s="18" t="str">
        <f>IFERROR(VLOOKUP(E316,'(新)ﾍﾞﾝﾀﾞｰ中型'!$A$3:$K$81,8,0),"")</f>
        <v/>
      </c>
      <c r="G316" s="17" t="str">
        <f>IFERROR(VLOOKUP(E316,'(旧)ﾍﾞﾝﾀﾞｰ中型'!$A$3:$K$237,10,0),"")</f>
        <v/>
      </c>
      <c r="H316" s="12" t="s">
        <v>60</v>
      </c>
      <c r="I316" s="17" t="str">
        <f>IFERROR(VLOOKUP(E316,'(新)ﾍﾞﾝﾀﾞｰ中型'!$A$3:$K$81,10,0),"")</f>
        <v/>
      </c>
    </row>
    <row r="317" spans="2:9" x14ac:dyDescent="0.15">
      <c r="B317" s="17" t="str">
        <f>IFERROR(VLOOKUP(E317,'(新)ﾍﾞﾝﾀﾞｰ中型'!$A$3:$K$81,2,0),"")</f>
        <v/>
      </c>
      <c r="C317" s="17" t="str">
        <f>IFERROR(VLOOKUP(E317,'(新)ﾍﾞﾝﾀﾞｰ中型'!$A$3:$K$81,4,0),"")</f>
        <v/>
      </c>
      <c r="D317" s="17" t="str">
        <f>IFERROR(VLOOKUP(E317,'(新)ﾍﾞﾝﾀﾞｰ中型'!$A$3:$K$81,5,0),"")</f>
        <v/>
      </c>
      <c r="E317" s="13"/>
      <c r="F317" s="18" t="str">
        <f>IFERROR(VLOOKUP(E317,'(新)ﾍﾞﾝﾀﾞｰ中型'!$A$3:$K$81,8,0),"")</f>
        <v/>
      </c>
      <c r="G317" s="17" t="str">
        <f>IFERROR(VLOOKUP(E317,'(旧)ﾍﾞﾝﾀﾞｰ中型'!$A$3:$K$237,10,0),"")</f>
        <v/>
      </c>
      <c r="H317" s="12" t="s">
        <v>60</v>
      </c>
      <c r="I317" s="17" t="str">
        <f>IFERROR(VLOOKUP(E317,'(新)ﾍﾞﾝﾀﾞｰ中型'!$A$3:$K$81,10,0),"")</f>
        <v/>
      </c>
    </row>
    <row r="318" spans="2:9" x14ac:dyDescent="0.15">
      <c r="B318" s="17" t="str">
        <f>IFERROR(VLOOKUP(E318,'(新)ﾍﾞﾝﾀﾞｰ中型'!$A$3:$K$81,2,0),"")</f>
        <v/>
      </c>
      <c r="C318" s="17" t="str">
        <f>IFERROR(VLOOKUP(E318,'(新)ﾍﾞﾝﾀﾞｰ中型'!$A$3:$K$81,4,0),"")</f>
        <v/>
      </c>
      <c r="D318" s="17" t="str">
        <f>IFERROR(VLOOKUP(E318,'(新)ﾍﾞﾝﾀﾞｰ中型'!$A$3:$K$81,5,0),"")</f>
        <v/>
      </c>
      <c r="E318" s="13"/>
      <c r="F318" s="18" t="str">
        <f>IFERROR(VLOOKUP(E318,'(新)ﾍﾞﾝﾀﾞｰ中型'!$A$3:$K$81,8,0),"")</f>
        <v/>
      </c>
      <c r="G318" s="17" t="str">
        <f>IFERROR(VLOOKUP(E318,'(旧)ﾍﾞﾝﾀﾞｰ中型'!$A$3:$K$237,10,0),"")</f>
        <v/>
      </c>
      <c r="H318" s="12" t="s">
        <v>60</v>
      </c>
      <c r="I318" s="17" t="str">
        <f>IFERROR(VLOOKUP(E318,'(新)ﾍﾞﾝﾀﾞｰ中型'!$A$3:$K$81,10,0),"")</f>
        <v/>
      </c>
    </row>
    <row r="319" spans="2:9" x14ac:dyDescent="0.15">
      <c r="B319" s="17" t="str">
        <f>IFERROR(VLOOKUP(E319,'(新)ﾍﾞﾝﾀﾞｰ中型'!$A$3:$K$81,2,0),"")</f>
        <v/>
      </c>
      <c r="C319" s="17" t="str">
        <f>IFERROR(VLOOKUP(E319,'(新)ﾍﾞﾝﾀﾞｰ中型'!$A$3:$K$81,4,0),"")</f>
        <v/>
      </c>
      <c r="D319" s="17" t="str">
        <f>IFERROR(VLOOKUP(E319,'(新)ﾍﾞﾝﾀﾞｰ中型'!$A$3:$K$81,5,0),"")</f>
        <v/>
      </c>
      <c r="E319" s="13"/>
      <c r="F319" s="18" t="str">
        <f>IFERROR(VLOOKUP(E319,'(新)ﾍﾞﾝﾀﾞｰ中型'!$A$3:$K$81,8,0),"")</f>
        <v/>
      </c>
      <c r="G319" s="17" t="str">
        <f>IFERROR(VLOOKUP(E319,'(旧)ﾍﾞﾝﾀﾞｰ中型'!$A$3:$K$237,10,0),"")</f>
        <v/>
      </c>
      <c r="H319" s="12" t="s">
        <v>60</v>
      </c>
      <c r="I319" s="17" t="str">
        <f>IFERROR(VLOOKUP(E319,'(新)ﾍﾞﾝﾀﾞｰ中型'!$A$3:$K$81,10,0),"")</f>
        <v/>
      </c>
    </row>
    <row r="320" spans="2:9" x14ac:dyDescent="0.15">
      <c r="B320" s="17" t="str">
        <f>IFERROR(VLOOKUP(E320,'(新)ﾍﾞﾝﾀﾞｰ中型'!$A$3:$K$81,2,0),"")</f>
        <v/>
      </c>
      <c r="C320" s="17" t="str">
        <f>IFERROR(VLOOKUP(E320,'(新)ﾍﾞﾝﾀﾞｰ中型'!$A$3:$K$81,4,0),"")</f>
        <v/>
      </c>
      <c r="D320" s="17" t="str">
        <f>IFERROR(VLOOKUP(E320,'(新)ﾍﾞﾝﾀﾞｰ中型'!$A$3:$K$81,5,0),"")</f>
        <v/>
      </c>
      <c r="E320" s="13"/>
      <c r="F320" s="18" t="str">
        <f>IFERROR(VLOOKUP(E320,'(新)ﾍﾞﾝﾀﾞｰ中型'!$A$3:$K$81,8,0),"")</f>
        <v/>
      </c>
      <c r="G320" s="17" t="str">
        <f>IFERROR(VLOOKUP(E320,'(旧)ﾍﾞﾝﾀﾞｰ中型'!$A$3:$K$237,10,0),"")</f>
        <v/>
      </c>
      <c r="H320" s="12" t="s">
        <v>60</v>
      </c>
      <c r="I320" s="17" t="str">
        <f>IFERROR(VLOOKUP(E320,'(新)ﾍﾞﾝﾀﾞｰ中型'!$A$3:$K$81,10,0),"")</f>
        <v/>
      </c>
    </row>
    <row r="321" spans="2:9" x14ac:dyDescent="0.15">
      <c r="B321" s="17" t="str">
        <f>IFERROR(VLOOKUP(E321,'(新)ﾍﾞﾝﾀﾞｰ中型'!$A$3:$K$81,2,0),"")</f>
        <v/>
      </c>
      <c r="C321" s="17" t="str">
        <f>IFERROR(VLOOKUP(E321,'(新)ﾍﾞﾝﾀﾞｰ中型'!$A$3:$K$81,4,0),"")</f>
        <v/>
      </c>
      <c r="D321" s="17" t="str">
        <f>IFERROR(VLOOKUP(E321,'(新)ﾍﾞﾝﾀﾞｰ中型'!$A$3:$K$81,5,0),"")</f>
        <v/>
      </c>
      <c r="E321" s="13"/>
      <c r="F321" s="18" t="str">
        <f>IFERROR(VLOOKUP(E321,'(新)ﾍﾞﾝﾀﾞｰ中型'!$A$3:$K$81,8,0),"")</f>
        <v/>
      </c>
      <c r="G321" s="17" t="str">
        <f>IFERROR(VLOOKUP(E321,'(旧)ﾍﾞﾝﾀﾞｰ中型'!$A$3:$K$237,10,0),"")</f>
        <v/>
      </c>
      <c r="H321" s="12" t="s">
        <v>60</v>
      </c>
      <c r="I321" s="17" t="str">
        <f>IFERROR(VLOOKUP(E321,'(新)ﾍﾞﾝﾀﾞｰ中型'!$A$3:$K$81,10,0),"")</f>
        <v/>
      </c>
    </row>
    <row r="322" spans="2:9" x14ac:dyDescent="0.15">
      <c r="B322" s="17" t="str">
        <f>IFERROR(VLOOKUP(E322,'(新)ﾍﾞﾝﾀﾞｰ中型'!$A$3:$K$81,2,0),"")</f>
        <v/>
      </c>
      <c r="C322" s="17" t="str">
        <f>IFERROR(VLOOKUP(E322,'(新)ﾍﾞﾝﾀﾞｰ中型'!$A$3:$K$81,4,0),"")</f>
        <v/>
      </c>
      <c r="D322" s="17" t="str">
        <f>IFERROR(VLOOKUP(E322,'(新)ﾍﾞﾝﾀﾞｰ中型'!$A$3:$K$81,5,0),"")</f>
        <v/>
      </c>
      <c r="E322" s="13"/>
      <c r="F322" s="18" t="str">
        <f>IFERROR(VLOOKUP(E322,'(新)ﾍﾞﾝﾀﾞｰ中型'!$A$3:$K$81,8,0),"")</f>
        <v/>
      </c>
      <c r="G322" s="17" t="str">
        <f>IFERROR(VLOOKUP(E322,'(旧)ﾍﾞﾝﾀﾞｰ中型'!$A$3:$K$237,10,0),"")</f>
        <v/>
      </c>
      <c r="H322" s="12" t="s">
        <v>60</v>
      </c>
      <c r="I322" s="17" t="str">
        <f>IFERROR(VLOOKUP(E322,'(新)ﾍﾞﾝﾀﾞｰ中型'!$A$3:$K$81,10,0),"")</f>
        <v/>
      </c>
    </row>
    <row r="323" spans="2:9" x14ac:dyDescent="0.15">
      <c r="B323" s="17" t="str">
        <f>IFERROR(VLOOKUP(E323,'(新)ﾍﾞﾝﾀﾞｰ中型'!$A$3:$K$81,2,0),"")</f>
        <v/>
      </c>
      <c r="C323" s="17" t="str">
        <f>IFERROR(VLOOKUP(E323,'(新)ﾍﾞﾝﾀﾞｰ中型'!$A$3:$K$81,4,0),"")</f>
        <v/>
      </c>
      <c r="D323" s="17" t="str">
        <f>IFERROR(VLOOKUP(E323,'(新)ﾍﾞﾝﾀﾞｰ中型'!$A$3:$K$81,5,0),"")</f>
        <v/>
      </c>
      <c r="E323" s="13"/>
      <c r="F323" s="18" t="str">
        <f>IFERROR(VLOOKUP(E323,'(新)ﾍﾞﾝﾀﾞｰ中型'!$A$3:$K$81,8,0),"")</f>
        <v/>
      </c>
      <c r="G323" s="17" t="str">
        <f>IFERROR(VLOOKUP(E323,'(旧)ﾍﾞﾝﾀﾞｰ中型'!$A$3:$K$237,10,0),"")</f>
        <v/>
      </c>
      <c r="H323" s="12" t="s">
        <v>60</v>
      </c>
      <c r="I323" s="17" t="str">
        <f>IFERROR(VLOOKUP(E323,'(新)ﾍﾞﾝﾀﾞｰ中型'!$A$3:$K$81,10,0),"")</f>
        <v/>
      </c>
    </row>
    <row r="324" spans="2:9" x14ac:dyDescent="0.15">
      <c r="B324" s="17" t="str">
        <f>IFERROR(VLOOKUP(E324,'(新)ﾍﾞﾝﾀﾞｰ中型'!$A$3:$K$81,2,0),"")</f>
        <v/>
      </c>
      <c r="C324" s="17" t="str">
        <f>IFERROR(VLOOKUP(E324,'(新)ﾍﾞﾝﾀﾞｰ中型'!$A$3:$K$81,4,0),"")</f>
        <v/>
      </c>
      <c r="D324" s="17" t="str">
        <f>IFERROR(VLOOKUP(E324,'(新)ﾍﾞﾝﾀﾞｰ中型'!$A$3:$K$81,5,0),"")</f>
        <v/>
      </c>
      <c r="E324" s="13"/>
      <c r="F324" s="18" t="str">
        <f>IFERROR(VLOOKUP(E324,'(新)ﾍﾞﾝﾀﾞｰ中型'!$A$3:$K$81,8,0),"")</f>
        <v/>
      </c>
      <c r="G324" s="17" t="str">
        <f>IFERROR(VLOOKUP(E324,'(旧)ﾍﾞﾝﾀﾞｰ中型'!$A$3:$K$237,10,0),"")</f>
        <v/>
      </c>
      <c r="H324" s="12" t="s">
        <v>60</v>
      </c>
      <c r="I324" s="17" t="str">
        <f>IFERROR(VLOOKUP(E324,'(新)ﾍﾞﾝﾀﾞｰ中型'!$A$3:$K$81,10,0),"")</f>
        <v/>
      </c>
    </row>
    <row r="325" spans="2:9" x14ac:dyDescent="0.15">
      <c r="B325" s="17" t="str">
        <f>IFERROR(VLOOKUP(E325,'(新)ﾍﾞﾝﾀﾞｰ中型'!$A$3:$K$81,2,0),"")</f>
        <v/>
      </c>
      <c r="C325" s="17" t="str">
        <f>IFERROR(VLOOKUP(E325,'(新)ﾍﾞﾝﾀﾞｰ中型'!$A$3:$K$81,4,0),"")</f>
        <v/>
      </c>
      <c r="D325" s="17" t="str">
        <f>IFERROR(VLOOKUP(E325,'(新)ﾍﾞﾝﾀﾞｰ中型'!$A$3:$K$81,5,0),"")</f>
        <v/>
      </c>
      <c r="E325" s="13"/>
      <c r="F325" s="18" t="str">
        <f>IFERROR(VLOOKUP(E325,'(新)ﾍﾞﾝﾀﾞｰ中型'!$A$3:$K$81,8,0),"")</f>
        <v/>
      </c>
      <c r="G325" s="17" t="str">
        <f>IFERROR(VLOOKUP(E325,'(旧)ﾍﾞﾝﾀﾞｰ中型'!$A$3:$K$237,10,0),"")</f>
        <v/>
      </c>
      <c r="H325" s="12" t="s">
        <v>60</v>
      </c>
      <c r="I325" s="17" t="str">
        <f>IFERROR(VLOOKUP(E325,'(新)ﾍﾞﾝﾀﾞｰ中型'!$A$3:$K$81,10,0),"")</f>
        <v/>
      </c>
    </row>
    <row r="326" spans="2:9" x14ac:dyDescent="0.15">
      <c r="B326" s="17" t="str">
        <f>IFERROR(VLOOKUP(E326,'(新)ﾍﾞﾝﾀﾞｰ中型'!$A$3:$K$81,2,0),"")</f>
        <v/>
      </c>
      <c r="C326" s="17" t="str">
        <f>IFERROR(VLOOKUP(E326,'(新)ﾍﾞﾝﾀﾞｰ中型'!$A$3:$K$81,4,0),"")</f>
        <v/>
      </c>
      <c r="D326" s="17" t="str">
        <f>IFERROR(VLOOKUP(E326,'(新)ﾍﾞﾝﾀﾞｰ中型'!$A$3:$K$81,5,0),"")</f>
        <v/>
      </c>
      <c r="E326" s="13"/>
      <c r="F326" s="18" t="str">
        <f>IFERROR(VLOOKUP(E326,'(新)ﾍﾞﾝﾀﾞｰ中型'!$A$3:$K$81,8,0),"")</f>
        <v/>
      </c>
      <c r="G326" s="17" t="str">
        <f>IFERROR(VLOOKUP(E326,'(旧)ﾍﾞﾝﾀﾞｰ中型'!$A$3:$K$237,10,0),"")</f>
        <v/>
      </c>
      <c r="H326" s="12" t="s">
        <v>60</v>
      </c>
      <c r="I326" s="17" t="str">
        <f>IFERROR(VLOOKUP(E326,'(新)ﾍﾞﾝﾀﾞｰ中型'!$A$3:$K$81,10,0),"")</f>
        <v/>
      </c>
    </row>
    <row r="327" spans="2:9" x14ac:dyDescent="0.15">
      <c r="B327" s="17" t="str">
        <f>IFERROR(VLOOKUP(E327,'(新)ﾍﾞﾝﾀﾞｰ中型'!$A$3:$K$81,2,0),"")</f>
        <v/>
      </c>
      <c r="C327" s="17" t="str">
        <f>IFERROR(VLOOKUP(E327,'(新)ﾍﾞﾝﾀﾞｰ中型'!$A$3:$K$81,4,0),"")</f>
        <v/>
      </c>
      <c r="D327" s="17" t="str">
        <f>IFERROR(VLOOKUP(E327,'(新)ﾍﾞﾝﾀﾞｰ中型'!$A$3:$K$81,5,0),"")</f>
        <v/>
      </c>
      <c r="E327" s="13"/>
      <c r="F327" s="18" t="str">
        <f>IFERROR(VLOOKUP(E327,'(新)ﾍﾞﾝﾀﾞｰ中型'!$A$3:$K$81,8,0),"")</f>
        <v/>
      </c>
      <c r="G327" s="17" t="str">
        <f>IFERROR(VLOOKUP(E327,'(旧)ﾍﾞﾝﾀﾞｰ中型'!$A$3:$K$237,10,0),"")</f>
        <v/>
      </c>
      <c r="H327" s="12" t="s">
        <v>60</v>
      </c>
      <c r="I327" s="17" t="str">
        <f>IFERROR(VLOOKUP(E327,'(新)ﾍﾞﾝﾀﾞｰ中型'!$A$3:$K$81,10,0),"")</f>
        <v/>
      </c>
    </row>
    <row r="328" spans="2:9" x14ac:dyDescent="0.15">
      <c r="B328" s="17" t="str">
        <f>IFERROR(VLOOKUP(E328,'(新)ﾍﾞﾝﾀﾞｰ中型'!$A$3:$K$81,2,0),"")</f>
        <v/>
      </c>
      <c r="C328" s="17" t="str">
        <f>IFERROR(VLOOKUP(E328,'(新)ﾍﾞﾝﾀﾞｰ中型'!$A$3:$K$81,4,0),"")</f>
        <v/>
      </c>
      <c r="D328" s="17" t="str">
        <f>IFERROR(VLOOKUP(E328,'(新)ﾍﾞﾝﾀﾞｰ中型'!$A$3:$K$81,5,0),"")</f>
        <v/>
      </c>
      <c r="E328" s="13"/>
      <c r="F328" s="18" t="str">
        <f>IFERROR(VLOOKUP(E328,'(新)ﾍﾞﾝﾀﾞｰ中型'!$A$3:$K$81,8,0),"")</f>
        <v/>
      </c>
      <c r="G328" s="17" t="str">
        <f>IFERROR(VLOOKUP(E328,'(旧)ﾍﾞﾝﾀﾞｰ中型'!$A$3:$K$237,10,0),"")</f>
        <v/>
      </c>
      <c r="H328" s="12" t="s">
        <v>60</v>
      </c>
      <c r="I328" s="17" t="str">
        <f>IFERROR(VLOOKUP(E328,'(新)ﾍﾞﾝﾀﾞｰ中型'!$A$3:$K$81,10,0),"")</f>
        <v/>
      </c>
    </row>
  </sheetData>
  <autoFilter ref="A1:I328">
    <sortState ref="A2:I90">
      <sortCondition ref="I1"/>
    </sortState>
  </autoFilter>
  <phoneticPr fontId="2"/>
  <conditionalFormatting sqref="I2 I201:I328">
    <cfRule type="expression" dxfId="8" priority="3">
      <formula>$I2&lt;&gt;$G2</formula>
    </cfRule>
  </conditionalFormatting>
  <conditionalFormatting sqref="G2 G201:G328">
    <cfRule type="expression" dxfId="7" priority="4">
      <formula>#REF!&lt;&gt;$G2</formula>
    </cfRule>
  </conditionalFormatting>
  <conditionalFormatting sqref="I3:I200">
    <cfRule type="expression" dxfId="6" priority="1">
      <formula>$I3&lt;&gt;$G3</formula>
    </cfRule>
  </conditionalFormatting>
  <conditionalFormatting sqref="G3:G200">
    <cfRule type="expression" dxfId="5" priority="2">
      <formula>#REF!&lt;&gt;$G3</formula>
    </cfRule>
  </conditionalFormatting>
  <pageMargins left="0.7" right="0.7" top="0.75" bottom="0.75" header="0.3" footer="0.3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8"/>
  <sheetViews>
    <sheetView zoomScale="110" zoomScaleNormal="110" workbookViewId="0">
      <selection sqref="A1:XFD1048576"/>
    </sheetView>
  </sheetViews>
  <sheetFormatPr defaultRowHeight="13.2" x14ac:dyDescent="0.2"/>
  <sheetData>
    <row r="1" spans="1:11" x14ac:dyDescent="0.2">
      <c r="A1" s="31" t="s">
        <v>3</v>
      </c>
      <c r="B1" s="31" t="s">
        <v>0</v>
      </c>
      <c r="C1" s="31" t="s">
        <v>1</v>
      </c>
      <c r="D1" s="31" t="s">
        <v>2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</row>
    <row r="2" spans="1:11" ht="13.8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3.8" thickBot="1" x14ac:dyDescent="0.25">
      <c r="A3" s="27" t="s">
        <v>331</v>
      </c>
      <c r="B3" s="27" t="s">
        <v>256</v>
      </c>
      <c r="C3" s="27" t="s">
        <v>11</v>
      </c>
      <c r="D3" s="28" t="s">
        <v>170</v>
      </c>
      <c r="E3" s="28" t="s">
        <v>311</v>
      </c>
      <c r="F3" s="28" t="s">
        <v>171</v>
      </c>
      <c r="G3" s="28" t="s">
        <v>13</v>
      </c>
      <c r="H3" s="28" t="s">
        <v>391</v>
      </c>
      <c r="I3" s="28" t="s">
        <v>332</v>
      </c>
      <c r="J3" s="27" t="s">
        <v>213</v>
      </c>
      <c r="K3" s="27" t="s">
        <v>330</v>
      </c>
    </row>
    <row r="4" spans="1:11" ht="13.8" thickBot="1" x14ac:dyDescent="0.25">
      <c r="A4" s="27" t="s">
        <v>339</v>
      </c>
      <c r="B4" s="27" t="s">
        <v>256</v>
      </c>
      <c r="C4" s="27" t="s">
        <v>14</v>
      </c>
      <c r="D4" s="28" t="s">
        <v>111</v>
      </c>
      <c r="E4" s="28" t="s">
        <v>340</v>
      </c>
      <c r="F4" s="28" t="s">
        <v>141</v>
      </c>
      <c r="G4" s="28" t="s">
        <v>13</v>
      </c>
      <c r="H4" s="28" t="s">
        <v>341</v>
      </c>
      <c r="I4" s="28" t="s">
        <v>342</v>
      </c>
      <c r="J4" s="27" t="s">
        <v>215</v>
      </c>
      <c r="K4" s="27" t="s">
        <v>262</v>
      </c>
    </row>
    <row r="5" spans="1:11" ht="13.8" thickBot="1" x14ac:dyDescent="0.25">
      <c r="A5" s="27" t="s">
        <v>333</v>
      </c>
      <c r="B5" s="27" t="s">
        <v>256</v>
      </c>
      <c r="C5" s="27" t="s">
        <v>15</v>
      </c>
      <c r="D5" s="28" t="s">
        <v>334</v>
      </c>
      <c r="E5" s="28" t="s">
        <v>335</v>
      </c>
      <c r="F5" s="28" t="s">
        <v>336</v>
      </c>
      <c r="G5" s="28" t="s">
        <v>13</v>
      </c>
      <c r="H5" s="28" t="s">
        <v>392</v>
      </c>
      <c r="I5" s="28" t="s">
        <v>337</v>
      </c>
      <c r="J5" s="27" t="s">
        <v>219</v>
      </c>
      <c r="K5" s="27" t="s">
        <v>300</v>
      </c>
    </row>
    <row r="6" spans="1:11" ht="13.8" thickBot="1" x14ac:dyDescent="0.25">
      <c r="A6" s="27" t="s">
        <v>338</v>
      </c>
      <c r="B6" s="27" t="s">
        <v>256</v>
      </c>
      <c r="C6" s="27" t="s">
        <v>16</v>
      </c>
      <c r="D6" s="28" t="s">
        <v>108</v>
      </c>
      <c r="E6" s="28" t="s">
        <v>380</v>
      </c>
      <c r="F6" s="28" t="s">
        <v>109</v>
      </c>
      <c r="G6" s="28" t="s">
        <v>13</v>
      </c>
      <c r="H6" s="28" t="s">
        <v>110</v>
      </c>
      <c r="I6" s="28" t="s">
        <v>381</v>
      </c>
      <c r="J6" s="27" t="s">
        <v>272</v>
      </c>
      <c r="K6" s="27" t="s">
        <v>294</v>
      </c>
    </row>
    <row r="7" spans="1:11" ht="13.8" thickBot="1" x14ac:dyDescent="0.25">
      <c r="A7" s="27" t="s">
        <v>443</v>
      </c>
      <c r="B7" s="27" t="s">
        <v>396</v>
      </c>
      <c r="C7" s="27" t="s">
        <v>11</v>
      </c>
      <c r="D7" s="28" t="s">
        <v>111</v>
      </c>
      <c r="E7" s="28" t="s">
        <v>33</v>
      </c>
      <c r="F7" s="28" t="s">
        <v>141</v>
      </c>
      <c r="G7" s="28" t="s">
        <v>13</v>
      </c>
      <c r="H7" s="28" t="s">
        <v>153</v>
      </c>
      <c r="I7" s="28"/>
      <c r="J7" s="27" t="s">
        <v>294</v>
      </c>
      <c r="K7" s="27" t="s">
        <v>406</v>
      </c>
    </row>
    <row r="8" spans="1:11" ht="13.8" thickBot="1" x14ac:dyDescent="0.25">
      <c r="A8" s="27" t="s">
        <v>444</v>
      </c>
      <c r="B8" s="27" t="s">
        <v>396</v>
      </c>
      <c r="C8" s="27" t="s">
        <v>14</v>
      </c>
      <c r="D8" s="28" t="s">
        <v>170</v>
      </c>
      <c r="E8" s="28" t="s">
        <v>445</v>
      </c>
      <c r="F8" s="28" t="s">
        <v>171</v>
      </c>
      <c r="G8" s="28" t="s">
        <v>13</v>
      </c>
      <c r="H8" s="28" t="s">
        <v>446</v>
      </c>
      <c r="I8" s="28" t="s">
        <v>447</v>
      </c>
      <c r="J8" s="27" t="s">
        <v>412</v>
      </c>
      <c r="K8" s="27" t="s">
        <v>776</v>
      </c>
    </row>
    <row r="9" spans="1:11" ht="13.8" thickBot="1" x14ac:dyDescent="0.25">
      <c r="A9" s="27" t="s">
        <v>622</v>
      </c>
      <c r="B9" s="27" t="s">
        <v>574</v>
      </c>
      <c r="C9" s="27" t="s">
        <v>11</v>
      </c>
      <c r="D9" s="28" t="s">
        <v>623</v>
      </c>
      <c r="E9" s="28" t="s">
        <v>624</v>
      </c>
      <c r="F9" s="28" t="s">
        <v>625</v>
      </c>
      <c r="G9" s="28" t="s">
        <v>13</v>
      </c>
      <c r="H9" s="28" t="s">
        <v>626</v>
      </c>
      <c r="I9" s="28" t="s">
        <v>627</v>
      </c>
      <c r="J9" s="27" t="s">
        <v>412</v>
      </c>
      <c r="K9" s="27" t="s">
        <v>575</v>
      </c>
    </row>
    <row r="10" spans="1:11" ht="13.8" thickBot="1" x14ac:dyDescent="0.25">
      <c r="A10" s="27" t="s">
        <v>628</v>
      </c>
      <c r="B10" s="27" t="s">
        <v>574</v>
      </c>
      <c r="C10" s="27" t="s">
        <v>14</v>
      </c>
      <c r="D10" s="28" t="s">
        <v>108</v>
      </c>
      <c r="E10" s="28" t="s">
        <v>629</v>
      </c>
      <c r="F10" s="28" t="s">
        <v>109</v>
      </c>
      <c r="G10" s="28" t="s">
        <v>13</v>
      </c>
      <c r="H10" s="28" t="s">
        <v>1195</v>
      </c>
      <c r="I10" s="28" t="s">
        <v>630</v>
      </c>
      <c r="J10" s="27" t="s">
        <v>581</v>
      </c>
      <c r="K10" s="27" t="s">
        <v>631</v>
      </c>
    </row>
    <row r="11" spans="1:11" ht="13.8" thickBot="1" x14ac:dyDescent="0.25">
      <c r="A11" s="27" t="s">
        <v>847</v>
      </c>
      <c r="B11" s="27" t="s">
        <v>746</v>
      </c>
      <c r="C11" s="27" t="s">
        <v>11</v>
      </c>
      <c r="D11" s="28" t="s">
        <v>623</v>
      </c>
      <c r="E11" s="28" t="s">
        <v>848</v>
      </c>
      <c r="F11" s="28" t="s">
        <v>625</v>
      </c>
      <c r="G11" s="28" t="s">
        <v>13</v>
      </c>
      <c r="H11" s="28" t="s">
        <v>849</v>
      </c>
      <c r="I11" s="28" t="s">
        <v>850</v>
      </c>
      <c r="J11" s="27" t="s">
        <v>577</v>
      </c>
      <c r="K11" s="27" t="s">
        <v>665</v>
      </c>
    </row>
    <row r="12" spans="1:11" ht="13.8" thickBot="1" x14ac:dyDescent="0.25">
      <c r="A12" s="27" t="s">
        <v>1088</v>
      </c>
      <c r="B12" s="27" t="s">
        <v>1036</v>
      </c>
      <c r="C12" s="27" t="s">
        <v>11</v>
      </c>
      <c r="D12" s="28" t="s">
        <v>108</v>
      </c>
      <c r="E12" s="28" t="s">
        <v>1089</v>
      </c>
      <c r="F12" s="28" t="s">
        <v>109</v>
      </c>
      <c r="G12" s="28" t="s">
        <v>13</v>
      </c>
      <c r="H12" s="28" t="s">
        <v>1090</v>
      </c>
      <c r="I12" s="28" t="s">
        <v>1091</v>
      </c>
      <c r="J12" s="27" t="s">
        <v>801</v>
      </c>
      <c r="K12" s="27" t="s">
        <v>863</v>
      </c>
    </row>
    <row r="13" spans="1:11" ht="13.8" thickBot="1" x14ac:dyDescent="0.25">
      <c r="A13" s="27" t="s">
        <v>1092</v>
      </c>
      <c r="B13" s="27" t="s">
        <v>1036</v>
      </c>
      <c r="C13" s="27" t="s">
        <v>14</v>
      </c>
      <c r="D13" s="28" t="s">
        <v>108</v>
      </c>
      <c r="E13" s="28" t="s">
        <v>1093</v>
      </c>
      <c r="F13" s="28" t="s">
        <v>109</v>
      </c>
      <c r="G13" s="28" t="s">
        <v>13</v>
      </c>
      <c r="H13" s="28" t="s">
        <v>110</v>
      </c>
      <c r="I13" s="28" t="s">
        <v>1094</v>
      </c>
      <c r="J13" s="27" t="s">
        <v>934</v>
      </c>
      <c r="K13" s="27" t="s">
        <v>1054</v>
      </c>
    </row>
    <row r="14" spans="1:11" ht="13.8" thickBot="1" x14ac:dyDescent="0.25">
      <c r="A14" s="27" t="s">
        <v>1095</v>
      </c>
      <c r="B14" s="27" t="s">
        <v>1036</v>
      </c>
      <c r="C14" s="27" t="s">
        <v>15</v>
      </c>
      <c r="D14" s="28" t="s">
        <v>1096</v>
      </c>
      <c r="E14" s="28" t="s">
        <v>175</v>
      </c>
      <c r="F14" s="28" t="s">
        <v>1097</v>
      </c>
      <c r="G14" s="28" t="s">
        <v>13</v>
      </c>
      <c r="H14" s="28" t="s">
        <v>1098</v>
      </c>
      <c r="I14" s="28" t="s">
        <v>1099</v>
      </c>
      <c r="J14" s="27" t="s">
        <v>1038</v>
      </c>
      <c r="K14" s="27" t="s">
        <v>1038</v>
      </c>
    </row>
    <row r="15" spans="1:11" ht="13.8" thickBot="1" x14ac:dyDescent="0.25">
      <c r="A15" s="27" t="s">
        <v>1100</v>
      </c>
      <c r="B15" s="27" t="s">
        <v>1036</v>
      </c>
      <c r="C15" s="27" t="s">
        <v>16</v>
      </c>
      <c r="D15" s="28" t="s">
        <v>111</v>
      </c>
      <c r="E15" s="28" t="s">
        <v>1101</v>
      </c>
      <c r="F15" s="28" t="s">
        <v>141</v>
      </c>
      <c r="G15" s="28" t="s">
        <v>13</v>
      </c>
      <c r="H15" s="28" t="s">
        <v>1102</v>
      </c>
      <c r="I15" s="28" t="s">
        <v>1103</v>
      </c>
      <c r="J15" s="27" t="s">
        <v>1047</v>
      </c>
      <c r="K15" s="27" t="s">
        <v>1071</v>
      </c>
    </row>
    <row r="16" spans="1:11" ht="13.8" thickBot="1" x14ac:dyDescent="0.25">
      <c r="A16" s="27" t="s">
        <v>1376</v>
      </c>
      <c r="B16" s="27" t="s">
        <v>1267</v>
      </c>
      <c r="C16" s="27" t="s">
        <v>11</v>
      </c>
      <c r="D16" s="28" t="s">
        <v>623</v>
      </c>
      <c r="E16" s="28" t="s">
        <v>1377</v>
      </c>
      <c r="F16" s="28" t="s">
        <v>625</v>
      </c>
      <c r="G16" s="28" t="s">
        <v>13</v>
      </c>
      <c r="H16" s="28" t="s">
        <v>626</v>
      </c>
      <c r="I16" s="28" t="s">
        <v>1378</v>
      </c>
      <c r="J16" s="27" t="s">
        <v>863</v>
      </c>
      <c r="K16" s="27" t="s">
        <v>1268</v>
      </c>
    </row>
    <row r="17" spans="1:11" ht="13.8" thickBot="1" x14ac:dyDescent="0.25">
      <c r="A17" s="27" t="s">
        <v>1379</v>
      </c>
      <c r="B17" s="27" t="s">
        <v>1267</v>
      </c>
      <c r="C17" s="27" t="s">
        <v>14</v>
      </c>
      <c r="D17" s="28" t="s">
        <v>108</v>
      </c>
      <c r="E17" s="28" t="s">
        <v>1380</v>
      </c>
      <c r="F17" s="28" t="s">
        <v>109</v>
      </c>
      <c r="G17" s="28" t="s">
        <v>13</v>
      </c>
      <c r="H17" s="28" t="s">
        <v>110</v>
      </c>
      <c r="I17" s="28" t="s">
        <v>1381</v>
      </c>
      <c r="J17" s="27" t="s">
        <v>1062</v>
      </c>
      <c r="K17" s="27" t="s">
        <v>1291</v>
      </c>
    </row>
    <row r="18" spans="1:11" ht="13.8" thickBot="1" x14ac:dyDescent="0.25">
      <c r="A18" s="27" t="s">
        <v>1382</v>
      </c>
      <c r="B18" s="27" t="s">
        <v>1267</v>
      </c>
      <c r="C18" s="27" t="s">
        <v>15</v>
      </c>
      <c r="D18" s="28" t="s">
        <v>108</v>
      </c>
      <c r="E18" s="28" t="s">
        <v>1383</v>
      </c>
      <c r="F18" s="28" t="s">
        <v>109</v>
      </c>
      <c r="G18" s="28" t="s">
        <v>13</v>
      </c>
      <c r="H18" s="28" t="s">
        <v>110</v>
      </c>
      <c r="I18" s="28" t="s">
        <v>1384</v>
      </c>
      <c r="J18" s="27" t="s">
        <v>1291</v>
      </c>
      <c r="K18" s="27" t="s">
        <v>1375</v>
      </c>
    </row>
  </sheetData>
  <mergeCells count="11">
    <mergeCell ref="I1:I2"/>
    <mergeCell ref="J1:J2"/>
    <mergeCell ref="K1:K2"/>
    <mergeCell ref="A1:A2"/>
    <mergeCell ref="E1:E2"/>
    <mergeCell ref="F1:F2"/>
    <mergeCell ref="G1:G2"/>
    <mergeCell ref="H1:H2"/>
    <mergeCell ref="C1:C2"/>
    <mergeCell ref="D1:D2"/>
    <mergeCell ref="B1:B2"/>
  </mergeCells>
  <phoneticPr fontId="2"/>
  <pageMargins left="0.75" right="0.75" top="1" bottom="1" header="0.51200000000000001" footer="0.5120000000000000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K20"/>
  <sheetViews>
    <sheetView zoomScale="110" zoomScaleNormal="110" workbookViewId="0">
      <selection activeCell="E16" sqref="E16"/>
    </sheetView>
  </sheetViews>
  <sheetFormatPr defaultRowHeight="13.2" x14ac:dyDescent="0.2"/>
  <cols>
    <col min="1" max="16384" width="8.88671875" style="33"/>
  </cols>
  <sheetData>
    <row r="1" spans="1:11" x14ac:dyDescent="0.2">
      <c r="A1" s="29" t="s">
        <v>3</v>
      </c>
      <c r="B1" s="29" t="s">
        <v>0</v>
      </c>
      <c r="C1" s="29" t="s">
        <v>1</v>
      </c>
      <c r="D1" s="29" t="s">
        <v>2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</row>
    <row r="2" spans="1:11" ht="13.8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3.8" thickBot="1" x14ac:dyDescent="0.25">
      <c r="A3" s="23" t="s">
        <v>331</v>
      </c>
      <c r="B3" s="23" t="s">
        <v>396</v>
      </c>
      <c r="C3" s="23" t="s">
        <v>11</v>
      </c>
      <c r="D3" s="24" t="s">
        <v>170</v>
      </c>
      <c r="E3" s="24" t="s">
        <v>311</v>
      </c>
      <c r="F3" s="24" t="s">
        <v>171</v>
      </c>
      <c r="G3" s="24" t="s">
        <v>13</v>
      </c>
      <c r="H3" s="24" t="s">
        <v>391</v>
      </c>
      <c r="I3" s="24" t="s">
        <v>332</v>
      </c>
      <c r="J3" s="23" t="s">
        <v>213</v>
      </c>
      <c r="K3" s="23" t="s">
        <v>294</v>
      </c>
    </row>
    <row r="4" spans="1:11" ht="13.8" thickBot="1" x14ac:dyDescent="0.25">
      <c r="A4" s="23" t="s">
        <v>339</v>
      </c>
      <c r="B4" s="23" t="s">
        <v>396</v>
      </c>
      <c r="C4" s="23" t="s">
        <v>14</v>
      </c>
      <c r="D4" s="24" t="s">
        <v>111</v>
      </c>
      <c r="E4" s="24" t="s">
        <v>340</v>
      </c>
      <c r="F4" s="24" t="s">
        <v>141</v>
      </c>
      <c r="G4" s="24" t="s">
        <v>13</v>
      </c>
      <c r="H4" s="24" t="s">
        <v>341</v>
      </c>
      <c r="I4" s="24" t="s">
        <v>342</v>
      </c>
      <c r="J4" s="23" t="s">
        <v>215</v>
      </c>
      <c r="K4" s="23" t="s">
        <v>272</v>
      </c>
    </row>
    <row r="5" spans="1:11" ht="13.8" thickBot="1" x14ac:dyDescent="0.25">
      <c r="A5" s="23" t="s">
        <v>333</v>
      </c>
      <c r="B5" s="23" t="s">
        <v>396</v>
      </c>
      <c r="C5" s="23" t="s">
        <v>15</v>
      </c>
      <c r="D5" s="24" t="s">
        <v>334</v>
      </c>
      <c r="E5" s="24" t="s">
        <v>335</v>
      </c>
      <c r="F5" s="24" t="s">
        <v>336</v>
      </c>
      <c r="G5" s="24" t="s">
        <v>13</v>
      </c>
      <c r="H5" s="24" t="s">
        <v>392</v>
      </c>
      <c r="I5" s="24" t="s">
        <v>337</v>
      </c>
      <c r="J5" s="23" t="s">
        <v>219</v>
      </c>
      <c r="K5" s="23" t="s">
        <v>289</v>
      </c>
    </row>
    <row r="6" spans="1:11" ht="13.8" thickBot="1" x14ac:dyDescent="0.25">
      <c r="A6" s="23" t="s">
        <v>443</v>
      </c>
      <c r="B6" s="23" t="s">
        <v>396</v>
      </c>
      <c r="C6" s="23" t="s">
        <v>16</v>
      </c>
      <c r="D6" s="24" t="s">
        <v>111</v>
      </c>
      <c r="E6" s="24" t="s">
        <v>33</v>
      </c>
      <c r="F6" s="24" t="s">
        <v>141</v>
      </c>
      <c r="G6" s="24" t="s">
        <v>13</v>
      </c>
      <c r="H6" s="24" t="s">
        <v>153</v>
      </c>
      <c r="I6" s="24"/>
      <c r="J6" s="23" t="s">
        <v>294</v>
      </c>
      <c r="K6" s="23" t="s">
        <v>406</v>
      </c>
    </row>
    <row r="7" spans="1:11" ht="13.8" thickBot="1" x14ac:dyDescent="0.25">
      <c r="A7" s="23" t="s">
        <v>444</v>
      </c>
      <c r="B7" s="23" t="s">
        <v>396</v>
      </c>
      <c r="C7" s="23" t="s">
        <v>17</v>
      </c>
      <c r="D7" s="24" t="s">
        <v>170</v>
      </c>
      <c r="E7" s="24" t="s">
        <v>445</v>
      </c>
      <c r="F7" s="24" t="s">
        <v>171</v>
      </c>
      <c r="G7" s="24" t="s">
        <v>13</v>
      </c>
      <c r="H7" s="24" t="s">
        <v>446</v>
      </c>
      <c r="I7" s="24" t="s">
        <v>447</v>
      </c>
      <c r="J7" s="23" t="s">
        <v>412</v>
      </c>
      <c r="K7" s="23" t="s">
        <v>776</v>
      </c>
    </row>
    <row r="8" spans="1:11" ht="13.8" thickBot="1" x14ac:dyDescent="0.25">
      <c r="A8" s="23" t="s">
        <v>622</v>
      </c>
      <c r="B8" s="23" t="s">
        <v>574</v>
      </c>
      <c r="C8" s="23" t="s">
        <v>11</v>
      </c>
      <c r="D8" s="24" t="s">
        <v>623</v>
      </c>
      <c r="E8" s="24" t="s">
        <v>624</v>
      </c>
      <c r="F8" s="24" t="s">
        <v>625</v>
      </c>
      <c r="G8" s="24" t="s">
        <v>13</v>
      </c>
      <c r="H8" s="24" t="s">
        <v>626</v>
      </c>
      <c r="I8" s="24" t="s">
        <v>627</v>
      </c>
      <c r="J8" s="23" t="s">
        <v>543</v>
      </c>
      <c r="K8" s="23" t="s">
        <v>587</v>
      </c>
    </row>
    <row r="9" spans="1:11" ht="13.8" thickBot="1" x14ac:dyDescent="0.25">
      <c r="A9" s="23" t="s">
        <v>628</v>
      </c>
      <c r="B9" s="23" t="s">
        <v>574</v>
      </c>
      <c r="C9" s="23" t="s">
        <v>14</v>
      </c>
      <c r="D9" s="24" t="s">
        <v>108</v>
      </c>
      <c r="E9" s="24" t="s">
        <v>629</v>
      </c>
      <c r="F9" s="24" t="s">
        <v>109</v>
      </c>
      <c r="G9" s="24" t="s">
        <v>13</v>
      </c>
      <c r="H9" s="24" t="s">
        <v>1195</v>
      </c>
      <c r="I9" s="24" t="s">
        <v>630</v>
      </c>
      <c r="J9" s="23" t="s">
        <v>585</v>
      </c>
      <c r="K9" s="23" t="s">
        <v>631</v>
      </c>
    </row>
    <row r="10" spans="1:11" ht="13.8" thickBot="1" x14ac:dyDescent="0.25">
      <c r="A10" s="23" t="s">
        <v>847</v>
      </c>
      <c r="B10" s="23" t="s">
        <v>746</v>
      </c>
      <c r="C10" s="23" t="s">
        <v>11</v>
      </c>
      <c r="D10" s="24" t="s">
        <v>623</v>
      </c>
      <c r="E10" s="24" t="s">
        <v>848</v>
      </c>
      <c r="F10" s="24" t="s">
        <v>625</v>
      </c>
      <c r="G10" s="24" t="s">
        <v>13</v>
      </c>
      <c r="H10" s="24" t="s">
        <v>849</v>
      </c>
      <c r="I10" s="24" t="s">
        <v>850</v>
      </c>
      <c r="J10" s="23" t="s">
        <v>577</v>
      </c>
      <c r="K10" s="23" t="s">
        <v>665</v>
      </c>
    </row>
    <row r="11" spans="1:11" ht="13.8" thickBot="1" x14ac:dyDescent="0.25">
      <c r="A11" s="23" t="s">
        <v>1100</v>
      </c>
      <c r="B11" s="23" t="s">
        <v>1036</v>
      </c>
      <c r="C11" s="23" t="s">
        <v>11</v>
      </c>
      <c r="D11" s="24" t="s">
        <v>111</v>
      </c>
      <c r="E11" s="24" t="s">
        <v>1101</v>
      </c>
      <c r="F11" s="24" t="s">
        <v>141</v>
      </c>
      <c r="G11" s="24" t="s">
        <v>13</v>
      </c>
      <c r="H11" s="24" t="s">
        <v>1102</v>
      </c>
      <c r="I11" s="24" t="s">
        <v>1103</v>
      </c>
      <c r="J11" s="23" t="s">
        <v>801</v>
      </c>
      <c r="K11" s="23" t="s">
        <v>934</v>
      </c>
    </row>
    <row r="12" spans="1:11" ht="13.8" thickBot="1" x14ac:dyDescent="0.25">
      <c r="A12" s="23" t="s">
        <v>1088</v>
      </c>
      <c r="B12" s="23" t="s">
        <v>1036</v>
      </c>
      <c r="C12" s="23" t="s">
        <v>14</v>
      </c>
      <c r="D12" s="24" t="s">
        <v>108</v>
      </c>
      <c r="E12" s="24" t="s">
        <v>1089</v>
      </c>
      <c r="F12" s="24" t="s">
        <v>109</v>
      </c>
      <c r="G12" s="24" t="s">
        <v>13</v>
      </c>
      <c r="H12" s="24" t="s">
        <v>1090</v>
      </c>
      <c r="I12" s="24" t="s">
        <v>1091</v>
      </c>
      <c r="J12" s="23" t="s">
        <v>844</v>
      </c>
      <c r="K12" s="23" t="s">
        <v>1041</v>
      </c>
    </row>
    <row r="13" spans="1:11" ht="13.8" thickBot="1" x14ac:dyDescent="0.25">
      <c r="A13" s="23" t="s">
        <v>1095</v>
      </c>
      <c r="B13" s="23" t="s">
        <v>1036</v>
      </c>
      <c r="C13" s="23" t="s">
        <v>15</v>
      </c>
      <c r="D13" s="24" t="s">
        <v>1096</v>
      </c>
      <c r="E13" s="24" t="s">
        <v>175</v>
      </c>
      <c r="F13" s="24" t="s">
        <v>1097</v>
      </c>
      <c r="G13" s="24" t="s">
        <v>13</v>
      </c>
      <c r="H13" s="24" t="s">
        <v>1098</v>
      </c>
      <c r="I13" s="24" t="s">
        <v>1099</v>
      </c>
      <c r="J13" s="23" t="s">
        <v>934</v>
      </c>
      <c r="K13" s="23" t="s">
        <v>934</v>
      </c>
    </row>
    <row r="14" spans="1:11" ht="13.8" thickBot="1" x14ac:dyDescent="0.25">
      <c r="A14" s="23" t="s">
        <v>1092</v>
      </c>
      <c r="B14" s="23" t="s">
        <v>1036</v>
      </c>
      <c r="C14" s="23" t="s">
        <v>16</v>
      </c>
      <c r="D14" s="24" t="s">
        <v>108</v>
      </c>
      <c r="E14" s="24" t="s">
        <v>1093</v>
      </c>
      <c r="F14" s="24" t="s">
        <v>109</v>
      </c>
      <c r="G14" s="24" t="s">
        <v>13</v>
      </c>
      <c r="H14" s="24" t="s">
        <v>110</v>
      </c>
      <c r="I14" s="24" t="s">
        <v>1094</v>
      </c>
      <c r="J14" s="23" t="s">
        <v>1051</v>
      </c>
      <c r="K14" s="23" t="s">
        <v>1070</v>
      </c>
    </row>
    <row r="15" spans="1:11" ht="13.8" thickBot="1" x14ac:dyDescent="0.25">
      <c r="A15" s="23" t="s">
        <v>1376</v>
      </c>
      <c r="B15" s="23" t="s">
        <v>1267</v>
      </c>
      <c r="C15" s="23" t="s">
        <v>11</v>
      </c>
      <c r="D15" s="24" t="s">
        <v>623</v>
      </c>
      <c r="E15" s="24" t="s">
        <v>1377</v>
      </c>
      <c r="F15" s="24" t="s">
        <v>625</v>
      </c>
      <c r="G15" s="24" t="s">
        <v>13</v>
      </c>
      <c r="H15" s="24" t="s">
        <v>1562</v>
      </c>
      <c r="I15" s="24" t="s">
        <v>1378</v>
      </c>
      <c r="J15" s="23" t="s">
        <v>1041</v>
      </c>
      <c r="K15" s="23" t="s">
        <v>1268</v>
      </c>
    </row>
    <row r="16" spans="1:11" ht="13.8" thickBot="1" x14ac:dyDescent="0.25">
      <c r="A16" s="23" t="s">
        <v>1379</v>
      </c>
      <c r="B16" s="23" t="s">
        <v>1267</v>
      </c>
      <c r="C16" s="23" t="s">
        <v>14</v>
      </c>
      <c r="D16" s="24" t="s">
        <v>108</v>
      </c>
      <c r="E16" s="24" t="s">
        <v>1380</v>
      </c>
      <c r="F16" s="24" t="s">
        <v>109</v>
      </c>
      <c r="G16" s="24" t="s">
        <v>13</v>
      </c>
      <c r="H16" s="24" t="s">
        <v>110</v>
      </c>
      <c r="I16" s="24" t="s">
        <v>1381</v>
      </c>
      <c r="J16" s="23" t="s">
        <v>1064</v>
      </c>
      <c r="K16" s="23" t="s">
        <v>1291</v>
      </c>
    </row>
    <row r="17" spans="1:11" ht="13.8" thickBot="1" x14ac:dyDescent="0.25">
      <c r="A17" s="23" t="s">
        <v>1382</v>
      </c>
      <c r="B17" s="23" t="s">
        <v>1267</v>
      </c>
      <c r="C17" s="23" t="s">
        <v>15</v>
      </c>
      <c r="D17" s="24" t="s">
        <v>108</v>
      </c>
      <c r="E17" s="24" t="s">
        <v>1563</v>
      </c>
      <c r="F17" s="24" t="s">
        <v>109</v>
      </c>
      <c r="G17" s="24" t="s">
        <v>13</v>
      </c>
      <c r="H17" s="24" t="s">
        <v>1564</v>
      </c>
      <c r="I17" s="24" t="s">
        <v>1565</v>
      </c>
      <c r="J17" s="23" t="s">
        <v>1285</v>
      </c>
      <c r="K17" s="23" t="s">
        <v>1328</v>
      </c>
    </row>
    <row r="18" spans="1:11" ht="13.8" thickBot="1" x14ac:dyDescent="0.25">
      <c r="A18" s="23" t="s">
        <v>1566</v>
      </c>
      <c r="B18" s="23" t="s">
        <v>1462</v>
      </c>
      <c r="C18" s="23" t="s">
        <v>11</v>
      </c>
      <c r="D18" s="24" t="s">
        <v>108</v>
      </c>
      <c r="E18" s="24" t="s">
        <v>1567</v>
      </c>
      <c r="F18" s="24" t="s">
        <v>109</v>
      </c>
      <c r="G18" s="24" t="s">
        <v>13</v>
      </c>
      <c r="H18" s="24" t="s">
        <v>110</v>
      </c>
      <c r="I18" s="24" t="s">
        <v>1568</v>
      </c>
      <c r="J18" s="23" t="s">
        <v>1311</v>
      </c>
      <c r="K18" s="23" t="s">
        <v>1463</v>
      </c>
    </row>
    <row r="19" spans="1:11" ht="13.8" thickBot="1" x14ac:dyDescent="0.25">
      <c r="A19" s="23" t="s">
        <v>1569</v>
      </c>
      <c r="B19" s="23" t="s">
        <v>1462</v>
      </c>
      <c r="C19" s="23" t="s">
        <v>14</v>
      </c>
      <c r="D19" s="24" t="s">
        <v>108</v>
      </c>
      <c r="E19" s="24" t="s">
        <v>1383</v>
      </c>
      <c r="F19" s="24" t="s">
        <v>109</v>
      </c>
      <c r="G19" s="24" t="s">
        <v>13</v>
      </c>
      <c r="H19" s="24" t="s">
        <v>110</v>
      </c>
      <c r="I19" s="24" t="s">
        <v>1384</v>
      </c>
      <c r="J19" s="23" t="s">
        <v>1336</v>
      </c>
      <c r="K19" s="23" t="s">
        <v>1486</v>
      </c>
    </row>
    <row r="20" spans="1:11" ht="13.8" thickBot="1" x14ac:dyDescent="0.25">
      <c r="A20" s="23" t="s">
        <v>1570</v>
      </c>
      <c r="B20" s="23" t="s">
        <v>1462</v>
      </c>
      <c r="C20" s="23" t="s">
        <v>15</v>
      </c>
      <c r="D20" s="24" t="s">
        <v>111</v>
      </c>
      <c r="E20" s="24" t="s">
        <v>971</v>
      </c>
      <c r="F20" s="24" t="s">
        <v>141</v>
      </c>
      <c r="G20" s="24" t="s">
        <v>13</v>
      </c>
      <c r="H20" s="24" t="s">
        <v>153</v>
      </c>
      <c r="I20" s="24" t="s">
        <v>1571</v>
      </c>
      <c r="J20" s="23" t="s">
        <v>1477</v>
      </c>
      <c r="K20" s="23" t="s">
        <v>1506</v>
      </c>
    </row>
  </sheetData>
  <mergeCells count="11">
    <mergeCell ref="H1:H2"/>
    <mergeCell ref="I1:I2"/>
    <mergeCell ref="J1:J2"/>
    <mergeCell ref="K1:K2"/>
    <mergeCell ref="A1:A2"/>
    <mergeCell ref="E1:E2"/>
    <mergeCell ref="F1:F2"/>
    <mergeCell ref="G1:G2"/>
    <mergeCell ref="B1:B2"/>
    <mergeCell ref="C1:C2"/>
    <mergeCell ref="D1:D2"/>
  </mergeCells>
  <phoneticPr fontId="2"/>
  <pageMargins left="0.75" right="0.75" top="1" bottom="1" header="0.51200000000000001" footer="0.51200000000000001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C000"/>
  </sheetPr>
  <dimension ref="A1:I285"/>
  <sheetViews>
    <sheetView tabSelected="1" workbookViewId="0">
      <selection activeCell="D20" sqref="D20"/>
    </sheetView>
  </sheetViews>
  <sheetFormatPr defaultRowHeight="13.2" x14ac:dyDescent="0.2"/>
  <cols>
    <col min="1" max="1" width="4" bestFit="1" customWidth="1"/>
    <col min="3" max="3" width="14.109375" bestFit="1" customWidth="1"/>
    <col min="4" max="4" width="41.33203125" bestFit="1" customWidth="1"/>
    <col min="5" max="5" width="11.88671875" bestFit="1" customWidth="1"/>
    <col min="6" max="6" width="8" bestFit="1" customWidth="1"/>
    <col min="7" max="7" width="13.109375" bestFit="1" customWidth="1"/>
    <col min="9" max="9" width="14.109375" bestFit="1" customWidth="1"/>
  </cols>
  <sheetData>
    <row r="1" spans="1:9" x14ac:dyDescent="0.2">
      <c r="A1" s="9" t="s">
        <v>61</v>
      </c>
      <c r="B1" s="6" t="s">
        <v>56</v>
      </c>
      <c r="C1" s="9" t="s">
        <v>57</v>
      </c>
      <c r="D1" s="3" t="s">
        <v>58</v>
      </c>
      <c r="E1" s="10" t="s">
        <v>62</v>
      </c>
      <c r="F1" s="3" t="s">
        <v>59</v>
      </c>
      <c r="G1" s="6" t="s">
        <v>63</v>
      </c>
      <c r="H1" s="6"/>
      <c r="I1" s="6" t="s">
        <v>64</v>
      </c>
    </row>
    <row r="2" spans="1:9" s="19" customFormat="1" ht="13.8" thickBot="1" x14ac:dyDescent="0.2">
      <c r="A2" s="11">
        <v>1</v>
      </c>
      <c r="B2" s="7" t="str">
        <f>IFERROR(VLOOKUP(E2,'(新)ﾍﾞﾝﾀﾞｰ大型'!$A$3:$K14,2,0),"")</f>
        <v>10月 </v>
      </c>
      <c r="C2" s="7" t="str">
        <f>IFERROR(VLOOKUP(E2,'(新)ﾍﾞﾝﾀﾞｰ大型'!$A$3:K14,4,0),"")</f>
        <v>HRB6007 </v>
      </c>
      <c r="D2" s="7" t="str">
        <f>IFERROR(VLOOKUP(E2,'(新)ﾍﾞﾝﾀﾞｰ大型'!$A$3:K14,5,0),"")</f>
        <v> （株）徹工業 </v>
      </c>
      <c r="E2" s="23" t="str">
        <f>'(新)ﾍﾞﾝﾀﾞｰ大型'!A3</f>
        <v> TY60075008 </v>
      </c>
      <c r="F2" s="8" t="str">
        <f>IFERROR(VLOOKUP(E2,'(新)ﾍﾞﾝﾀﾞｰ大型'!A3:K14,8,0),"")</f>
        <v>0G3780 </v>
      </c>
      <c r="G2" s="7" t="str">
        <f>IFERROR(VLOOKUP(E2,'(旧)ﾍﾞﾝﾀﾞｰ大型'!$A$3:$K30,10,0),"")</f>
        <v>2026/08/18 </v>
      </c>
      <c r="H2" s="12" t="s">
        <v>60</v>
      </c>
      <c r="I2" s="7" t="str">
        <f>IFERROR(VLOOKUP(E2,'(新)ﾍﾞﾝﾀﾞｰ大型'!$A$3:$K14,10,0),"")</f>
        <v>2026/08/18 </v>
      </c>
    </row>
    <row r="3" spans="1:9" s="19" customFormat="1" ht="13.8" thickBot="1" x14ac:dyDescent="0.2">
      <c r="A3" s="11">
        <v>2</v>
      </c>
      <c r="B3" s="7" t="str">
        <f>IFERROR(VLOOKUP(E3,'(新)ﾍﾞﾝﾀﾞｰ大型'!$A$3:$K15,2,0),"")</f>
        <v>10月 </v>
      </c>
      <c r="C3" s="7" t="str">
        <f>IFERROR(VLOOKUP(E3,'(新)ﾍﾞﾝﾀﾞｰ大型'!$A$3:K15,4,0),"")</f>
        <v>HRB3503 </v>
      </c>
      <c r="D3" s="7" t="str">
        <f>IFERROR(VLOOKUP(E3,'(新)ﾍﾞﾝﾀﾞｰ大型'!$A$3:K15,5,0),"")</f>
        <v> （株）ｅｘｃｅｌｌｅｎｔ </v>
      </c>
      <c r="E3" s="23" t="str">
        <f>'(新)ﾍﾞﾝﾀﾞｰ大型'!A4</f>
        <v> TY35035019 </v>
      </c>
      <c r="F3" s="8" t="str">
        <f>IFERROR(VLOOKUP(E3,'(新)ﾍﾞﾝﾀﾞｰ大型'!A4:K15,8,0),"")</f>
        <v>0G3591 </v>
      </c>
      <c r="G3" s="7" t="str">
        <f>IFERROR(VLOOKUP(E3,'(旧)ﾍﾞﾝﾀﾞｰ大型'!$A$3:$K31,10,0),"")</f>
        <v>2026/08/20 </v>
      </c>
      <c r="H3" s="12" t="s">
        <v>60</v>
      </c>
      <c r="I3" s="7" t="str">
        <f>IFERROR(VLOOKUP(E3,'(新)ﾍﾞﾝﾀﾞｰ大型'!$A$3:$K15,10,0),"")</f>
        <v>2026/08/20 </v>
      </c>
    </row>
    <row r="4" spans="1:9" s="19" customFormat="1" ht="13.8" thickBot="1" x14ac:dyDescent="0.2">
      <c r="A4" s="11">
        <v>3</v>
      </c>
      <c r="B4" s="7" t="str">
        <f>IFERROR(VLOOKUP(E4,'(新)ﾍﾞﾝﾀﾞｰ大型'!$A$3:$K16,2,0),"")</f>
        <v>10月 </v>
      </c>
      <c r="C4" s="7" t="str">
        <f>IFERROR(VLOOKUP(E4,'(新)ﾍﾞﾝﾀﾞｰ大型'!$A$3:K16,4,0),"")</f>
        <v>HRB3506EXP </v>
      </c>
      <c r="D4" s="7" t="str">
        <f>IFERROR(VLOOKUP(E4,'(新)ﾍﾞﾝﾀﾞｰ大型'!$A$3:K16,5,0),"")</f>
        <v> 【TAIWAN】原榮 </v>
      </c>
      <c r="E4" s="23" t="str">
        <f>'(新)ﾍﾞﾝﾀﾞｰ大型'!A5</f>
        <v> TY35065012 </v>
      </c>
      <c r="F4" s="8" t="str">
        <f>IFERROR(VLOOKUP(E4,'(新)ﾍﾞﾝﾀﾞｰ大型'!A5:K16,8,0),"")</f>
        <v>0G3919 </v>
      </c>
      <c r="G4" s="7" t="str">
        <f>IFERROR(VLOOKUP(E4,'(旧)ﾍﾞﾝﾀﾞｰ大型'!$A$3:$K32,10,0),"")</f>
        <v>2026/08/26 </v>
      </c>
      <c r="H4" s="12" t="s">
        <v>60</v>
      </c>
      <c r="I4" s="7" t="str">
        <f>IFERROR(VLOOKUP(E4,'(新)ﾍﾞﾝﾀﾞｰ大型'!$A$3:$K16,10,0),"")</f>
        <v>2026/08/26 </v>
      </c>
    </row>
    <row r="5" spans="1:9" s="19" customFormat="1" ht="13.8" thickBot="1" x14ac:dyDescent="0.2">
      <c r="A5" s="11">
        <v>4</v>
      </c>
      <c r="B5" s="7" t="str">
        <f>IFERROR(VLOOKUP(E5,'(新)ﾍﾞﾝﾀﾞｰ大型'!$A$3:$K17,2,0),"")</f>
        <v>10月 </v>
      </c>
      <c r="C5" s="7" t="str">
        <f>IFERROR(VLOOKUP(E5,'(新)ﾍﾞﾝﾀﾞｰ大型'!$A$3:K17,4,0),"")</f>
        <v>HRB3503 </v>
      </c>
      <c r="D5" s="7" t="str">
        <f>IFERROR(VLOOKUP(E5,'(新)ﾍﾞﾝﾀﾞｰ大型'!$A$3:K17,5,0),"")</f>
        <v> （株）アマダベンディングＳ部 </v>
      </c>
      <c r="E5" s="23" t="str">
        <f>'(新)ﾍﾞﾝﾀﾞｰ大型'!A6</f>
        <v> TY35035020 </v>
      </c>
      <c r="F5" s="8" t="str">
        <f>IFERROR(VLOOKUP(E5,'(新)ﾍﾞﾝﾀﾞｰ大型'!A6:K17,8,0),"")</f>
        <v>0D1410 </v>
      </c>
      <c r="G5" s="7" t="str">
        <f>IFERROR(VLOOKUP(E5,'(旧)ﾍﾞﾝﾀﾞｰ大型'!$A$3:$K33,10,0),"")</f>
        <v>2026/09/25 </v>
      </c>
      <c r="H5" s="12" t="s">
        <v>60</v>
      </c>
      <c r="I5" s="7" t="str">
        <f>IFERROR(VLOOKUP(E5,'(新)ﾍﾞﾝﾀﾞｰ大型'!$A$3:$K17,10,0),"")</f>
        <v>2026/09/25 </v>
      </c>
    </row>
    <row r="6" spans="1:9" s="19" customFormat="1" ht="13.8" thickBot="1" x14ac:dyDescent="0.2">
      <c r="A6" s="11">
        <v>5</v>
      </c>
      <c r="B6" s="7" t="str">
        <f>IFERROR(VLOOKUP(E6,'(新)ﾍﾞﾝﾀﾞｰ大型'!$A$3:$K18,2,0),"")</f>
        <v>10月 </v>
      </c>
      <c r="C6" s="7" t="str">
        <f>IFERROR(VLOOKUP(E6,'(新)ﾍﾞﾝﾀﾞｰ大型'!$A$3:K18,4,0),"")</f>
        <v>HRB6007 </v>
      </c>
      <c r="D6" s="7" t="str">
        <f>IFERROR(VLOOKUP(E6,'(新)ﾍﾞﾝﾀﾞｰ大型'!$A$3:K18,5,0),"")</f>
        <v> 大丸鐵興（株） </v>
      </c>
      <c r="E6" s="23" t="str">
        <f>'(新)ﾍﾞﾝﾀﾞｰ大型'!A7</f>
        <v> TY60075006 </v>
      </c>
      <c r="F6" s="8" t="str">
        <f>IFERROR(VLOOKUP(E6,'(新)ﾍﾞﾝﾀﾞｰ大型'!A7:K18,8,0),"")</f>
        <v>0F8902 </v>
      </c>
      <c r="G6" s="7" t="str">
        <f>IFERROR(VLOOKUP(E6,'(旧)ﾍﾞﾝﾀﾞｰ大型'!$A$3:$K34,10,0),"")</f>
        <v>2026/10/13 </v>
      </c>
      <c r="H6" s="12" t="s">
        <v>60</v>
      </c>
      <c r="I6" s="7" t="str">
        <f>IFERROR(VLOOKUP(E6,'(新)ﾍﾞﾝﾀﾞｰ大型'!$A$3:$K18,10,0),"")</f>
        <v>2026/10/13 </v>
      </c>
    </row>
    <row r="7" spans="1:9" s="19" customFormat="1" ht="13.8" thickBot="1" x14ac:dyDescent="0.2">
      <c r="A7" s="11">
        <v>6</v>
      </c>
      <c r="B7" s="7" t="str">
        <f>IFERROR(VLOOKUP(E7,'(新)ﾍﾞﾝﾀﾞｰ大型'!$A$3:$K19,2,0),"")</f>
        <v>11月 </v>
      </c>
      <c r="C7" s="7" t="str">
        <f>IFERROR(VLOOKUP(E7,'(新)ﾍﾞﾝﾀﾞｰ大型'!$A$3:K19,4,0),"")</f>
        <v>HRB3506 </v>
      </c>
      <c r="D7" s="7" t="str">
        <f>IFERROR(VLOOKUP(E7,'(新)ﾍﾞﾝﾀﾞｰ大型'!$A$3:K19,5,0),"")</f>
        <v> 墨東建材工業（株） </v>
      </c>
      <c r="E7" s="23" t="str">
        <f>'(新)ﾍﾞﾝﾀﾞｰ大型'!A8</f>
        <v> TY35065014 </v>
      </c>
      <c r="F7" s="8" t="str">
        <f>IFERROR(VLOOKUP(E7,'(新)ﾍﾞﾝﾀﾞｰ大型'!A8:K19,8,0),"")</f>
        <v>0D3185 </v>
      </c>
      <c r="G7" s="7" t="str">
        <f>IFERROR(VLOOKUP(E7,'(旧)ﾍﾞﾝﾀﾞｰ大型'!$A$3:$K35,10,0),"")</f>
        <v>2026/10/13 </v>
      </c>
      <c r="H7" s="12" t="s">
        <v>60</v>
      </c>
      <c r="I7" s="7" t="str">
        <f>IFERROR(VLOOKUP(E7,'(新)ﾍﾞﾝﾀﾞｰ大型'!$A$3:$K19,10,0),"")</f>
        <v>2026/10/21 </v>
      </c>
    </row>
    <row r="8" spans="1:9" s="19" customFormat="1" ht="13.8" thickBot="1" x14ac:dyDescent="0.2">
      <c r="A8" s="11">
        <v>7</v>
      </c>
      <c r="B8" s="7" t="str">
        <f>IFERROR(VLOOKUP(E8,'(新)ﾍﾞﾝﾀﾞｰ大型'!$A$3:$K20,2,0),"")</f>
        <v>11月 </v>
      </c>
      <c r="C8" s="7" t="str">
        <f>IFERROR(VLOOKUP(E8,'(新)ﾍﾞﾝﾀﾞｰ大型'!$A$3:K20,4,0),"")</f>
        <v>HRB3504 </v>
      </c>
      <c r="D8" s="7" t="str">
        <f>IFERROR(VLOOKUP(E8,'(新)ﾍﾞﾝﾀﾞｰ大型'!$A$3:K20,5,0),"")</f>
        <v> （株）林シャーリング </v>
      </c>
      <c r="E8" s="23" t="str">
        <f>'(新)ﾍﾞﾝﾀﾞｰ大型'!A9</f>
        <v> TY35045032 </v>
      </c>
      <c r="F8" s="8" t="str">
        <f>IFERROR(VLOOKUP(E8,'(新)ﾍﾞﾝﾀﾞｰ大型'!A9:K20,8,0),"")</f>
        <v>0G5073 </v>
      </c>
      <c r="G8" s="7" t="str">
        <f>IFERROR(VLOOKUP(E8,'(旧)ﾍﾞﾝﾀﾞｰ大型'!$A$3:$K36,10,0),"")</f>
        <v>2026/11/10 </v>
      </c>
      <c r="H8" s="12" t="s">
        <v>60</v>
      </c>
      <c r="I8" s="7" t="str">
        <f>IFERROR(VLOOKUP(E8,'(新)ﾍﾞﾝﾀﾞｰ大型'!$A$3:$K20,10,0),"")</f>
        <v>2026/11/12 </v>
      </c>
    </row>
    <row r="9" spans="1:9" s="19" customFormat="1" ht="13.8" thickBot="1" x14ac:dyDescent="0.2">
      <c r="A9" s="11">
        <v>8</v>
      </c>
      <c r="B9" s="7" t="str">
        <f>IFERROR(VLOOKUP(E9,'(新)ﾍﾞﾝﾀﾞｰ大型'!$A$3:$K21,2,0),"")</f>
        <v>12月 </v>
      </c>
      <c r="C9" s="7" t="str">
        <f>IFERROR(VLOOKUP(E9,'(新)ﾍﾞﾝﾀﾞｰ大型'!$A$3:K21,4,0),"")</f>
        <v>HRB3506 </v>
      </c>
      <c r="D9" s="7" t="str">
        <f>IFERROR(VLOOKUP(E9,'(新)ﾍﾞﾝﾀﾞｰ大型'!$A$3:K21,5,0),"")</f>
        <v> （株）ソーゴ </v>
      </c>
      <c r="E9" s="23" t="str">
        <f>'(新)ﾍﾞﾝﾀﾞｰ大型'!A10</f>
        <v> TY35065013 </v>
      </c>
      <c r="F9" s="8" t="str">
        <f>IFERROR(VLOOKUP(E9,'(新)ﾍﾞﾝﾀﾞｰ大型'!A10:K21,8,0),"")</f>
        <v>0G4304 </v>
      </c>
      <c r="G9" s="7" t="str">
        <f>IFERROR(VLOOKUP(E9,'(旧)ﾍﾞﾝﾀﾞｰ大型'!$A$3:$K37,10,0),"")</f>
        <v>2026/11/05 </v>
      </c>
      <c r="H9" s="12" t="s">
        <v>60</v>
      </c>
      <c r="I9" s="7" t="str">
        <f>IFERROR(VLOOKUP(E9,'(新)ﾍﾞﾝﾀﾞｰ大型'!$A$3:$K21,10,0),"")</f>
        <v>2026/11/05 </v>
      </c>
    </row>
    <row r="10" spans="1:9" s="19" customFormat="1" ht="13.8" thickBot="1" x14ac:dyDescent="0.2">
      <c r="A10" s="11">
        <v>9</v>
      </c>
      <c r="B10" s="7" t="str">
        <f>IFERROR(VLOOKUP(E10,'(新)ﾍﾞﾝﾀﾞｰ大型'!$A$3:$K22,2,0),"")</f>
        <v>01月 </v>
      </c>
      <c r="C10" s="7" t="str">
        <f>IFERROR(VLOOKUP(E10,'(新)ﾍﾞﾝﾀﾞｰ大型'!$A$3:K22,4,0),"")</f>
        <v>HRB3503 </v>
      </c>
      <c r="D10" s="7" t="str">
        <f>IFERROR(VLOOKUP(E10,'(新)ﾍﾞﾝﾀﾞｰ大型'!$A$3:K22,5,0),"")</f>
        <v> 山崎金属工業（株） </v>
      </c>
      <c r="E10" s="23" t="str">
        <f>'(新)ﾍﾞﾝﾀﾞｰ大型'!A11</f>
        <v> TY35035021 </v>
      </c>
      <c r="F10" s="8" t="str">
        <f>IFERROR(VLOOKUP(E10,'(新)ﾍﾞﾝﾀﾞｰ大型'!A10:K22,8,0),"")</f>
        <v>0G4906 </v>
      </c>
      <c r="G10" s="7" t="str">
        <f>IFERROR(VLOOKUP(E10,'(旧)ﾍﾞﾝﾀﾞｰ大型'!$A$3:$K38,10,0),"")</f>
        <v>2027/01/14 </v>
      </c>
      <c r="H10" s="12" t="s">
        <v>60</v>
      </c>
      <c r="I10" s="7" t="str">
        <f>IFERROR(VLOOKUP(E10,'(新)ﾍﾞﾝﾀﾞｰ大型'!$A$3:$K22,10,0),"")</f>
        <v>2026/12/11 </v>
      </c>
    </row>
    <row r="11" spans="1:9" s="19" customFormat="1" ht="13.8" thickBot="1" x14ac:dyDescent="0.2">
      <c r="A11" s="11">
        <v>10</v>
      </c>
      <c r="B11" s="7" t="str">
        <f>IFERROR(VLOOKUP(E11,'(新)ﾍﾞﾝﾀﾞｰ大型'!$A$3:$K23,2,0),"")</f>
        <v>01月 </v>
      </c>
      <c r="C11" s="7" t="str">
        <f>IFERROR(VLOOKUP(E11,'(新)ﾍﾞﾝﾀﾞｰ大型'!$A$3:K23,4,0),"")</f>
        <v>HRB3504 </v>
      </c>
      <c r="D11" s="7" t="str">
        <f>IFERROR(VLOOKUP(E11,'(新)ﾍﾞﾝﾀﾞｰ大型'!$A$3:K23,5,0),"")</f>
        <v> （株）イハラ </v>
      </c>
      <c r="E11" s="23" t="str">
        <f>'(新)ﾍﾞﾝﾀﾞｰ大型'!A12</f>
        <v> TY35045033 </v>
      </c>
      <c r="F11" s="8" t="str">
        <f>IFERROR(VLOOKUP(E11,'(新)ﾍﾞﾝﾀﾞｰ大型'!A11:K23,8,0),"")</f>
        <v>0G4497 </v>
      </c>
      <c r="G11" s="7" t="str">
        <f>IFERROR(VLOOKUP(E11,'(旧)ﾍﾞﾝﾀﾞｰ大型'!$A$3:$K39,10,0),"")</f>
        <v>2026/12/11 </v>
      </c>
      <c r="H11" s="12" t="s">
        <v>60</v>
      </c>
      <c r="I11" s="7" t="str">
        <f>IFERROR(VLOOKUP(E11,'(新)ﾍﾞﾝﾀﾞｰ大型'!$A$3:$K23,10,0),"")</f>
        <v>2026/12/18 </v>
      </c>
    </row>
    <row r="12" spans="1:9" s="19" customFormat="1" ht="13.8" thickBot="1" x14ac:dyDescent="0.2">
      <c r="A12" s="11">
        <v>11</v>
      </c>
      <c r="B12" s="7" t="str">
        <f>IFERROR(VLOOKUP(E12,'(新)ﾍﾞﾝﾀﾞｰ大型'!$A$3:$K24,2,0),"")</f>
        <v>01月 </v>
      </c>
      <c r="C12" s="7" t="str">
        <f>IFERROR(VLOOKUP(E12,'(新)ﾍﾞﾝﾀﾞｰ大型'!$A$3:K24,4,0),"")</f>
        <v>HRBC3504 </v>
      </c>
      <c r="D12" s="7" t="str">
        <f>IFERROR(VLOOKUP(E12,'(新)ﾍﾞﾝﾀﾞｰ大型'!$A$3:K24,5,0),"")</f>
        <v> 【CHINA】Foxconn天津 </v>
      </c>
      <c r="E12" s="23" t="str">
        <f>'(新)ﾍﾞﾝﾀﾞｰ大型'!A13</f>
        <v> TY35045034 </v>
      </c>
      <c r="F12" s="8" t="str">
        <f>IFERROR(VLOOKUP(E12,'(新)ﾍﾞﾝﾀﾞｰ大型'!A12:K24,8,0),"")</f>
        <v>0G4759 </v>
      </c>
      <c r="G12" s="7" t="str">
        <f>IFERROR(VLOOKUP(E12,'(旧)ﾍﾞﾝﾀﾞｰ大型'!$A$3:$K40,10,0),"")</f>
        <v>2027/01/06 </v>
      </c>
      <c r="H12" s="12" t="s">
        <v>60</v>
      </c>
      <c r="I12" s="7" t="str">
        <f>IFERROR(VLOOKUP(E12,'(新)ﾍﾞﾝﾀﾞｰ大型'!$A$3:$K24,10,0),"")</f>
        <v>2026/12/25 </v>
      </c>
    </row>
    <row r="13" spans="1:9" s="19" customFormat="1" ht="13.8" thickBot="1" x14ac:dyDescent="0.2">
      <c r="A13" s="11">
        <v>12</v>
      </c>
      <c r="B13" s="7" t="str">
        <f>IFERROR(VLOOKUP(E13,'(新)ﾍﾞﾝﾀﾞｰ大型'!$A$3:$K25,2,0),"")</f>
        <v>01月 </v>
      </c>
      <c r="C13" s="7" t="str">
        <f>IFERROR(VLOOKUP(E13,'(新)ﾍﾞﾝﾀﾞｰ大型'!$A$3:K25,4,0),"")</f>
        <v>HRB3504 </v>
      </c>
      <c r="D13" s="7" t="str">
        <f>IFERROR(VLOOKUP(E13,'(新)ﾍﾞﾝﾀﾞｰ大型'!$A$3:K25,5,0),"")</f>
        <v> 東洋シヤッター（株） </v>
      </c>
      <c r="E13" s="23" t="str">
        <f>'(新)ﾍﾞﾝﾀﾞｰ大型'!A14</f>
        <v> TY35045035 </v>
      </c>
      <c r="F13" s="8" t="str">
        <f>IFERROR(VLOOKUP(E13,'(新)ﾍﾞﾝﾀﾞｰ大型'!A13:K25,8,0),"")</f>
        <v>0D3733 </v>
      </c>
      <c r="G13" s="7" t="str">
        <f>IFERROR(VLOOKUP(E13,'(旧)ﾍﾞﾝﾀﾞｰ大型'!$A$3:$K41,10,0),"")</f>
        <v>2026/12/25 </v>
      </c>
      <c r="H13" s="12" t="s">
        <v>60</v>
      </c>
      <c r="I13" s="7" t="str">
        <f>IFERROR(VLOOKUP(E13,'(新)ﾍﾞﾝﾀﾞｰ大型'!$A$3:$K25,10,0),"")</f>
        <v>2027/01/15 </v>
      </c>
    </row>
    <row r="14" spans="1:9" s="19" customFormat="1" ht="13.8" thickBot="1" x14ac:dyDescent="0.2">
      <c r="A14" s="11">
        <v>13</v>
      </c>
      <c r="B14" s="7" t="str">
        <f>IFERROR(VLOOKUP(E14,'(新)ﾍﾞﾝﾀﾞｰ大型'!$A$3:$K26,2,0),"")</f>
        <v>02月 </v>
      </c>
      <c r="C14" s="7" t="str">
        <f>IFERROR(VLOOKUP(E14,'(新)ﾍﾞﾝﾀﾞｰ大型'!$A$3:K26,4,0),"")</f>
        <v>HRB3506 </v>
      </c>
      <c r="D14" s="7" t="str">
        <f>IFERROR(VLOOKUP(E14,'(新)ﾍﾞﾝﾀﾞｰ大型'!$A$3:K26,5,0),"")</f>
        <v> パナソニック　ＨＶＡＣ　＆　ＣＣシステム </v>
      </c>
      <c r="E14" s="23" t="str">
        <f>'(新)ﾍﾞﾝﾀﾞｰ大型'!A15</f>
        <v> TY35065015 </v>
      </c>
      <c r="F14" s="8" t="str">
        <f>IFERROR(VLOOKUP(E14,'(新)ﾍﾞﾝﾀﾞｰ大型'!A14:K26,8,0),"")</f>
        <v>0G5795 </v>
      </c>
      <c r="G14" s="7" t="str">
        <f>IFERROR(VLOOKUP(E14,'(旧)ﾍﾞﾝﾀﾞｰ大型'!$A$3:$K42,10,0),"")</f>
        <v>2027/01/05 </v>
      </c>
      <c r="H14" s="12" t="s">
        <v>60</v>
      </c>
      <c r="I14" s="7" t="str">
        <f>IFERROR(VLOOKUP(E14,'(新)ﾍﾞﾝﾀﾞｰ大型'!$A$3:$K26,10,0),"")</f>
        <v>2027/01/08 </v>
      </c>
    </row>
    <row r="15" spans="1:9" s="19" customFormat="1" ht="13.8" thickBot="1" x14ac:dyDescent="0.2">
      <c r="A15" s="11">
        <v>14</v>
      </c>
      <c r="B15" s="7" t="str">
        <f>IFERROR(VLOOKUP(E15,'(新)ﾍﾞﾝﾀﾞｰ大型'!$A$3:$K27,2,0),"")</f>
        <v>02月 </v>
      </c>
      <c r="C15" s="7" t="str">
        <f>IFERROR(VLOOKUP(E15,'(新)ﾍﾞﾝﾀﾞｰ大型'!$A$3:K27,4,0),"")</f>
        <v>HRB3504 </v>
      </c>
      <c r="D15" s="7" t="str">
        <f>IFERROR(VLOOKUP(E15,'(新)ﾍﾞﾝﾀﾞｰ大型'!$A$3:K27,5,0),"")</f>
        <v> 東海シヤリング（株） </v>
      </c>
      <c r="E15" s="23" t="str">
        <f>'(新)ﾍﾞﾝﾀﾞｰ大型'!A16</f>
        <v> TY35045036 </v>
      </c>
      <c r="F15" s="8" t="str">
        <f>IFERROR(VLOOKUP(E15,'(新)ﾍﾞﾝﾀﾞｰ大型'!A15:K27,8,0),"")</f>
        <v>0D3733 </v>
      </c>
      <c r="G15" s="7" t="str">
        <f>IFERROR(VLOOKUP(E15,'(旧)ﾍﾞﾝﾀﾞｰ大型'!$A$3:$K43,10,0),"")</f>
        <v>2027/01/22 </v>
      </c>
      <c r="H15" s="12" t="s">
        <v>60</v>
      </c>
      <c r="I15" s="7" t="str">
        <f>IFERROR(VLOOKUP(E15,'(新)ﾍﾞﾝﾀﾞｰ大型'!$A$3:$K27,10,0),"")</f>
        <v>2027/01/26 </v>
      </c>
    </row>
    <row r="16" spans="1:9" s="19" customFormat="1" ht="13.8" thickBot="1" x14ac:dyDescent="0.2">
      <c r="A16" s="11">
        <v>15</v>
      </c>
      <c r="B16" s="7" t="str">
        <f>IFERROR(VLOOKUP(E16,'(新)ﾍﾞﾝﾀﾞｰ大型'!$A$3:$K28,2,0),"")</f>
        <v>02月 </v>
      </c>
      <c r="C16" s="7" t="str">
        <f>IFERROR(VLOOKUP(E16,'(新)ﾍﾞﾝﾀﾞｰ大型'!$A$3:K28,4,0),"")</f>
        <v>HRB3504 </v>
      </c>
      <c r="D16" s="7" t="str">
        <f>IFERROR(VLOOKUP(E16,'(新)ﾍﾞﾝﾀﾞｰ大型'!$A$3:K28,5,0),"")</f>
        <v> （株）アムロン </v>
      </c>
      <c r="E16" s="23" t="str">
        <f>'(新)ﾍﾞﾝﾀﾞｰ大型'!A17</f>
        <v> TY35045037 </v>
      </c>
      <c r="F16" s="8" t="str">
        <f>IFERROR(VLOOKUP(E16,'(新)ﾍﾞﾝﾀﾞｰ大型'!A16:K28,8,0),"")</f>
        <v>0G5917 </v>
      </c>
      <c r="G16" s="7" t="str">
        <f>IFERROR(VLOOKUP(E16,'(旧)ﾍﾞﾝﾀﾞｰ大型'!$A$3:$K44,10,0),"")</f>
        <v>2027/02/09 </v>
      </c>
      <c r="H16" s="12" t="s">
        <v>60</v>
      </c>
      <c r="I16" s="7" t="str">
        <f>IFERROR(VLOOKUP(E16,'(新)ﾍﾞﾝﾀﾞｰ大型'!$A$3:$K28,10,0),"")</f>
        <v>2027/02/04 </v>
      </c>
    </row>
    <row r="17" spans="1:9" s="19" customFormat="1" ht="13.8" thickBot="1" x14ac:dyDescent="0.2">
      <c r="A17" s="11">
        <v>16</v>
      </c>
      <c r="B17" s="7" t="str">
        <f>IFERROR(VLOOKUP(E17,'(新)ﾍﾞﾝﾀﾞｰ大型'!$A$3:$K29,2,0),"")</f>
        <v>03月 </v>
      </c>
      <c r="C17" s="7" t="str">
        <f>IFERROR(VLOOKUP(E17,'(新)ﾍﾞﾝﾀﾞｰ大型'!$A$3:K29,4,0),"")</f>
        <v>HRB3504 </v>
      </c>
      <c r="D17" s="7" t="str">
        <f>IFERROR(VLOOKUP(E17,'(新)ﾍﾞﾝﾀﾞｰ大型'!$A$3:K29,5,0),"")</f>
        <v> （有）マサカツ鋼材 </v>
      </c>
      <c r="E17" s="23" t="str">
        <f>'(新)ﾍﾞﾝﾀﾞｰ大型'!A18</f>
        <v> TY35045038 </v>
      </c>
      <c r="F17" s="8" t="str">
        <f>IFERROR(VLOOKUP(E17,'(新)ﾍﾞﾝﾀﾞｰ大型'!A17:K29,8,0),"")</f>
        <v>0D3733 </v>
      </c>
      <c r="G17" s="7" t="str">
        <f>IFERROR(VLOOKUP(E17,'(旧)ﾍﾞﾝﾀﾞｰ大型'!$A$3:$K45,10,0),"")</f>
        <v/>
      </c>
      <c r="H17" s="12" t="s">
        <v>60</v>
      </c>
      <c r="I17" s="7" t="str">
        <f>IFERROR(VLOOKUP(E17,'(新)ﾍﾞﾝﾀﾞｰ大型'!$A$3:$K29,10,0),"")</f>
        <v>2027/02/13 </v>
      </c>
    </row>
    <row r="18" spans="1:9" s="19" customFormat="1" ht="13.8" thickBot="1" x14ac:dyDescent="0.2">
      <c r="A18" s="11">
        <v>17</v>
      </c>
      <c r="B18" s="7" t="str">
        <f>IFERROR(VLOOKUP(E18,'(新)ﾍﾞﾝﾀﾞｰ大型'!$A$3:$K30,2,0),"")</f>
        <v>03月 </v>
      </c>
      <c r="C18" s="7" t="str">
        <f>IFERROR(VLOOKUP(E18,'(新)ﾍﾞﾝﾀﾞｰ大型'!$A$3:K30,4,0),"")</f>
        <v>HRB3504 </v>
      </c>
      <c r="D18" s="7" t="str">
        <f>IFERROR(VLOOKUP(E18,'(新)ﾍﾞﾝﾀﾞｰ大型'!$A$3:K30,5,0),"")</f>
        <v> （株）高橋鉄骨 </v>
      </c>
      <c r="E18" s="23" t="str">
        <f>'(新)ﾍﾞﾝﾀﾞｰ大型'!A19</f>
        <v> TY35045040 </v>
      </c>
      <c r="F18" s="8" t="str">
        <f>IFERROR(VLOOKUP(E18,'(新)ﾍﾞﾝﾀﾞｰ大型'!A18:K30,8,0),"")</f>
        <v>0D3733 </v>
      </c>
      <c r="G18" s="7" t="str">
        <f>IFERROR(VLOOKUP(E18,'(旧)ﾍﾞﾝﾀﾞｰ大型'!$A$3:$K46,10,0),"")</f>
        <v/>
      </c>
      <c r="H18" s="12" t="s">
        <v>60</v>
      </c>
      <c r="I18" s="7" t="str">
        <f>IFERROR(VLOOKUP(E18,'(新)ﾍﾞﾝﾀﾞｰ大型'!$A$3:$K30,10,0),"")</f>
        <v>2027/02/24 </v>
      </c>
    </row>
    <row r="19" spans="1:9" s="19" customFormat="1" ht="13.8" thickBot="1" x14ac:dyDescent="0.2">
      <c r="A19" s="11">
        <v>18</v>
      </c>
      <c r="B19" s="7" t="str">
        <f>IFERROR(VLOOKUP(E19,'(新)ﾍﾞﾝﾀﾞｰ大型'!$A$3:$K31,2,0),"")</f>
        <v>03月 </v>
      </c>
      <c r="C19" s="7" t="str">
        <f>IFERROR(VLOOKUP(E19,'(新)ﾍﾞﾝﾀﾞｰ大型'!$A$3:K31,4,0),"")</f>
        <v>HRB3503 </v>
      </c>
      <c r="D19" s="7" t="str">
        <f>IFERROR(VLOOKUP(E19,'(新)ﾍﾞﾝﾀﾞｰ大型'!$A$3:K31,5,0),"")</f>
        <v> （株）広島メタルワーク </v>
      </c>
      <c r="E19" s="23" t="str">
        <f>'(新)ﾍﾞﾝﾀﾞｰ大型'!A20</f>
        <v> TY35035022 </v>
      </c>
      <c r="F19" s="8" t="str">
        <f>IFERROR(VLOOKUP(E19,'(新)ﾍﾞﾝﾀﾞｰ大型'!A19:K31,8,0),"")</f>
        <v>0D1410 </v>
      </c>
      <c r="G19" s="7" t="str">
        <f>IFERROR(VLOOKUP(E19,'(旧)ﾍﾞﾝﾀﾞｰ大型'!$A$3:$K47,10,0),"")</f>
        <v/>
      </c>
      <c r="H19" s="12" t="s">
        <v>60</v>
      </c>
      <c r="I19" s="7" t="str">
        <f>IFERROR(VLOOKUP(E19,'(新)ﾍﾞﾝﾀﾞｰ大型'!$A$3:$K31,10,0),"")</f>
        <v>2027/03/04 </v>
      </c>
    </row>
    <row r="20" spans="1:9" s="19" customFormat="1" ht="13.8" thickBot="1" x14ac:dyDescent="0.2">
      <c r="A20" s="11">
        <v>19</v>
      </c>
      <c r="B20" s="7" t="str">
        <f>IFERROR(VLOOKUP(E20,'(新)ﾍﾞﾝﾀﾞｰ大型'!$A$3:$K32,2,0),"")</f>
        <v/>
      </c>
      <c r="C20" s="7" t="str">
        <f>IFERROR(VLOOKUP(E20,'(新)ﾍﾞﾝﾀﾞｰ大型'!$A$3:K32,4,0),"")</f>
        <v/>
      </c>
      <c r="D20" s="7" t="str">
        <f>IFERROR(VLOOKUP(E20,'(新)ﾍﾞﾝﾀﾞｰ大型'!$A$3:K32,5,0),"")</f>
        <v/>
      </c>
      <c r="E20" s="23">
        <f>'(新)ﾍﾞﾝﾀﾞｰ大型'!A21</f>
        <v>0</v>
      </c>
      <c r="F20" s="8" t="str">
        <f>IFERROR(VLOOKUP(E20,'(新)ﾍﾞﾝﾀﾞｰ大型'!A20:K32,8,0),"")</f>
        <v/>
      </c>
      <c r="G20" s="7" t="str">
        <f>IFERROR(VLOOKUP(E20,'(旧)ﾍﾞﾝﾀﾞｰ大型'!$A$3:$K48,10,0),"")</f>
        <v/>
      </c>
      <c r="H20" s="12" t="s">
        <v>60</v>
      </c>
      <c r="I20" s="7" t="str">
        <f>IFERROR(VLOOKUP(E20,'(新)ﾍﾞﾝﾀﾞｰ大型'!$A$3:$K32,10,0),"")</f>
        <v/>
      </c>
    </row>
    <row r="21" spans="1:9" s="19" customFormat="1" ht="13.8" thickBot="1" x14ac:dyDescent="0.2">
      <c r="A21" s="11">
        <v>20</v>
      </c>
      <c r="B21" s="7" t="str">
        <f>IFERROR(VLOOKUP(E21,'(新)ﾍﾞﾝﾀﾞｰ大型'!$A$3:$K33,2,0),"")</f>
        <v/>
      </c>
      <c r="C21" s="7" t="str">
        <f>IFERROR(VLOOKUP(E21,'(新)ﾍﾞﾝﾀﾞｰ大型'!$A$3:K33,4,0),"")</f>
        <v/>
      </c>
      <c r="D21" s="7" t="str">
        <f>IFERROR(VLOOKUP(E21,'(新)ﾍﾞﾝﾀﾞｰ大型'!$A$3:K33,5,0),"")</f>
        <v/>
      </c>
      <c r="E21" s="23">
        <f>'(新)ﾍﾞﾝﾀﾞｰ大型'!A22</f>
        <v>0</v>
      </c>
      <c r="F21" s="8" t="str">
        <f>IFERROR(VLOOKUP(E21,'(新)ﾍﾞﾝﾀﾞｰ大型'!A21:K33,8,0),"")</f>
        <v/>
      </c>
      <c r="G21" s="7" t="str">
        <f>IFERROR(VLOOKUP(E21,'(旧)ﾍﾞﾝﾀﾞｰ大型'!$A$3:$K49,10,0),"")</f>
        <v/>
      </c>
      <c r="H21" s="12" t="s">
        <v>60</v>
      </c>
      <c r="I21" s="7" t="str">
        <f>IFERROR(VLOOKUP(E21,'(新)ﾍﾞﾝﾀﾞｰ大型'!$A$3:$K33,10,0),"")</f>
        <v/>
      </c>
    </row>
    <row r="22" spans="1:9" s="19" customFormat="1" ht="13.8" thickBot="1" x14ac:dyDescent="0.2">
      <c r="A22" s="11">
        <v>21</v>
      </c>
      <c r="B22" s="7" t="str">
        <f>IFERROR(VLOOKUP(E22,'(新)ﾍﾞﾝﾀﾞｰ大型'!$A$3:$K34,2,0),"")</f>
        <v/>
      </c>
      <c r="C22" s="7" t="str">
        <f>IFERROR(VLOOKUP(E22,'(新)ﾍﾞﾝﾀﾞｰ大型'!$A$3:K34,4,0),"")</f>
        <v/>
      </c>
      <c r="D22" s="7" t="str">
        <f>IFERROR(VLOOKUP(E22,'(新)ﾍﾞﾝﾀﾞｰ大型'!$A$3:K34,5,0),"")</f>
        <v/>
      </c>
      <c r="E22" s="23">
        <f>'(新)ﾍﾞﾝﾀﾞｰ大型'!A23</f>
        <v>0</v>
      </c>
      <c r="F22" s="8" t="str">
        <f>IFERROR(VLOOKUP(E22,'(新)ﾍﾞﾝﾀﾞｰ大型'!A22:K34,8,0),"")</f>
        <v/>
      </c>
      <c r="G22" s="7" t="str">
        <f>IFERROR(VLOOKUP(E22,'(旧)ﾍﾞﾝﾀﾞｰ大型'!$A$3:$K50,10,0),"")</f>
        <v/>
      </c>
      <c r="H22" s="12" t="s">
        <v>60</v>
      </c>
      <c r="I22" s="7" t="str">
        <f>IFERROR(VLOOKUP(E22,'(新)ﾍﾞﾝﾀﾞｰ大型'!$A$3:$K34,10,0),"")</f>
        <v/>
      </c>
    </row>
    <row r="23" spans="1:9" s="19" customFormat="1" ht="13.8" thickBot="1" x14ac:dyDescent="0.2">
      <c r="A23" s="11">
        <v>22</v>
      </c>
      <c r="B23" s="7" t="str">
        <f>IFERROR(VLOOKUP(E23,'(新)ﾍﾞﾝﾀﾞｰ大型'!$A$3:$K35,2,0),"")</f>
        <v/>
      </c>
      <c r="C23" s="7" t="str">
        <f>IFERROR(VLOOKUP(E23,'(新)ﾍﾞﾝﾀﾞｰ大型'!$A$3:K35,4,0),"")</f>
        <v/>
      </c>
      <c r="D23" s="7" t="str">
        <f>IFERROR(VLOOKUP(E23,'(新)ﾍﾞﾝﾀﾞｰ大型'!$A$3:K35,5,0),"")</f>
        <v/>
      </c>
      <c r="E23" s="23">
        <f>'(新)ﾍﾞﾝﾀﾞｰ大型'!A24</f>
        <v>0</v>
      </c>
      <c r="F23" s="8" t="str">
        <f>IFERROR(VLOOKUP(E23,'(新)ﾍﾞﾝﾀﾞｰ大型'!A23:K35,8,0),"")</f>
        <v/>
      </c>
      <c r="G23" s="7" t="str">
        <f>IFERROR(VLOOKUP(E23,'(旧)ﾍﾞﾝﾀﾞｰ大型'!$A$3:$K51,10,0),"")</f>
        <v/>
      </c>
      <c r="H23" s="12" t="s">
        <v>60</v>
      </c>
      <c r="I23" s="7" t="str">
        <f>IFERROR(VLOOKUP(E23,'(新)ﾍﾞﾝﾀﾞｰ大型'!$A$3:$K35,10,0),"")</f>
        <v/>
      </c>
    </row>
    <row r="24" spans="1:9" s="19" customFormat="1" ht="13.8" thickBot="1" x14ac:dyDescent="0.2">
      <c r="A24" s="11">
        <v>23</v>
      </c>
      <c r="B24" s="7" t="str">
        <f>IFERROR(VLOOKUP(E24,'(新)ﾍﾞﾝﾀﾞｰ大型'!$A$3:$K36,2,0),"")</f>
        <v/>
      </c>
      <c r="C24" s="7" t="str">
        <f>IFERROR(VLOOKUP(E24,'(新)ﾍﾞﾝﾀﾞｰ大型'!$A$3:K36,4,0),"")</f>
        <v/>
      </c>
      <c r="D24" s="7" t="str">
        <f>IFERROR(VLOOKUP(E24,'(新)ﾍﾞﾝﾀﾞｰ大型'!$A$3:K36,5,0),"")</f>
        <v/>
      </c>
      <c r="E24" s="23">
        <f>'(新)ﾍﾞﾝﾀﾞｰ大型'!A25</f>
        <v>0</v>
      </c>
      <c r="F24" s="8" t="str">
        <f>IFERROR(VLOOKUP(E24,'(新)ﾍﾞﾝﾀﾞｰ大型'!A24:K36,8,0),"")</f>
        <v/>
      </c>
      <c r="G24" s="7" t="str">
        <f>IFERROR(VLOOKUP(E24,'(旧)ﾍﾞﾝﾀﾞｰ大型'!$A$3:$K52,10,0),"")</f>
        <v/>
      </c>
      <c r="H24" s="12" t="s">
        <v>60</v>
      </c>
      <c r="I24" s="7" t="str">
        <f>IFERROR(VLOOKUP(E24,'(新)ﾍﾞﾝﾀﾞｰ大型'!$A$3:$K36,10,0),"")</f>
        <v/>
      </c>
    </row>
    <row r="25" spans="1:9" s="19" customFormat="1" ht="13.8" thickBot="1" x14ac:dyDescent="0.2">
      <c r="A25" s="11">
        <v>24</v>
      </c>
      <c r="B25" s="7" t="str">
        <f>IFERROR(VLOOKUP(E25,'(新)ﾍﾞﾝﾀﾞｰ大型'!$A$3:$K37,2,0),"")</f>
        <v/>
      </c>
      <c r="C25" s="7" t="str">
        <f>IFERROR(VLOOKUP(E25,'(新)ﾍﾞﾝﾀﾞｰ大型'!$A$3:K37,4,0),"")</f>
        <v/>
      </c>
      <c r="D25" s="7" t="str">
        <f>IFERROR(VLOOKUP(E25,'(新)ﾍﾞﾝﾀﾞｰ大型'!$A$3:K37,5,0),"")</f>
        <v/>
      </c>
      <c r="E25" s="23">
        <f>'(新)ﾍﾞﾝﾀﾞｰ大型'!A26</f>
        <v>0</v>
      </c>
      <c r="F25" s="8" t="str">
        <f>IFERROR(VLOOKUP(E25,'(新)ﾍﾞﾝﾀﾞｰ大型'!A25:K37,8,0),"")</f>
        <v/>
      </c>
      <c r="G25" s="7" t="str">
        <f>IFERROR(VLOOKUP(E25,'(旧)ﾍﾞﾝﾀﾞｰ大型'!$A$3:$K53,10,0),"")</f>
        <v/>
      </c>
      <c r="H25" s="12" t="s">
        <v>60</v>
      </c>
      <c r="I25" s="7" t="str">
        <f>IFERROR(VLOOKUP(E25,'(新)ﾍﾞﾝﾀﾞｰ大型'!$A$3:$K37,10,0),"")</f>
        <v/>
      </c>
    </row>
    <row r="26" spans="1:9" s="19" customFormat="1" ht="13.8" thickBot="1" x14ac:dyDescent="0.2">
      <c r="A26" s="11">
        <v>25</v>
      </c>
      <c r="B26" s="7" t="str">
        <f>IFERROR(VLOOKUP(E26,'(新)ﾍﾞﾝﾀﾞｰ大型'!$A$3:$K38,2,0),"")</f>
        <v/>
      </c>
      <c r="C26" s="7" t="str">
        <f>IFERROR(VLOOKUP(E26,'(新)ﾍﾞﾝﾀﾞｰ大型'!$A$3:K38,4,0),"")</f>
        <v/>
      </c>
      <c r="D26" s="7" t="str">
        <f>IFERROR(VLOOKUP(E26,'(新)ﾍﾞﾝﾀﾞｰ大型'!$A$3:K38,5,0),"")</f>
        <v/>
      </c>
      <c r="E26" s="23">
        <f>'(新)ﾍﾞﾝﾀﾞｰ大型'!A26</f>
        <v>0</v>
      </c>
      <c r="F26" s="8" t="str">
        <f>IFERROR(VLOOKUP(E26,'(新)ﾍﾞﾝﾀﾞｰ大型'!A26:K38,8,0),"")</f>
        <v/>
      </c>
      <c r="G26" s="7" t="str">
        <f>IFERROR(VLOOKUP(E26,'(旧)ﾍﾞﾝﾀﾞｰ大型'!$A$3:$K54,10,0),"")</f>
        <v/>
      </c>
      <c r="H26" s="12" t="s">
        <v>60</v>
      </c>
      <c r="I26" s="7" t="str">
        <f>IFERROR(VLOOKUP(E26,'(新)ﾍﾞﾝﾀﾞｰ大型'!$A$3:$K38,10,0),"")</f>
        <v/>
      </c>
    </row>
    <row r="27" spans="1:9" s="19" customFormat="1" ht="13.8" thickBot="1" x14ac:dyDescent="0.2">
      <c r="A27" s="11">
        <v>26</v>
      </c>
      <c r="B27" s="7" t="str">
        <f>IFERROR(VLOOKUP(E27,'(新)ﾍﾞﾝﾀﾞｰ大型'!$A$3:$K39,2,0),"")</f>
        <v/>
      </c>
      <c r="C27" s="7" t="str">
        <f>IFERROR(VLOOKUP(E27,'(新)ﾍﾞﾝﾀﾞｰ大型'!$A$3:K39,4,0),"")</f>
        <v/>
      </c>
      <c r="D27" s="7" t="str">
        <f>IFERROR(VLOOKUP(E27,'(新)ﾍﾞﾝﾀﾞｰ大型'!$A$3:K39,5,0),"")</f>
        <v/>
      </c>
      <c r="E27" s="23">
        <f>'(新)ﾍﾞﾝﾀﾞｰ大型'!A27</f>
        <v>0</v>
      </c>
      <c r="F27" s="8" t="str">
        <f>IFERROR(VLOOKUP(E27,'(新)ﾍﾞﾝﾀﾞｰ大型'!A27:K39,8,0),"")</f>
        <v/>
      </c>
      <c r="G27" s="7" t="str">
        <f>IFERROR(VLOOKUP(E27,'(旧)ﾍﾞﾝﾀﾞｰ大型'!$A$3:$K55,10,0),"")</f>
        <v/>
      </c>
      <c r="H27" s="12" t="s">
        <v>60</v>
      </c>
      <c r="I27" s="7" t="str">
        <f>IFERROR(VLOOKUP(E27,'(新)ﾍﾞﾝﾀﾞｰ大型'!$A$3:$K39,10,0),"")</f>
        <v/>
      </c>
    </row>
    <row r="28" spans="1:9" s="19" customFormat="1" ht="13.8" thickBot="1" x14ac:dyDescent="0.2">
      <c r="A28" s="11">
        <v>27</v>
      </c>
      <c r="B28" s="7" t="str">
        <f>IFERROR(VLOOKUP(E28,'(新)ﾍﾞﾝﾀﾞｰ大型'!$A$3:$K40,2,0),"")</f>
        <v/>
      </c>
      <c r="C28" s="7" t="str">
        <f>IFERROR(VLOOKUP(E28,'(新)ﾍﾞﾝﾀﾞｰ大型'!$A$3:K40,4,0),"")</f>
        <v/>
      </c>
      <c r="D28" s="7" t="str">
        <f>IFERROR(VLOOKUP(E28,'(新)ﾍﾞﾝﾀﾞｰ大型'!$A$3:K40,5,0),"")</f>
        <v/>
      </c>
      <c r="E28" s="23">
        <f>'(新)ﾍﾞﾝﾀﾞｰ大型'!A28</f>
        <v>0</v>
      </c>
      <c r="F28" s="8" t="str">
        <f>IFERROR(VLOOKUP(E28,'(新)ﾍﾞﾝﾀﾞｰ大型'!A28:K40,8,0),"")</f>
        <v/>
      </c>
      <c r="G28" s="7" t="str">
        <f>IFERROR(VLOOKUP(E28,'(旧)ﾍﾞﾝﾀﾞｰ大型'!$A$3:$K56,10,0),"")</f>
        <v/>
      </c>
      <c r="H28" s="12" t="s">
        <v>60</v>
      </c>
      <c r="I28" s="7" t="str">
        <f>IFERROR(VLOOKUP(E28,'(新)ﾍﾞﾝﾀﾞｰ大型'!$A$3:$K40,10,0),"")</f>
        <v/>
      </c>
    </row>
    <row r="29" spans="1:9" s="19" customFormat="1" ht="13.8" thickBot="1" x14ac:dyDescent="0.2">
      <c r="A29" s="11">
        <v>28</v>
      </c>
      <c r="B29" s="7" t="str">
        <f>IFERROR(VLOOKUP(E29,'(新)ﾍﾞﾝﾀﾞｰ大型'!$A$3:$K41,2,0),"")</f>
        <v/>
      </c>
      <c r="C29" s="7" t="str">
        <f>IFERROR(VLOOKUP(E29,'(新)ﾍﾞﾝﾀﾞｰ大型'!$A$3:K41,4,0),"")</f>
        <v/>
      </c>
      <c r="D29" s="7" t="str">
        <f>IFERROR(VLOOKUP(E29,'(新)ﾍﾞﾝﾀﾞｰ大型'!$A$3:K41,5,0),"")</f>
        <v/>
      </c>
      <c r="E29" s="23">
        <f>'(新)ﾍﾞﾝﾀﾞｰ大型'!A29</f>
        <v>0</v>
      </c>
      <c r="F29" s="8" t="str">
        <f>IFERROR(VLOOKUP(E29,'(新)ﾍﾞﾝﾀﾞｰ大型'!A29:K41,8,0),"")</f>
        <v/>
      </c>
      <c r="G29" s="7" t="str">
        <f>IFERROR(VLOOKUP(E29,'(旧)ﾍﾞﾝﾀﾞｰ大型'!$A$3:$K57,10,0),"")</f>
        <v/>
      </c>
      <c r="H29" s="12" t="s">
        <v>60</v>
      </c>
      <c r="I29" s="7" t="str">
        <f>IFERROR(VLOOKUP(E29,'(新)ﾍﾞﾝﾀﾞｰ大型'!$A$3:$K41,10,0),"")</f>
        <v/>
      </c>
    </row>
    <row r="30" spans="1:9" s="19" customFormat="1" ht="13.8" thickBot="1" x14ac:dyDescent="0.2">
      <c r="A30" s="11">
        <v>29</v>
      </c>
      <c r="B30" s="7" t="str">
        <f>IFERROR(VLOOKUP(E30,'(新)ﾍﾞﾝﾀﾞｰ大型'!$A$3:$K42,2,0),"")</f>
        <v/>
      </c>
      <c r="C30" s="7" t="str">
        <f>IFERROR(VLOOKUP(E30,'(新)ﾍﾞﾝﾀﾞｰ大型'!$A$3:K42,4,0),"")</f>
        <v/>
      </c>
      <c r="D30" s="7" t="str">
        <f>IFERROR(VLOOKUP(E30,'(新)ﾍﾞﾝﾀﾞｰ大型'!$A$3:K42,5,0),"")</f>
        <v/>
      </c>
      <c r="E30" s="23">
        <f>'(新)ﾍﾞﾝﾀﾞｰ大型'!A30</f>
        <v>0</v>
      </c>
      <c r="F30" s="8" t="str">
        <f>IFERROR(VLOOKUP(E30,'(新)ﾍﾞﾝﾀﾞｰ大型'!A30:K42,8,0),"")</f>
        <v/>
      </c>
      <c r="G30" s="7" t="str">
        <f>IFERROR(VLOOKUP(E30,'(旧)ﾍﾞﾝﾀﾞｰ大型'!$A$3:$K58,10,0),"")</f>
        <v/>
      </c>
      <c r="H30" s="12" t="s">
        <v>60</v>
      </c>
      <c r="I30" s="7" t="str">
        <f>IFERROR(VLOOKUP(E30,'(新)ﾍﾞﾝﾀﾞｰ大型'!$A$3:$K42,10,0),"")</f>
        <v/>
      </c>
    </row>
    <row r="31" spans="1:9" s="19" customFormat="1" ht="13.8" thickBot="1" x14ac:dyDescent="0.2">
      <c r="A31" s="11">
        <v>30</v>
      </c>
      <c r="B31" s="7" t="str">
        <f>IFERROR(VLOOKUP(E31,'(新)ﾍﾞﾝﾀﾞｰ大型'!$A$3:$K43,2,0),"")</f>
        <v/>
      </c>
      <c r="C31" s="7" t="str">
        <f>IFERROR(VLOOKUP(E31,'(新)ﾍﾞﾝﾀﾞｰ大型'!$A$3:K43,4,0),"")</f>
        <v/>
      </c>
      <c r="D31" s="7" t="str">
        <f>IFERROR(VLOOKUP(E31,'(新)ﾍﾞﾝﾀﾞｰ大型'!$A$3:K43,5,0),"")</f>
        <v/>
      </c>
      <c r="E31" s="23">
        <f>'(新)ﾍﾞﾝﾀﾞｰ大型'!A31</f>
        <v>0</v>
      </c>
      <c r="F31" s="8" t="str">
        <f>IFERROR(VLOOKUP(E31,'(新)ﾍﾞﾝﾀﾞｰ大型'!A31:K43,8,0),"")</f>
        <v/>
      </c>
      <c r="G31" s="7" t="str">
        <f>IFERROR(VLOOKUP(E31,'(旧)ﾍﾞﾝﾀﾞｰ大型'!$A$3:$K59,10,0),"")</f>
        <v/>
      </c>
      <c r="H31" s="12" t="s">
        <v>60</v>
      </c>
      <c r="I31" s="7" t="str">
        <f>IFERROR(VLOOKUP(E31,'(新)ﾍﾞﾝﾀﾞｰ大型'!$A$3:$K43,10,0),"")</f>
        <v/>
      </c>
    </row>
    <row r="32" spans="1:9" s="19" customFormat="1" ht="13.8" thickBot="1" x14ac:dyDescent="0.2">
      <c r="A32" s="11">
        <v>31</v>
      </c>
      <c r="B32" s="7" t="str">
        <f>IFERROR(VLOOKUP(E32,'(新)ﾍﾞﾝﾀﾞｰ大型'!$A$3:$K44,2,0),"")</f>
        <v/>
      </c>
      <c r="C32" s="7" t="str">
        <f>IFERROR(VLOOKUP(E32,'(新)ﾍﾞﾝﾀﾞｰ大型'!$A$3:K44,4,0),"")</f>
        <v/>
      </c>
      <c r="D32" s="7" t="str">
        <f>IFERROR(VLOOKUP(E32,'(新)ﾍﾞﾝﾀﾞｰ大型'!$A$3:K44,5,0),"")</f>
        <v/>
      </c>
      <c r="E32" s="23">
        <f>'(新)ﾍﾞﾝﾀﾞｰ大型'!A32</f>
        <v>0</v>
      </c>
      <c r="F32" s="8" t="str">
        <f>IFERROR(VLOOKUP(E32,'(新)ﾍﾞﾝﾀﾞｰ大型'!A32:K44,8,0),"")</f>
        <v/>
      </c>
      <c r="G32" s="7" t="str">
        <f>IFERROR(VLOOKUP(E32,'(旧)ﾍﾞﾝﾀﾞｰ大型'!$A$3:$K60,10,0),"")</f>
        <v/>
      </c>
      <c r="H32" s="12" t="s">
        <v>60</v>
      </c>
      <c r="I32" s="7" t="str">
        <f>IFERROR(VLOOKUP(E32,'(新)ﾍﾞﾝﾀﾞｰ大型'!$A$3:$K44,10,0),"")</f>
        <v/>
      </c>
    </row>
    <row r="33" spans="1:9" s="19" customFormat="1" ht="13.8" thickBot="1" x14ac:dyDescent="0.2">
      <c r="A33" s="11">
        <v>32</v>
      </c>
      <c r="B33" s="7" t="str">
        <f>IFERROR(VLOOKUP(E33,'(新)ﾍﾞﾝﾀﾞｰ大型'!$A$3:$K45,2,0),"")</f>
        <v/>
      </c>
      <c r="C33" s="7" t="str">
        <f>IFERROR(VLOOKUP(E33,'(新)ﾍﾞﾝﾀﾞｰ大型'!$A$3:K45,4,0),"")</f>
        <v/>
      </c>
      <c r="D33" s="7" t="str">
        <f>IFERROR(VLOOKUP(E33,'(新)ﾍﾞﾝﾀﾞｰ大型'!$A$3:K45,5,0),"")</f>
        <v/>
      </c>
      <c r="E33" s="23">
        <f>'(新)ﾍﾞﾝﾀﾞｰ大型'!A33</f>
        <v>0</v>
      </c>
      <c r="F33" s="8" t="str">
        <f>IFERROR(VLOOKUP(E33,'(新)ﾍﾞﾝﾀﾞｰ大型'!A33:K45,8,0),"")</f>
        <v/>
      </c>
      <c r="G33" s="7" t="str">
        <f>IFERROR(VLOOKUP(E33,'(旧)ﾍﾞﾝﾀﾞｰ大型'!$A$3:$K61,10,0),"")</f>
        <v/>
      </c>
      <c r="H33" s="12" t="s">
        <v>60</v>
      </c>
      <c r="I33" s="7" t="str">
        <f>IFERROR(VLOOKUP(E33,'(新)ﾍﾞﾝﾀﾞｰ大型'!$A$3:$K45,10,0),"")</f>
        <v/>
      </c>
    </row>
    <row r="34" spans="1:9" s="19" customFormat="1" ht="13.8" thickBot="1" x14ac:dyDescent="0.2">
      <c r="A34" s="11">
        <v>33</v>
      </c>
      <c r="B34" s="7" t="str">
        <f>IFERROR(VLOOKUP(E34,'(新)ﾍﾞﾝﾀﾞｰ大型'!$A$3:$K46,2,0),"")</f>
        <v/>
      </c>
      <c r="C34" s="7" t="str">
        <f>IFERROR(VLOOKUP(E34,'(新)ﾍﾞﾝﾀﾞｰ大型'!$A$3:K46,4,0),"")</f>
        <v/>
      </c>
      <c r="D34" s="7" t="str">
        <f>IFERROR(VLOOKUP(E34,'(新)ﾍﾞﾝﾀﾞｰ大型'!$A$3:K46,5,0),"")</f>
        <v/>
      </c>
      <c r="E34" s="23">
        <f>'(新)ﾍﾞﾝﾀﾞｰ大型'!A34</f>
        <v>0</v>
      </c>
      <c r="F34" s="8" t="str">
        <f>IFERROR(VLOOKUP(E34,'(新)ﾍﾞﾝﾀﾞｰ大型'!A34:K46,8,0),"")</f>
        <v/>
      </c>
      <c r="G34" s="7" t="str">
        <f>IFERROR(VLOOKUP(E34,'(旧)ﾍﾞﾝﾀﾞｰ大型'!$A$3:$K62,10,0),"")</f>
        <v/>
      </c>
      <c r="H34" s="12" t="s">
        <v>60</v>
      </c>
      <c r="I34" s="7" t="str">
        <f>IFERROR(VLOOKUP(E34,'(新)ﾍﾞﾝﾀﾞｰ大型'!$A$3:$K46,10,0),"")</f>
        <v/>
      </c>
    </row>
    <row r="35" spans="1:9" s="19" customFormat="1" ht="13.8" thickBot="1" x14ac:dyDescent="0.2">
      <c r="A35" s="11">
        <v>34</v>
      </c>
      <c r="B35" s="7" t="str">
        <f>IFERROR(VLOOKUP(E35,'(新)ﾍﾞﾝﾀﾞｰ大型'!$A$3:$K47,2,0),"")</f>
        <v/>
      </c>
      <c r="C35" s="7" t="str">
        <f>IFERROR(VLOOKUP(E35,'(新)ﾍﾞﾝﾀﾞｰ大型'!$A$3:K47,4,0),"")</f>
        <v/>
      </c>
      <c r="D35" s="7" t="str">
        <f>IFERROR(VLOOKUP(E35,'(新)ﾍﾞﾝﾀﾞｰ大型'!$A$3:K47,5,0),"")</f>
        <v/>
      </c>
      <c r="E35" s="23">
        <f>'(新)ﾍﾞﾝﾀﾞｰ大型'!A35</f>
        <v>0</v>
      </c>
      <c r="F35" s="8" t="str">
        <f>IFERROR(VLOOKUP(E35,'(新)ﾍﾞﾝﾀﾞｰ大型'!A35:K47,8,0),"")</f>
        <v/>
      </c>
      <c r="G35" s="7" t="str">
        <f>IFERROR(VLOOKUP(E35,'(旧)ﾍﾞﾝﾀﾞｰ大型'!$A$3:$K63,10,0),"")</f>
        <v/>
      </c>
      <c r="H35" s="12" t="s">
        <v>60</v>
      </c>
      <c r="I35" s="7" t="str">
        <f>IFERROR(VLOOKUP(E35,'(新)ﾍﾞﾝﾀﾞｰ大型'!$A$3:$K47,10,0),"")</f>
        <v/>
      </c>
    </row>
    <row r="36" spans="1:9" s="19" customFormat="1" ht="13.8" thickBot="1" x14ac:dyDescent="0.2">
      <c r="A36" s="11">
        <v>35</v>
      </c>
      <c r="B36" s="7" t="str">
        <f>IFERROR(VLOOKUP(E36,'(新)ﾍﾞﾝﾀﾞｰ大型'!$A$3:$K48,2,0),"")</f>
        <v/>
      </c>
      <c r="C36" s="7" t="str">
        <f>IFERROR(VLOOKUP(E36,'(新)ﾍﾞﾝﾀﾞｰ大型'!$A$3:K48,4,0),"")</f>
        <v/>
      </c>
      <c r="D36" s="7" t="str">
        <f>IFERROR(VLOOKUP(E36,'(新)ﾍﾞﾝﾀﾞｰ大型'!$A$3:K48,5,0),"")</f>
        <v/>
      </c>
      <c r="E36" s="23">
        <f>'(新)ﾍﾞﾝﾀﾞｰ大型'!A36</f>
        <v>0</v>
      </c>
      <c r="F36" s="8" t="str">
        <f>IFERROR(VLOOKUP(E36,'(新)ﾍﾞﾝﾀﾞｰ大型'!A36:K48,8,0),"")</f>
        <v/>
      </c>
      <c r="G36" s="7" t="str">
        <f>IFERROR(VLOOKUP(E36,'(旧)ﾍﾞﾝﾀﾞｰ大型'!$A$3:$K64,10,0),"")</f>
        <v/>
      </c>
      <c r="H36" s="12" t="s">
        <v>60</v>
      </c>
      <c r="I36" s="7" t="str">
        <f>IFERROR(VLOOKUP(E36,'(新)ﾍﾞﾝﾀﾞｰ大型'!$A$3:$K48,10,0),"")</f>
        <v/>
      </c>
    </row>
    <row r="37" spans="1:9" s="19" customFormat="1" ht="13.8" thickBot="1" x14ac:dyDescent="0.2">
      <c r="A37" s="11">
        <v>36</v>
      </c>
      <c r="B37" s="7" t="str">
        <f>IFERROR(VLOOKUP(E37,'(新)ﾍﾞﾝﾀﾞｰ大型'!$A$3:$K49,2,0),"")</f>
        <v/>
      </c>
      <c r="C37" s="7" t="str">
        <f>IFERROR(VLOOKUP(E37,'(新)ﾍﾞﾝﾀﾞｰ大型'!$A$3:K49,4,0),"")</f>
        <v/>
      </c>
      <c r="D37" s="7" t="str">
        <f>IFERROR(VLOOKUP(E37,'(新)ﾍﾞﾝﾀﾞｰ大型'!$A$3:K49,5,0),"")</f>
        <v/>
      </c>
      <c r="E37" s="23">
        <f>'(新)ﾍﾞﾝﾀﾞｰ大型'!A37</f>
        <v>0</v>
      </c>
      <c r="F37" s="8" t="str">
        <f>IFERROR(VLOOKUP(E37,'(新)ﾍﾞﾝﾀﾞｰ大型'!A37:K49,8,0),"")</f>
        <v/>
      </c>
      <c r="G37" s="7" t="str">
        <f>IFERROR(VLOOKUP(E37,'(旧)ﾍﾞﾝﾀﾞｰ大型'!$A$3:$K65,10,0),"")</f>
        <v/>
      </c>
      <c r="H37" s="12" t="s">
        <v>60</v>
      </c>
      <c r="I37" s="7" t="str">
        <f>IFERROR(VLOOKUP(E37,'(新)ﾍﾞﾝﾀﾞｰ大型'!$A$3:$K49,10,0),"")</f>
        <v/>
      </c>
    </row>
    <row r="38" spans="1:9" s="19" customFormat="1" ht="13.8" thickBot="1" x14ac:dyDescent="0.2">
      <c r="A38" s="11">
        <v>37</v>
      </c>
      <c r="B38" s="7" t="str">
        <f>IFERROR(VLOOKUP(E38,'(新)ﾍﾞﾝﾀﾞｰ大型'!$A$3:$K50,2,0),"")</f>
        <v/>
      </c>
      <c r="C38" s="7" t="str">
        <f>IFERROR(VLOOKUP(E38,'(新)ﾍﾞﾝﾀﾞｰ大型'!$A$3:K50,4,0),"")</f>
        <v/>
      </c>
      <c r="D38" s="7" t="str">
        <f>IFERROR(VLOOKUP(E38,'(新)ﾍﾞﾝﾀﾞｰ大型'!$A$3:K50,5,0),"")</f>
        <v/>
      </c>
      <c r="E38" s="23">
        <f>'(新)ﾍﾞﾝﾀﾞｰ大型'!A38</f>
        <v>0</v>
      </c>
      <c r="F38" s="8" t="str">
        <f>IFERROR(VLOOKUP(E38,'(新)ﾍﾞﾝﾀﾞｰ大型'!A38:K50,8,0),"")</f>
        <v/>
      </c>
      <c r="G38" s="7" t="str">
        <f>IFERROR(VLOOKUP(E38,'(旧)ﾍﾞﾝﾀﾞｰ大型'!$A$3:$K66,10,0),"")</f>
        <v/>
      </c>
      <c r="H38" s="12" t="s">
        <v>60</v>
      </c>
      <c r="I38" s="7" t="str">
        <f>IFERROR(VLOOKUP(E38,'(新)ﾍﾞﾝﾀﾞｰ大型'!$A$3:$K50,10,0),"")</f>
        <v/>
      </c>
    </row>
    <row r="39" spans="1:9" s="19" customFormat="1" ht="13.8" thickBot="1" x14ac:dyDescent="0.2">
      <c r="A39" s="11">
        <v>38</v>
      </c>
      <c r="B39" s="7" t="str">
        <f>IFERROR(VLOOKUP(E39,'(新)ﾍﾞﾝﾀﾞｰ大型'!$A$3:$K51,2,0),"")</f>
        <v/>
      </c>
      <c r="C39" s="7" t="str">
        <f>IFERROR(VLOOKUP(E39,'(新)ﾍﾞﾝﾀﾞｰ大型'!$A$3:K51,4,0),"")</f>
        <v/>
      </c>
      <c r="D39" s="7" t="str">
        <f>IFERROR(VLOOKUP(E39,'(新)ﾍﾞﾝﾀﾞｰ大型'!$A$3:K51,5,0),"")</f>
        <v/>
      </c>
      <c r="E39" s="23">
        <f>'(新)ﾍﾞﾝﾀﾞｰ大型'!A39</f>
        <v>0</v>
      </c>
      <c r="F39" s="8" t="str">
        <f>IFERROR(VLOOKUP(E39,'(新)ﾍﾞﾝﾀﾞｰ大型'!A39:K51,8,0),"")</f>
        <v/>
      </c>
      <c r="G39" s="7" t="str">
        <f>IFERROR(VLOOKUP(E39,'(旧)ﾍﾞﾝﾀﾞｰ大型'!$A$3:$K67,10,0),"")</f>
        <v/>
      </c>
      <c r="H39" s="12" t="s">
        <v>60</v>
      </c>
      <c r="I39" s="7" t="str">
        <f>IFERROR(VLOOKUP(E39,'(新)ﾍﾞﾝﾀﾞｰ大型'!$A$3:$K51,10,0),"")</f>
        <v/>
      </c>
    </row>
    <row r="40" spans="1:9" s="19" customFormat="1" ht="13.8" thickBot="1" x14ac:dyDescent="0.2">
      <c r="A40" s="11">
        <v>39</v>
      </c>
      <c r="B40" s="7" t="str">
        <f>IFERROR(VLOOKUP(E40,'(新)ﾍﾞﾝﾀﾞｰ大型'!$A$3:$K52,2,0),"")</f>
        <v/>
      </c>
      <c r="C40" s="7" t="str">
        <f>IFERROR(VLOOKUP(E40,'(新)ﾍﾞﾝﾀﾞｰ大型'!$A$3:K52,4,0),"")</f>
        <v/>
      </c>
      <c r="D40" s="7" t="str">
        <f>IFERROR(VLOOKUP(E40,'(新)ﾍﾞﾝﾀﾞｰ大型'!$A$3:K52,5,0),"")</f>
        <v/>
      </c>
      <c r="E40" s="23">
        <f>'(新)ﾍﾞﾝﾀﾞｰ大型'!A40</f>
        <v>0</v>
      </c>
      <c r="F40" s="8" t="str">
        <f>IFERROR(VLOOKUP(E40,'(新)ﾍﾞﾝﾀﾞｰ大型'!A40:K52,8,0),"")</f>
        <v/>
      </c>
      <c r="G40" s="7" t="str">
        <f>IFERROR(VLOOKUP(E40,'(旧)ﾍﾞﾝﾀﾞｰ大型'!$A$3:$K68,10,0),"")</f>
        <v/>
      </c>
      <c r="H40" s="12" t="s">
        <v>60</v>
      </c>
      <c r="I40" s="7" t="str">
        <f>IFERROR(VLOOKUP(E40,'(新)ﾍﾞﾝﾀﾞｰ大型'!$A$3:$K52,10,0),"")</f>
        <v/>
      </c>
    </row>
    <row r="41" spans="1:9" s="19" customFormat="1" ht="13.8" thickBot="1" x14ac:dyDescent="0.2">
      <c r="A41" s="11">
        <v>40</v>
      </c>
      <c r="B41" s="7" t="str">
        <f>IFERROR(VLOOKUP(E41,'(新)ﾍﾞﾝﾀﾞｰ大型'!$A$3:$K53,2,0),"")</f>
        <v/>
      </c>
      <c r="C41" s="7" t="str">
        <f>IFERROR(VLOOKUP(E41,'(新)ﾍﾞﾝﾀﾞｰ大型'!$A$3:K53,4,0),"")</f>
        <v/>
      </c>
      <c r="D41" s="7" t="str">
        <f>IFERROR(VLOOKUP(E41,'(新)ﾍﾞﾝﾀﾞｰ大型'!$A$3:K53,5,0),"")</f>
        <v/>
      </c>
      <c r="E41" s="23">
        <f>'(新)ﾍﾞﾝﾀﾞｰ大型'!A41</f>
        <v>0</v>
      </c>
      <c r="F41" s="8" t="str">
        <f>IFERROR(VLOOKUP(E41,'(新)ﾍﾞﾝﾀﾞｰ大型'!A41:K53,8,0),"")</f>
        <v/>
      </c>
      <c r="G41" s="7" t="str">
        <f>IFERROR(VLOOKUP(E41,'(旧)ﾍﾞﾝﾀﾞｰ大型'!$A$3:$K69,10,0),"")</f>
        <v/>
      </c>
      <c r="H41" s="12" t="s">
        <v>60</v>
      </c>
      <c r="I41" s="7" t="str">
        <f>IFERROR(VLOOKUP(E41,'(新)ﾍﾞﾝﾀﾞｰ大型'!$A$3:$K53,10,0),"")</f>
        <v/>
      </c>
    </row>
    <row r="42" spans="1:9" s="19" customFormat="1" ht="13.8" thickBot="1" x14ac:dyDescent="0.2">
      <c r="A42" s="11">
        <v>41</v>
      </c>
      <c r="B42" s="7" t="str">
        <f>IFERROR(VLOOKUP(E42,'(新)ﾍﾞﾝﾀﾞｰ大型'!$A$3:$K54,2,0),"")</f>
        <v/>
      </c>
      <c r="C42" s="7" t="str">
        <f>IFERROR(VLOOKUP(E42,'(新)ﾍﾞﾝﾀﾞｰ大型'!$A$3:K54,4,0),"")</f>
        <v/>
      </c>
      <c r="D42" s="7" t="str">
        <f>IFERROR(VLOOKUP(E42,'(新)ﾍﾞﾝﾀﾞｰ大型'!$A$3:K54,5,0),"")</f>
        <v/>
      </c>
      <c r="E42" s="23">
        <f>'(新)ﾍﾞﾝﾀﾞｰ大型'!A42</f>
        <v>0</v>
      </c>
      <c r="F42" s="8" t="str">
        <f>IFERROR(VLOOKUP(E42,'(新)ﾍﾞﾝﾀﾞｰ大型'!A42:K54,8,0),"")</f>
        <v/>
      </c>
      <c r="G42" s="7" t="str">
        <f>IFERROR(VLOOKUP(E42,'(旧)ﾍﾞﾝﾀﾞｰ大型'!$A$3:$K70,10,0),"")</f>
        <v/>
      </c>
      <c r="H42" s="12" t="s">
        <v>60</v>
      </c>
      <c r="I42" s="7" t="str">
        <f>IFERROR(VLOOKUP(E42,'(新)ﾍﾞﾝﾀﾞｰ大型'!$A$3:$K54,10,0),"")</f>
        <v/>
      </c>
    </row>
    <row r="43" spans="1:9" s="19" customFormat="1" ht="13.8" thickBot="1" x14ac:dyDescent="0.2">
      <c r="A43" s="11">
        <v>42</v>
      </c>
      <c r="B43" s="7" t="str">
        <f>IFERROR(VLOOKUP(E43,'(新)ﾍﾞﾝﾀﾞｰ大型'!$A$3:$K55,2,0),"")</f>
        <v/>
      </c>
      <c r="C43" s="7" t="str">
        <f>IFERROR(VLOOKUP(E43,'(新)ﾍﾞﾝﾀﾞｰ大型'!$A$3:K55,4,0),"")</f>
        <v/>
      </c>
      <c r="D43" s="7" t="str">
        <f>IFERROR(VLOOKUP(E43,'(新)ﾍﾞﾝﾀﾞｰ大型'!$A$3:K55,5,0),"")</f>
        <v/>
      </c>
      <c r="E43" s="23">
        <f>'(新)ﾍﾞﾝﾀﾞｰ大型'!A43</f>
        <v>0</v>
      </c>
      <c r="F43" s="8" t="str">
        <f>IFERROR(VLOOKUP(E43,'(新)ﾍﾞﾝﾀﾞｰ大型'!A43:K55,8,0),"")</f>
        <v/>
      </c>
      <c r="G43" s="7" t="str">
        <f>IFERROR(VLOOKUP(E43,'(旧)ﾍﾞﾝﾀﾞｰ大型'!$A$3:$K71,10,0),"")</f>
        <v/>
      </c>
      <c r="H43" s="12" t="s">
        <v>60</v>
      </c>
      <c r="I43" s="7" t="str">
        <f>IFERROR(VLOOKUP(E43,'(新)ﾍﾞﾝﾀﾞｰ大型'!$A$3:$K55,10,0),"")</f>
        <v/>
      </c>
    </row>
    <row r="44" spans="1:9" s="19" customFormat="1" ht="13.8" thickBot="1" x14ac:dyDescent="0.2">
      <c r="A44" s="11">
        <v>43</v>
      </c>
      <c r="B44" s="7" t="str">
        <f>IFERROR(VLOOKUP(E44,'(新)ﾍﾞﾝﾀﾞｰ大型'!$A$3:$K56,2,0),"")</f>
        <v/>
      </c>
      <c r="C44" s="7" t="str">
        <f>IFERROR(VLOOKUP(E44,'(新)ﾍﾞﾝﾀﾞｰ大型'!$A$3:K56,4,0),"")</f>
        <v/>
      </c>
      <c r="D44" s="7" t="str">
        <f>IFERROR(VLOOKUP(E44,'(新)ﾍﾞﾝﾀﾞｰ大型'!$A$3:K56,5,0),"")</f>
        <v/>
      </c>
      <c r="E44" s="23">
        <f>'(新)ﾍﾞﾝﾀﾞｰ大型'!A44</f>
        <v>0</v>
      </c>
      <c r="F44" s="8" t="str">
        <f>IFERROR(VLOOKUP(E44,'(新)ﾍﾞﾝﾀﾞｰ大型'!A44:K56,8,0),"")</f>
        <v/>
      </c>
      <c r="G44" s="7" t="str">
        <f>IFERROR(VLOOKUP(E44,'(旧)ﾍﾞﾝﾀﾞｰ大型'!$A$3:$K72,10,0),"")</f>
        <v/>
      </c>
      <c r="H44" s="12" t="s">
        <v>60</v>
      </c>
      <c r="I44" s="7" t="str">
        <f>IFERROR(VLOOKUP(E44,'(新)ﾍﾞﾝﾀﾞｰ大型'!$A$3:$K56,10,0),"")</f>
        <v/>
      </c>
    </row>
    <row r="45" spans="1:9" s="19" customFormat="1" ht="13.8" thickBot="1" x14ac:dyDescent="0.2">
      <c r="A45" s="11">
        <v>44</v>
      </c>
      <c r="B45" s="7" t="str">
        <f>IFERROR(VLOOKUP(E45,'(新)ﾍﾞﾝﾀﾞｰ大型'!$A$3:$K57,2,0),"")</f>
        <v/>
      </c>
      <c r="C45" s="7" t="str">
        <f>IFERROR(VLOOKUP(E45,'(新)ﾍﾞﾝﾀﾞｰ大型'!$A$3:K57,4,0),"")</f>
        <v/>
      </c>
      <c r="D45" s="7" t="str">
        <f>IFERROR(VLOOKUP(E45,'(新)ﾍﾞﾝﾀﾞｰ大型'!$A$3:K57,5,0),"")</f>
        <v/>
      </c>
      <c r="E45" s="23">
        <f>'(新)ﾍﾞﾝﾀﾞｰ大型'!A45</f>
        <v>0</v>
      </c>
      <c r="F45" s="8" t="str">
        <f>IFERROR(VLOOKUP(E45,'(新)ﾍﾞﾝﾀﾞｰ大型'!A45:K57,8,0),"")</f>
        <v/>
      </c>
      <c r="G45" s="7" t="str">
        <f>IFERROR(VLOOKUP(E45,'(旧)ﾍﾞﾝﾀﾞｰ大型'!$A$3:$K73,10,0),"")</f>
        <v/>
      </c>
      <c r="H45" s="12" t="s">
        <v>60</v>
      </c>
      <c r="I45" s="7" t="str">
        <f>IFERROR(VLOOKUP(E45,'(新)ﾍﾞﾝﾀﾞｰ大型'!$A$3:$K57,10,0),"")</f>
        <v/>
      </c>
    </row>
    <row r="46" spans="1:9" s="19" customFormat="1" ht="13.8" thickBot="1" x14ac:dyDescent="0.2">
      <c r="A46" s="11">
        <v>45</v>
      </c>
      <c r="B46" s="7" t="str">
        <f>IFERROR(VLOOKUP(E46,'(新)ﾍﾞﾝﾀﾞｰ大型'!$A$3:$K58,2,0),"")</f>
        <v/>
      </c>
      <c r="C46" s="7" t="str">
        <f>IFERROR(VLOOKUP(E46,'(新)ﾍﾞﾝﾀﾞｰ大型'!$A$3:K58,4,0),"")</f>
        <v/>
      </c>
      <c r="D46" s="7" t="str">
        <f>IFERROR(VLOOKUP(E46,'(新)ﾍﾞﾝﾀﾞｰ大型'!$A$3:K58,5,0),"")</f>
        <v/>
      </c>
      <c r="E46" s="23">
        <f>'(新)ﾍﾞﾝﾀﾞｰ大型'!A46</f>
        <v>0</v>
      </c>
      <c r="F46" s="8" t="str">
        <f>IFERROR(VLOOKUP(E46,'(新)ﾍﾞﾝﾀﾞｰ大型'!A46:K58,8,0),"")</f>
        <v/>
      </c>
      <c r="G46" s="7" t="str">
        <f>IFERROR(VLOOKUP(E46,'(旧)ﾍﾞﾝﾀﾞｰ大型'!$A$3:$K74,10,0),"")</f>
        <v/>
      </c>
      <c r="H46" s="12" t="s">
        <v>60</v>
      </c>
      <c r="I46" s="7" t="str">
        <f>IFERROR(VLOOKUP(E46,'(新)ﾍﾞﾝﾀﾞｰ大型'!$A$3:$K58,10,0),"")</f>
        <v/>
      </c>
    </row>
    <row r="47" spans="1:9" s="19" customFormat="1" ht="13.8" thickBot="1" x14ac:dyDescent="0.2">
      <c r="A47" s="11">
        <v>46</v>
      </c>
      <c r="B47" s="7" t="str">
        <f>IFERROR(VLOOKUP(E47,'(新)ﾍﾞﾝﾀﾞｰ大型'!$A$3:$K59,2,0),"")</f>
        <v/>
      </c>
      <c r="C47" s="7" t="str">
        <f>IFERROR(VLOOKUP(E47,'(新)ﾍﾞﾝﾀﾞｰ大型'!$A$3:K59,4,0),"")</f>
        <v/>
      </c>
      <c r="D47" s="7" t="str">
        <f>IFERROR(VLOOKUP(E47,'(新)ﾍﾞﾝﾀﾞｰ大型'!$A$3:K59,5,0),"")</f>
        <v/>
      </c>
      <c r="E47" s="23">
        <f>'(新)ﾍﾞﾝﾀﾞｰ大型'!A47</f>
        <v>0</v>
      </c>
      <c r="F47" s="8" t="str">
        <f>IFERROR(VLOOKUP(E47,'(新)ﾍﾞﾝﾀﾞｰ大型'!A47:K59,8,0),"")</f>
        <v/>
      </c>
      <c r="G47" s="7" t="str">
        <f>IFERROR(VLOOKUP(E47,'(旧)ﾍﾞﾝﾀﾞｰ大型'!$A$3:$K75,10,0),"")</f>
        <v/>
      </c>
      <c r="H47" s="12" t="s">
        <v>60</v>
      </c>
      <c r="I47" s="7" t="str">
        <f>IFERROR(VLOOKUP(E47,'(新)ﾍﾞﾝﾀﾞｰ大型'!$A$3:$K59,10,0),"")</f>
        <v/>
      </c>
    </row>
    <row r="48" spans="1:9" s="19" customFormat="1" ht="13.8" thickBot="1" x14ac:dyDescent="0.2">
      <c r="A48" s="11">
        <v>47</v>
      </c>
      <c r="B48" s="7" t="str">
        <f>IFERROR(VLOOKUP(E48,'(新)ﾍﾞﾝﾀﾞｰ大型'!$A$3:$K60,2,0),"")</f>
        <v/>
      </c>
      <c r="C48" s="7" t="str">
        <f>IFERROR(VLOOKUP(E48,'(新)ﾍﾞﾝﾀﾞｰ大型'!$A$3:K60,4,0),"")</f>
        <v/>
      </c>
      <c r="D48" s="7" t="str">
        <f>IFERROR(VLOOKUP(E48,'(新)ﾍﾞﾝﾀﾞｰ大型'!$A$3:K60,5,0),"")</f>
        <v/>
      </c>
      <c r="E48" s="23">
        <f>'(新)ﾍﾞﾝﾀﾞｰ大型'!A48</f>
        <v>0</v>
      </c>
      <c r="F48" s="8" t="str">
        <f>IFERROR(VLOOKUP(E48,'(新)ﾍﾞﾝﾀﾞｰ大型'!A48:K60,8,0),"")</f>
        <v/>
      </c>
      <c r="G48" s="7" t="str">
        <f>IFERROR(VLOOKUP(E48,'(旧)ﾍﾞﾝﾀﾞｰ大型'!$A$3:$K76,10,0),"")</f>
        <v/>
      </c>
      <c r="H48" s="12" t="s">
        <v>60</v>
      </c>
      <c r="I48" s="7" t="str">
        <f>IFERROR(VLOOKUP(E48,'(新)ﾍﾞﾝﾀﾞｰ大型'!$A$3:$K60,10,0),"")</f>
        <v/>
      </c>
    </row>
    <row r="49" spans="1:9" s="19" customFormat="1" ht="13.8" thickBot="1" x14ac:dyDescent="0.2">
      <c r="A49" s="11">
        <v>48</v>
      </c>
      <c r="B49" s="7" t="str">
        <f>IFERROR(VLOOKUP(E49,'(新)ﾍﾞﾝﾀﾞｰ大型'!$A$3:$K61,2,0),"")</f>
        <v/>
      </c>
      <c r="C49" s="7" t="str">
        <f>IFERROR(VLOOKUP(E49,'(新)ﾍﾞﾝﾀﾞｰ大型'!$A$3:K61,4,0),"")</f>
        <v/>
      </c>
      <c r="D49" s="7" t="str">
        <f>IFERROR(VLOOKUP(E49,'(新)ﾍﾞﾝﾀﾞｰ大型'!$A$3:K61,5,0),"")</f>
        <v/>
      </c>
      <c r="E49" s="23">
        <f>'(新)ﾍﾞﾝﾀﾞｰ大型'!A49</f>
        <v>0</v>
      </c>
      <c r="F49" s="8" t="str">
        <f>IFERROR(VLOOKUP(E49,'(新)ﾍﾞﾝﾀﾞｰ大型'!A49:K61,8,0),"")</f>
        <v/>
      </c>
      <c r="G49" s="7" t="str">
        <f>IFERROR(VLOOKUP(E49,'(旧)ﾍﾞﾝﾀﾞｰ大型'!$A$3:$K77,10,0),"")</f>
        <v/>
      </c>
      <c r="H49" s="12" t="s">
        <v>60</v>
      </c>
      <c r="I49" s="7" t="str">
        <f>IFERROR(VLOOKUP(E49,'(新)ﾍﾞﾝﾀﾞｰ大型'!$A$3:$K61,10,0),"")</f>
        <v/>
      </c>
    </row>
    <row r="50" spans="1:9" s="19" customFormat="1" ht="13.8" thickBot="1" x14ac:dyDescent="0.2">
      <c r="A50" s="11">
        <v>49</v>
      </c>
      <c r="B50" s="7" t="str">
        <f>IFERROR(VLOOKUP(E50,'(新)ﾍﾞﾝﾀﾞｰ大型'!$A$3:$K62,2,0),"")</f>
        <v/>
      </c>
      <c r="C50" s="7" t="str">
        <f>IFERROR(VLOOKUP(E50,'(新)ﾍﾞﾝﾀﾞｰ大型'!$A$3:K62,4,0),"")</f>
        <v/>
      </c>
      <c r="D50" s="7" t="str">
        <f>IFERROR(VLOOKUP(E50,'(新)ﾍﾞﾝﾀﾞｰ大型'!$A$3:K62,5,0),"")</f>
        <v/>
      </c>
      <c r="E50" s="23">
        <f>'(新)ﾍﾞﾝﾀﾞｰ大型'!A50</f>
        <v>0</v>
      </c>
      <c r="F50" s="8" t="str">
        <f>IFERROR(VLOOKUP(E50,'(新)ﾍﾞﾝﾀﾞｰ大型'!A50:K62,8,0),"")</f>
        <v/>
      </c>
      <c r="G50" s="7" t="str">
        <f>IFERROR(VLOOKUP(E50,'(旧)ﾍﾞﾝﾀﾞｰ大型'!$A$3:$K78,10,0),"")</f>
        <v/>
      </c>
      <c r="H50" s="12" t="s">
        <v>60</v>
      </c>
      <c r="I50" s="7" t="str">
        <f>IFERROR(VLOOKUP(E50,'(新)ﾍﾞﾝﾀﾞｰ大型'!$A$3:$K62,10,0),"")</f>
        <v/>
      </c>
    </row>
    <row r="51" spans="1:9" s="19" customFormat="1" ht="13.8" thickBot="1" x14ac:dyDescent="0.2">
      <c r="A51" s="11">
        <v>50</v>
      </c>
      <c r="B51" s="7" t="str">
        <f>IFERROR(VLOOKUP(E51,'(新)ﾍﾞﾝﾀﾞｰ大型'!$A$3:$K63,2,0),"")</f>
        <v/>
      </c>
      <c r="C51" s="7" t="str">
        <f>IFERROR(VLOOKUP(E51,'(新)ﾍﾞﾝﾀﾞｰ大型'!$A$3:K63,4,0),"")</f>
        <v/>
      </c>
      <c r="D51" s="7" t="str">
        <f>IFERROR(VLOOKUP(E51,'(新)ﾍﾞﾝﾀﾞｰ大型'!$A$3:K63,5,0),"")</f>
        <v/>
      </c>
      <c r="E51" s="23">
        <f>'(新)ﾍﾞﾝﾀﾞｰ大型'!A51</f>
        <v>0</v>
      </c>
      <c r="F51" s="8" t="str">
        <f>IFERROR(VLOOKUP(E51,'(新)ﾍﾞﾝﾀﾞｰ大型'!A51:K63,8,0),"")</f>
        <v/>
      </c>
      <c r="G51" s="7" t="str">
        <f>IFERROR(VLOOKUP(E51,'(旧)ﾍﾞﾝﾀﾞｰ大型'!$A$3:$K79,10,0),"")</f>
        <v/>
      </c>
      <c r="H51" s="12" t="s">
        <v>60</v>
      </c>
      <c r="I51" s="7" t="str">
        <f>IFERROR(VLOOKUP(E51,'(新)ﾍﾞﾝﾀﾞｰ大型'!$A$3:$K63,10,0),"")</f>
        <v/>
      </c>
    </row>
    <row r="52" spans="1:9" s="19" customFormat="1" ht="13.8" thickBot="1" x14ac:dyDescent="0.2">
      <c r="A52" s="11">
        <v>51</v>
      </c>
      <c r="B52" s="7" t="str">
        <f>IFERROR(VLOOKUP(E52,'(新)ﾍﾞﾝﾀﾞｰ大型'!$A$3:$K64,2,0),"")</f>
        <v/>
      </c>
      <c r="C52" s="7" t="str">
        <f>IFERROR(VLOOKUP(E52,'(新)ﾍﾞﾝﾀﾞｰ大型'!$A$3:K64,4,0),"")</f>
        <v/>
      </c>
      <c r="D52" s="7" t="str">
        <f>IFERROR(VLOOKUP(E52,'(新)ﾍﾞﾝﾀﾞｰ大型'!$A$3:K64,5,0),"")</f>
        <v/>
      </c>
      <c r="E52" s="23">
        <f>'(新)ﾍﾞﾝﾀﾞｰ大型'!A52</f>
        <v>0</v>
      </c>
      <c r="F52" s="8" t="str">
        <f>IFERROR(VLOOKUP(E52,'(新)ﾍﾞﾝﾀﾞｰ大型'!A52:K64,8,0),"")</f>
        <v/>
      </c>
      <c r="G52" s="7" t="str">
        <f>IFERROR(VLOOKUP(E52,'(旧)ﾍﾞﾝﾀﾞｰ大型'!$A$3:$K80,10,0),"")</f>
        <v/>
      </c>
      <c r="H52" s="12" t="s">
        <v>60</v>
      </c>
      <c r="I52" s="7" t="str">
        <f>IFERROR(VLOOKUP(E52,'(新)ﾍﾞﾝﾀﾞｰ大型'!$A$3:$K64,10,0),"")</f>
        <v/>
      </c>
    </row>
    <row r="53" spans="1:9" s="19" customFormat="1" ht="13.8" thickBot="1" x14ac:dyDescent="0.2">
      <c r="A53" s="11">
        <v>52</v>
      </c>
      <c r="B53" s="7" t="str">
        <f>IFERROR(VLOOKUP(E53,'(新)ﾍﾞﾝﾀﾞｰ大型'!$A$3:$K65,2,0),"")</f>
        <v/>
      </c>
      <c r="C53" s="7" t="str">
        <f>IFERROR(VLOOKUP(E53,'(新)ﾍﾞﾝﾀﾞｰ大型'!$A$3:K65,4,0),"")</f>
        <v/>
      </c>
      <c r="D53" s="7" t="str">
        <f>IFERROR(VLOOKUP(E53,'(新)ﾍﾞﾝﾀﾞｰ大型'!$A$3:K65,5,0),"")</f>
        <v/>
      </c>
      <c r="E53" s="23">
        <f>'(新)ﾍﾞﾝﾀﾞｰ大型'!A53</f>
        <v>0</v>
      </c>
      <c r="F53" s="8" t="str">
        <f>IFERROR(VLOOKUP(E53,'(新)ﾍﾞﾝﾀﾞｰ大型'!A53:K65,8,0),"")</f>
        <v/>
      </c>
      <c r="G53" s="7" t="str">
        <f>IFERROR(VLOOKUP(E53,'(旧)ﾍﾞﾝﾀﾞｰ大型'!$A$3:$K81,10,0),"")</f>
        <v/>
      </c>
      <c r="H53" s="12" t="s">
        <v>60</v>
      </c>
      <c r="I53" s="7" t="str">
        <f>IFERROR(VLOOKUP(E53,'(新)ﾍﾞﾝﾀﾞｰ大型'!$A$3:$K65,10,0),"")</f>
        <v/>
      </c>
    </row>
    <row r="54" spans="1:9" s="19" customFormat="1" ht="13.8" thickBot="1" x14ac:dyDescent="0.2">
      <c r="A54" s="11">
        <v>53</v>
      </c>
      <c r="B54" s="7" t="str">
        <f>IFERROR(VLOOKUP(E54,'(新)ﾍﾞﾝﾀﾞｰ大型'!$A$3:$K66,2,0),"")</f>
        <v/>
      </c>
      <c r="C54" s="7" t="str">
        <f>IFERROR(VLOOKUP(E54,'(新)ﾍﾞﾝﾀﾞｰ大型'!$A$3:K66,4,0),"")</f>
        <v/>
      </c>
      <c r="D54" s="7" t="str">
        <f>IFERROR(VLOOKUP(E54,'(新)ﾍﾞﾝﾀﾞｰ大型'!$A$3:K66,5,0),"")</f>
        <v/>
      </c>
      <c r="E54" s="23">
        <f>'(新)ﾍﾞﾝﾀﾞｰ大型'!A54</f>
        <v>0</v>
      </c>
      <c r="F54" s="8" t="str">
        <f>IFERROR(VLOOKUP(E54,'(新)ﾍﾞﾝﾀﾞｰ大型'!A54:K66,8,0),"")</f>
        <v/>
      </c>
      <c r="G54" s="7" t="str">
        <f>IFERROR(VLOOKUP(E54,'(旧)ﾍﾞﾝﾀﾞｰ大型'!$A$3:$K82,10,0),"")</f>
        <v/>
      </c>
      <c r="H54" s="12" t="s">
        <v>60</v>
      </c>
      <c r="I54" s="7" t="str">
        <f>IFERROR(VLOOKUP(E54,'(新)ﾍﾞﾝﾀﾞｰ大型'!$A$3:$K66,10,0),"")</f>
        <v/>
      </c>
    </row>
    <row r="55" spans="1:9" s="19" customFormat="1" ht="13.8" thickBot="1" x14ac:dyDescent="0.2">
      <c r="A55" s="11">
        <v>54</v>
      </c>
      <c r="B55" s="7" t="str">
        <f>IFERROR(VLOOKUP(E55,'(新)ﾍﾞﾝﾀﾞｰ大型'!$A$3:$K67,2,0),"")</f>
        <v/>
      </c>
      <c r="C55" s="7" t="str">
        <f>IFERROR(VLOOKUP(E55,'(新)ﾍﾞﾝﾀﾞｰ大型'!$A$3:K67,4,0),"")</f>
        <v/>
      </c>
      <c r="D55" s="7" t="str">
        <f>IFERROR(VLOOKUP(E55,'(新)ﾍﾞﾝﾀﾞｰ大型'!$A$3:K67,5,0),"")</f>
        <v/>
      </c>
      <c r="E55" s="23">
        <f>'(新)ﾍﾞﾝﾀﾞｰ大型'!A55</f>
        <v>0</v>
      </c>
      <c r="F55" s="8" t="str">
        <f>IFERROR(VLOOKUP(E55,'(新)ﾍﾞﾝﾀﾞｰ大型'!A55:K67,8,0),"")</f>
        <v/>
      </c>
      <c r="G55" s="7" t="str">
        <f>IFERROR(VLOOKUP(E55,'(旧)ﾍﾞﾝﾀﾞｰ大型'!$A$3:$K83,10,0),"")</f>
        <v/>
      </c>
      <c r="H55" s="12" t="s">
        <v>60</v>
      </c>
      <c r="I55" s="7" t="str">
        <f>IFERROR(VLOOKUP(E55,'(新)ﾍﾞﾝﾀﾞｰ大型'!$A$3:$K67,10,0),"")</f>
        <v/>
      </c>
    </row>
    <row r="56" spans="1:9" s="19" customFormat="1" ht="13.8" thickBot="1" x14ac:dyDescent="0.2">
      <c r="A56" s="11">
        <v>55</v>
      </c>
      <c r="B56" s="7" t="str">
        <f>IFERROR(VLOOKUP(E56,'(新)ﾍﾞﾝﾀﾞｰ大型'!$A$3:$K68,2,0),"")</f>
        <v/>
      </c>
      <c r="C56" s="7" t="str">
        <f>IFERROR(VLOOKUP(E56,'(新)ﾍﾞﾝﾀﾞｰ大型'!$A$3:K68,4,0),"")</f>
        <v/>
      </c>
      <c r="D56" s="7" t="str">
        <f>IFERROR(VLOOKUP(E56,'(新)ﾍﾞﾝﾀﾞｰ大型'!$A$3:K68,5,0),"")</f>
        <v/>
      </c>
      <c r="E56" s="23">
        <f>'(新)ﾍﾞﾝﾀﾞｰ大型'!A56</f>
        <v>0</v>
      </c>
      <c r="F56" s="8" t="str">
        <f>IFERROR(VLOOKUP(E56,'(新)ﾍﾞﾝﾀﾞｰ大型'!A56:K68,8,0),"")</f>
        <v/>
      </c>
      <c r="G56" s="7" t="str">
        <f>IFERROR(VLOOKUP(E56,'(旧)ﾍﾞﾝﾀﾞｰ大型'!$A$3:$K84,10,0),"")</f>
        <v/>
      </c>
      <c r="H56" s="12" t="s">
        <v>60</v>
      </c>
      <c r="I56" s="7" t="str">
        <f>IFERROR(VLOOKUP(E56,'(新)ﾍﾞﾝﾀﾞｰ大型'!$A$3:$K68,10,0),"")</f>
        <v/>
      </c>
    </row>
    <row r="57" spans="1:9" s="19" customFormat="1" ht="13.8" thickBot="1" x14ac:dyDescent="0.2">
      <c r="A57" s="11">
        <v>56</v>
      </c>
      <c r="B57" s="7" t="str">
        <f>IFERROR(VLOOKUP(E57,'(新)ﾍﾞﾝﾀﾞｰ大型'!$A$3:$K69,2,0),"")</f>
        <v/>
      </c>
      <c r="C57" s="7" t="str">
        <f>IFERROR(VLOOKUP(E57,'(新)ﾍﾞﾝﾀﾞｰ大型'!$A$3:K69,4,0),"")</f>
        <v/>
      </c>
      <c r="D57" s="7" t="str">
        <f>IFERROR(VLOOKUP(E57,'(新)ﾍﾞﾝﾀﾞｰ大型'!$A$3:K69,5,0),"")</f>
        <v/>
      </c>
      <c r="E57" s="23">
        <f>'(新)ﾍﾞﾝﾀﾞｰ大型'!A57</f>
        <v>0</v>
      </c>
      <c r="F57" s="8" t="str">
        <f>IFERROR(VLOOKUP(E57,'(新)ﾍﾞﾝﾀﾞｰ大型'!A57:K69,8,0),"")</f>
        <v/>
      </c>
      <c r="G57" s="7" t="str">
        <f>IFERROR(VLOOKUP(E57,'(旧)ﾍﾞﾝﾀﾞｰ大型'!$A$3:$K85,10,0),"")</f>
        <v/>
      </c>
      <c r="H57" s="12" t="s">
        <v>60</v>
      </c>
      <c r="I57" s="7" t="str">
        <f>IFERROR(VLOOKUP(E57,'(新)ﾍﾞﾝﾀﾞｰ大型'!$A$3:$K69,10,0),"")</f>
        <v/>
      </c>
    </row>
    <row r="58" spans="1:9" s="19" customFormat="1" ht="13.8" thickBot="1" x14ac:dyDescent="0.2">
      <c r="A58" s="11">
        <v>57</v>
      </c>
      <c r="B58" s="7" t="str">
        <f>IFERROR(VLOOKUP(E58,'(新)ﾍﾞﾝﾀﾞｰ大型'!$A$3:$K70,2,0),"")</f>
        <v/>
      </c>
      <c r="C58" s="7" t="str">
        <f>IFERROR(VLOOKUP(E58,'(新)ﾍﾞﾝﾀﾞｰ大型'!$A$3:K70,4,0),"")</f>
        <v/>
      </c>
      <c r="D58" s="7" t="str">
        <f>IFERROR(VLOOKUP(E58,'(新)ﾍﾞﾝﾀﾞｰ大型'!$A$3:K70,5,0),"")</f>
        <v/>
      </c>
      <c r="E58" s="23">
        <f>'(新)ﾍﾞﾝﾀﾞｰ大型'!A58</f>
        <v>0</v>
      </c>
      <c r="F58" s="8" t="str">
        <f>IFERROR(VLOOKUP(E58,'(新)ﾍﾞﾝﾀﾞｰ大型'!A58:K70,8,0),"")</f>
        <v/>
      </c>
      <c r="G58" s="7" t="str">
        <f>IFERROR(VLOOKUP(E58,'(旧)ﾍﾞﾝﾀﾞｰ大型'!$A$3:$K86,10,0),"")</f>
        <v/>
      </c>
      <c r="H58" s="12" t="s">
        <v>60</v>
      </c>
      <c r="I58" s="7" t="str">
        <f>IFERROR(VLOOKUP(E58,'(新)ﾍﾞﾝﾀﾞｰ大型'!$A$3:$K70,10,0),"")</f>
        <v/>
      </c>
    </row>
    <row r="59" spans="1:9" s="19" customFormat="1" ht="13.8" thickBot="1" x14ac:dyDescent="0.2">
      <c r="A59" s="11">
        <v>58</v>
      </c>
      <c r="B59" s="7" t="str">
        <f>IFERROR(VLOOKUP(E59,'(新)ﾍﾞﾝﾀﾞｰ大型'!$A$3:$K71,2,0),"")</f>
        <v/>
      </c>
      <c r="C59" s="7" t="str">
        <f>IFERROR(VLOOKUP(E59,'(新)ﾍﾞﾝﾀﾞｰ大型'!$A$3:K71,4,0),"")</f>
        <v/>
      </c>
      <c r="D59" s="7" t="str">
        <f>IFERROR(VLOOKUP(E59,'(新)ﾍﾞﾝﾀﾞｰ大型'!$A$3:K71,5,0),"")</f>
        <v/>
      </c>
      <c r="E59" s="23">
        <f>'(新)ﾍﾞﾝﾀﾞｰ大型'!A59</f>
        <v>0</v>
      </c>
      <c r="F59" s="8" t="str">
        <f>IFERROR(VLOOKUP(E59,'(新)ﾍﾞﾝﾀﾞｰ大型'!A59:K71,8,0),"")</f>
        <v/>
      </c>
      <c r="G59" s="7" t="str">
        <f>IFERROR(VLOOKUP(E59,'(旧)ﾍﾞﾝﾀﾞｰ大型'!$A$3:$K87,10,0),"")</f>
        <v/>
      </c>
      <c r="H59" s="12" t="s">
        <v>60</v>
      </c>
      <c r="I59" s="7" t="str">
        <f>IFERROR(VLOOKUP(E59,'(新)ﾍﾞﾝﾀﾞｰ大型'!$A$3:$K71,10,0),"")</f>
        <v/>
      </c>
    </row>
    <row r="60" spans="1:9" s="19" customFormat="1" ht="13.8" thickBot="1" x14ac:dyDescent="0.2">
      <c r="A60" s="11">
        <v>59</v>
      </c>
      <c r="B60" s="7" t="str">
        <f>IFERROR(VLOOKUP(E60,'(新)ﾍﾞﾝﾀﾞｰ大型'!$A$3:$K72,2,0),"")</f>
        <v/>
      </c>
      <c r="C60" s="7" t="str">
        <f>IFERROR(VLOOKUP(E60,'(新)ﾍﾞﾝﾀﾞｰ大型'!$A$3:K72,4,0),"")</f>
        <v/>
      </c>
      <c r="D60" s="7" t="str">
        <f>IFERROR(VLOOKUP(E60,'(新)ﾍﾞﾝﾀﾞｰ大型'!$A$3:K72,5,0),"")</f>
        <v/>
      </c>
      <c r="E60" s="23">
        <f>'(新)ﾍﾞﾝﾀﾞｰ大型'!A60</f>
        <v>0</v>
      </c>
      <c r="F60" s="8" t="str">
        <f>IFERROR(VLOOKUP(E60,'(新)ﾍﾞﾝﾀﾞｰ大型'!A60:K72,8,0),"")</f>
        <v/>
      </c>
      <c r="G60" s="7" t="str">
        <f>IFERROR(VLOOKUP(E60,'(旧)ﾍﾞﾝﾀﾞｰ大型'!$A$3:$K88,10,0),"")</f>
        <v/>
      </c>
      <c r="H60" s="12" t="s">
        <v>60</v>
      </c>
      <c r="I60" s="7" t="str">
        <f>IFERROR(VLOOKUP(E60,'(新)ﾍﾞﾝﾀﾞｰ大型'!$A$3:$K72,10,0),"")</f>
        <v/>
      </c>
    </row>
    <row r="61" spans="1:9" s="19" customFormat="1" ht="13.8" thickBot="1" x14ac:dyDescent="0.2">
      <c r="A61" s="11">
        <v>60</v>
      </c>
      <c r="B61" s="7" t="str">
        <f>IFERROR(VLOOKUP(E61,'(新)ﾍﾞﾝﾀﾞｰ大型'!$A$3:$K73,2,0),"")</f>
        <v/>
      </c>
      <c r="C61" s="7" t="str">
        <f>IFERROR(VLOOKUP(E61,'(新)ﾍﾞﾝﾀﾞｰ大型'!$A$3:K73,4,0),"")</f>
        <v/>
      </c>
      <c r="D61" s="7" t="str">
        <f>IFERROR(VLOOKUP(E61,'(新)ﾍﾞﾝﾀﾞｰ大型'!$A$3:K73,5,0),"")</f>
        <v/>
      </c>
      <c r="E61" s="23">
        <f>'(新)ﾍﾞﾝﾀﾞｰ大型'!A61</f>
        <v>0</v>
      </c>
      <c r="F61" s="8" t="str">
        <f>IFERROR(VLOOKUP(E61,'(新)ﾍﾞﾝﾀﾞｰ大型'!A61:K73,8,0),"")</f>
        <v/>
      </c>
      <c r="G61" s="7" t="str">
        <f>IFERROR(VLOOKUP(E61,'(旧)ﾍﾞﾝﾀﾞｰ大型'!$A$3:$K89,10,0),"")</f>
        <v/>
      </c>
      <c r="H61" s="12" t="s">
        <v>60</v>
      </c>
      <c r="I61" s="7" t="str">
        <f>IFERROR(VLOOKUP(E61,'(新)ﾍﾞﾝﾀﾞｰ大型'!$A$3:$K73,10,0),"")</f>
        <v/>
      </c>
    </row>
    <row r="62" spans="1:9" s="19" customFormat="1" ht="13.8" thickBot="1" x14ac:dyDescent="0.2">
      <c r="A62" s="11">
        <v>61</v>
      </c>
      <c r="B62" s="7" t="str">
        <f>IFERROR(VLOOKUP(E62,'(新)ﾍﾞﾝﾀﾞｰ大型'!$A$3:$K74,2,0),"")</f>
        <v/>
      </c>
      <c r="C62" s="7" t="str">
        <f>IFERROR(VLOOKUP(E62,'(新)ﾍﾞﾝﾀﾞｰ大型'!$A$3:K74,4,0),"")</f>
        <v/>
      </c>
      <c r="D62" s="7" t="str">
        <f>IFERROR(VLOOKUP(E62,'(新)ﾍﾞﾝﾀﾞｰ大型'!$A$3:K74,5,0),"")</f>
        <v/>
      </c>
      <c r="E62" s="23">
        <f>'(新)ﾍﾞﾝﾀﾞｰ大型'!A62</f>
        <v>0</v>
      </c>
      <c r="F62" s="8" t="str">
        <f>IFERROR(VLOOKUP(E62,'(新)ﾍﾞﾝﾀﾞｰ大型'!A62:K74,8,0),"")</f>
        <v/>
      </c>
      <c r="G62" s="7" t="str">
        <f>IFERROR(VLOOKUP(E62,'(旧)ﾍﾞﾝﾀﾞｰ大型'!$A$3:$K90,10,0),"")</f>
        <v/>
      </c>
      <c r="H62" s="12" t="s">
        <v>60</v>
      </c>
      <c r="I62" s="7" t="str">
        <f>IFERROR(VLOOKUP(E62,'(新)ﾍﾞﾝﾀﾞｰ大型'!$A$3:$K74,10,0),"")</f>
        <v/>
      </c>
    </row>
    <row r="63" spans="1:9" s="19" customFormat="1" ht="13.8" thickBot="1" x14ac:dyDescent="0.2">
      <c r="A63" s="11">
        <v>62</v>
      </c>
      <c r="B63" s="7" t="str">
        <f>IFERROR(VLOOKUP(E63,'(新)ﾍﾞﾝﾀﾞｰ大型'!$A$3:$K75,2,0),"")</f>
        <v/>
      </c>
      <c r="C63" s="7" t="str">
        <f>IFERROR(VLOOKUP(E63,'(新)ﾍﾞﾝﾀﾞｰ大型'!$A$3:K75,4,0),"")</f>
        <v/>
      </c>
      <c r="D63" s="7" t="str">
        <f>IFERROR(VLOOKUP(E63,'(新)ﾍﾞﾝﾀﾞｰ大型'!$A$3:K75,5,0),"")</f>
        <v/>
      </c>
      <c r="E63" s="23">
        <f>'(新)ﾍﾞﾝﾀﾞｰ大型'!A63</f>
        <v>0</v>
      </c>
      <c r="F63" s="8" t="str">
        <f>IFERROR(VLOOKUP(E63,'(新)ﾍﾞﾝﾀﾞｰ大型'!A63:K75,8,0),"")</f>
        <v/>
      </c>
      <c r="G63" s="7" t="str">
        <f>IFERROR(VLOOKUP(E63,'(旧)ﾍﾞﾝﾀﾞｰ大型'!$A$3:$K91,10,0),"")</f>
        <v/>
      </c>
      <c r="H63" s="12" t="s">
        <v>60</v>
      </c>
      <c r="I63" s="7" t="str">
        <f>IFERROR(VLOOKUP(E63,'(新)ﾍﾞﾝﾀﾞｰ大型'!$A$3:$K75,10,0),"")</f>
        <v/>
      </c>
    </row>
    <row r="64" spans="1:9" s="19" customFormat="1" ht="13.8" thickBot="1" x14ac:dyDescent="0.2">
      <c r="A64" s="11">
        <v>63</v>
      </c>
      <c r="B64" s="7" t="str">
        <f>IFERROR(VLOOKUP(E64,'(新)ﾍﾞﾝﾀﾞｰ大型'!$A$3:$K76,2,0),"")</f>
        <v/>
      </c>
      <c r="C64" s="7" t="str">
        <f>IFERROR(VLOOKUP(E64,'(新)ﾍﾞﾝﾀﾞｰ大型'!$A$3:K76,4,0),"")</f>
        <v/>
      </c>
      <c r="D64" s="7" t="str">
        <f>IFERROR(VLOOKUP(E64,'(新)ﾍﾞﾝﾀﾞｰ大型'!$A$3:K76,5,0),"")</f>
        <v/>
      </c>
      <c r="E64" s="23">
        <f>'(新)ﾍﾞﾝﾀﾞｰ大型'!A64</f>
        <v>0</v>
      </c>
      <c r="F64" s="8" t="str">
        <f>IFERROR(VLOOKUP(E64,'(新)ﾍﾞﾝﾀﾞｰ大型'!A64:K76,8,0),"")</f>
        <v/>
      </c>
      <c r="G64" s="7" t="str">
        <f>IFERROR(VLOOKUP(E64,'(旧)ﾍﾞﾝﾀﾞｰ大型'!$A$3:$K92,10,0),"")</f>
        <v/>
      </c>
      <c r="H64" s="12" t="s">
        <v>60</v>
      </c>
      <c r="I64" s="7" t="str">
        <f>IFERROR(VLOOKUP(E64,'(新)ﾍﾞﾝﾀﾞｰ大型'!$A$3:$K76,10,0),"")</f>
        <v/>
      </c>
    </row>
    <row r="65" spans="1:9" s="19" customFormat="1" ht="13.8" thickBot="1" x14ac:dyDescent="0.2">
      <c r="A65" s="11">
        <v>64</v>
      </c>
      <c r="B65" s="7" t="str">
        <f>IFERROR(VLOOKUP(E65,'(新)ﾍﾞﾝﾀﾞｰ大型'!$A$3:$K77,2,0),"")</f>
        <v/>
      </c>
      <c r="C65" s="7" t="str">
        <f>IFERROR(VLOOKUP(E65,'(新)ﾍﾞﾝﾀﾞｰ大型'!$A$3:K77,4,0),"")</f>
        <v/>
      </c>
      <c r="D65" s="7" t="str">
        <f>IFERROR(VLOOKUP(E65,'(新)ﾍﾞﾝﾀﾞｰ大型'!$A$3:K77,5,0),"")</f>
        <v/>
      </c>
      <c r="E65" s="23">
        <f>'(新)ﾍﾞﾝﾀﾞｰ大型'!A65</f>
        <v>0</v>
      </c>
      <c r="F65" s="8" t="str">
        <f>IFERROR(VLOOKUP(E65,'(新)ﾍﾞﾝﾀﾞｰ大型'!A65:K77,8,0),"")</f>
        <v/>
      </c>
      <c r="G65" s="7" t="str">
        <f>IFERROR(VLOOKUP(E65,'(旧)ﾍﾞﾝﾀﾞｰ大型'!$A$3:$K93,10,0),"")</f>
        <v/>
      </c>
      <c r="H65" s="12" t="s">
        <v>60</v>
      </c>
      <c r="I65" s="7" t="str">
        <f>IFERROR(VLOOKUP(E65,'(新)ﾍﾞﾝﾀﾞｰ大型'!$A$3:$K77,10,0),"")</f>
        <v/>
      </c>
    </row>
    <row r="66" spans="1:9" s="19" customFormat="1" ht="13.8" thickBot="1" x14ac:dyDescent="0.2">
      <c r="A66" s="11">
        <v>65</v>
      </c>
      <c r="B66" s="7" t="str">
        <f>IFERROR(VLOOKUP(E66,'(新)ﾍﾞﾝﾀﾞｰ大型'!$A$3:$K78,2,0),"")</f>
        <v/>
      </c>
      <c r="C66" s="7" t="str">
        <f>IFERROR(VLOOKUP(E66,'(新)ﾍﾞﾝﾀﾞｰ大型'!$A$3:K78,4,0),"")</f>
        <v/>
      </c>
      <c r="D66" s="7" t="str">
        <f>IFERROR(VLOOKUP(E66,'(新)ﾍﾞﾝﾀﾞｰ大型'!$A$3:K78,5,0),"")</f>
        <v/>
      </c>
      <c r="E66" s="23">
        <f>'(新)ﾍﾞﾝﾀﾞｰ大型'!A66</f>
        <v>0</v>
      </c>
      <c r="F66" s="8" t="str">
        <f>IFERROR(VLOOKUP(E66,'(新)ﾍﾞﾝﾀﾞｰ大型'!A66:K78,8,0),"")</f>
        <v/>
      </c>
      <c r="G66" s="7" t="str">
        <f>IFERROR(VLOOKUP(E66,'(旧)ﾍﾞﾝﾀﾞｰ大型'!$A$3:$K94,10,0),"")</f>
        <v/>
      </c>
      <c r="H66" s="12" t="s">
        <v>60</v>
      </c>
      <c r="I66" s="7" t="str">
        <f>IFERROR(VLOOKUP(E66,'(新)ﾍﾞﾝﾀﾞｰ大型'!$A$3:$K78,10,0),"")</f>
        <v/>
      </c>
    </row>
    <row r="67" spans="1:9" s="19" customFormat="1" ht="13.8" thickBot="1" x14ac:dyDescent="0.2">
      <c r="A67" s="11">
        <v>66</v>
      </c>
      <c r="B67" s="7" t="str">
        <f>IFERROR(VLOOKUP(E67,'(新)ﾍﾞﾝﾀﾞｰ大型'!$A$3:$K79,2,0),"")</f>
        <v/>
      </c>
      <c r="C67" s="7" t="str">
        <f>IFERROR(VLOOKUP(E67,'(新)ﾍﾞﾝﾀﾞｰ大型'!$A$3:K79,4,0),"")</f>
        <v/>
      </c>
      <c r="D67" s="7" t="str">
        <f>IFERROR(VLOOKUP(E67,'(新)ﾍﾞﾝﾀﾞｰ大型'!$A$3:K79,5,0),"")</f>
        <v/>
      </c>
      <c r="E67" s="23">
        <f>'(新)ﾍﾞﾝﾀﾞｰ大型'!A67</f>
        <v>0</v>
      </c>
      <c r="F67" s="8" t="str">
        <f>IFERROR(VLOOKUP(E67,'(新)ﾍﾞﾝﾀﾞｰ大型'!A67:K79,8,0),"")</f>
        <v/>
      </c>
      <c r="G67" s="7" t="str">
        <f>IFERROR(VLOOKUP(E67,'(旧)ﾍﾞﾝﾀﾞｰ大型'!$A$3:$K95,10,0),"")</f>
        <v/>
      </c>
      <c r="H67" s="12" t="s">
        <v>60</v>
      </c>
      <c r="I67" s="7" t="str">
        <f>IFERROR(VLOOKUP(E67,'(新)ﾍﾞﾝﾀﾞｰ大型'!$A$3:$K79,10,0),"")</f>
        <v/>
      </c>
    </row>
    <row r="68" spans="1:9" s="19" customFormat="1" ht="13.8" thickBot="1" x14ac:dyDescent="0.2">
      <c r="A68" s="11">
        <v>67</v>
      </c>
      <c r="B68" s="7" t="str">
        <f>IFERROR(VLOOKUP(E68,'(新)ﾍﾞﾝﾀﾞｰ大型'!$A$3:$K80,2,0),"")</f>
        <v/>
      </c>
      <c r="C68" s="7" t="str">
        <f>IFERROR(VLOOKUP(E68,'(新)ﾍﾞﾝﾀﾞｰ大型'!$A$3:K80,4,0),"")</f>
        <v/>
      </c>
      <c r="D68" s="7" t="str">
        <f>IFERROR(VLOOKUP(E68,'(新)ﾍﾞﾝﾀﾞｰ大型'!$A$3:K80,5,0),"")</f>
        <v/>
      </c>
      <c r="E68" s="23">
        <f>'(新)ﾍﾞﾝﾀﾞｰ大型'!A68</f>
        <v>0</v>
      </c>
      <c r="F68" s="8" t="str">
        <f>IFERROR(VLOOKUP(E68,'(新)ﾍﾞﾝﾀﾞｰ大型'!A68:K80,8,0),"")</f>
        <v/>
      </c>
      <c r="G68" s="7" t="str">
        <f>IFERROR(VLOOKUP(E68,'(旧)ﾍﾞﾝﾀﾞｰ大型'!$A$3:$K96,10,0),"")</f>
        <v/>
      </c>
      <c r="H68" s="12" t="s">
        <v>60</v>
      </c>
      <c r="I68" s="7" t="str">
        <f>IFERROR(VLOOKUP(E68,'(新)ﾍﾞﾝﾀﾞｰ大型'!$A$3:$K80,10,0),"")</f>
        <v/>
      </c>
    </row>
    <row r="69" spans="1:9" s="19" customFormat="1" ht="13.8" thickBot="1" x14ac:dyDescent="0.2">
      <c r="A69" s="11">
        <v>68</v>
      </c>
      <c r="B69" s="7" t="str">
        <f>IFERROR(VLOOKUP(E69,'(新)ﾍﾞﾝﾀﾞｰ大型'!$A$3:$K81,2,0),"")</f>
        <v/>
      </c>
      <c r="C69" s="7" t="str">
        <f>IFERROR(VLOOKUP(E69,'(新)ﾍﾞﾝﾀﾞｰ大型'!$A$3:K81,4,0),"")</f>
        <v/>
      </c>
      <c r="D69" s="7" t="str">
        <f>IFERROR(VLOOKUP(E69,'(新)ﾍﾞﾝﾀﾞｰ大型'!$A$3:K81,5,0),"")</f>
        <v/>
      </c>
      <c r="E69" s="23">
        <f>'(新)ﾍﾞﾝﾀﾞｰ大型'!A69</f>
        <v>0</v>
      </c>
      <c r="F69" s="8" t="str">
        <f>IFERROR(VLOOKUP(E69,'(新)ﾍﾞﾝﾀﾞｰ大型'!A69:K81,8,0),"")</f>
        <v/>
      </c>
      <c r="G69" s="7" t="str">
        <f>IFERROR(VLOOKUP(E69,'(旧)ﾍﾞﾝﾀﾞｰ大型'!$A$3:$K97,10,0),"")</f>
        <v/>
      </c>
      <c r="H69" s="12" t="s">
        <v>60</v>
      </c>
      <c r="I69" s="7" t="str">
        <f>IFERROR(VLOOKUP(E69,'(新)ﾍﾞﾝﾀﾞｰ大型'!$A$3:$K81,10,0),"")</f>
        <v/>
      </c>
    </row>
    <row r="70" spans="1:9" s="19" customFormat="1" ht="13.8" thickBot="1" x14ac:dyDescent="0.2">
      <c r="A70" s="11">
        <v>69</v>
      </c>
      <c r="B70" s="7" t="str">
        <f>IFERROR(VLOOKUP(E70,'(新)ﾍﾞﾝﾀﾞｰ大型'!$A$3:$K82,2,0),"")</f>
        <v/>
      </c>
      <c r="C70" s="7" t="str">
        <f>IFERROR(VLOOKUP(E70,'(新)ﾍﾞﾝﾀﾞｰ大型'!$A$3:K82,4,0),"")</f>
        <v/>
      </c>
      <c r="D70" s="7" t="str">
        <f>IFERROR(VLOOKUP(E70,'(新)ﾍﾞﾝﾀﾞｰ大型'!$A$3:K82,5,0),"")</f>
        <v/>
      </c>
      <c r="E70" s="23">
        <f>'(新)ﾍﾞﾝﾀﾞｰ大型'!A70</f>
        <v>0</v>
      </c>
      <c r="F70" s="8" t="str">
        <f>IFERROR(VLOOKUP(E70,'(新)ﾍﾞﾝﾀﾞｰ大型'!A70:K82,8,0),"")</f>
        <v/>
      </c>
      <c r="G70" s="7" t="str">
        <f>IFERROR(VLOOKUP(E70,'(旧)ﾍﾞﾝﾀﾞｰ大型'!$A$3:$K98,10,0),"")</f>
        <v/>
      </c>
      <c r="H70" s="12" t="s">
        <v>60</v>
      </c>
      <c r="I70" s="7" t="str">
        <f>IFERROR(VLOOKUP(E70,'(新)ﾍﾞﾝﾀﾞｰ大型'!$A$3:$K82,10,0),"")</f>
        <v/>
      </c>
    </row>
    <row r="71" spans="1:9" s="19" customFormat="1" ht="13.8" thickBot="1" x14ac:dyDescent="0.2">
      <c r="A71" s="11">
        <v>70</v>
      </c>
      <c r="B71" s="7" t="str">
        <f>IFERROR(VLOOKUP(E71,'(新)ﾍﾞﾝﾀﾞｰ大型'!$A$3:$K83,2,0),"")</f>
        <v/>
      </c>
      <c r="C71" s="7" t="str">
        <f>IFERROR(VLOOKUP(E71,'(新)ﾍﾞﾝﾀﾞｰ大型'!$A$3:K83,4,0),"")</f>
        <v/>
      </c>
      <c r="D71" s="7" t="str">
        <f>IFERROR(VLOOKUP(E71,'(新)ﾍﾞﾝﾀﾞｰ大型'!$A$3:K83,5,0),"")</f>
        <v/>
      </c>
      <c r="E71" s="23">
        <f>'(新)ﾍﾞﾝﾀﾞｰ大型'!A71</f>
        <v>0</v>
      </c>
      <c r="F71" s="8" t="str">
        <f>IFERROR(VLOOKUP(E71,'(新)ﾍﾞﾝﾀﾞｰ大型'!A71:K83,8,0),"")</f>
        <v/>
      </c>
      <c r="G71" s="7" t="str">
        <f>IFERROR(VLOOKUP(E71,'(旧)ﾍﾞﾝﾀﾞｰ大型'!$A$3:$K99,10,0),"")</f>
        <v/>
      </c>
      <c r="H71" s="12" t="s">
        <v>60</v>
      </c>
      <c r="I71" s="7" t="str">
        <f>IFERROR(VLOOKUP(E71,'(新)ﾍﾞﾝﾀﾞｰ大型'!$A$3:$K83,10,0),"")</f>
        <v/>
      </c>
    </row>
    <row r="72" spans="1:9" s="19" customFormat="1" ht="13.8" thickBot="1" x14ac:dyDescent="0.2">
      <c r="A72" s="11">
        <v>71</v>
      </c>
      <c r="B72" s="7" t="str">
        <f>IFERROR(VLOOKUP(E72,'(新)ﾍﾞﾝﾀﾞｰ大型'!$A$3:$K84,2,0),"")</f>
        <v/>
      </c>
      <c r="C72" s="7" t="str">
        <f>IFERROR(VLOOKUP(E72,'(新)ﾍﾞﾝﾀﾞｰ大型'!$A$3:K84,4,0),"")</f>
        <v/>
      </c>
      <c r="D72" s="7" t="str">
        <f>IFERROR(VLOOKUP(E72,'(新)ﾍﾞﾝﾀﾞｰ大型'!$A$3:K84,5,0),"")</f>
        <v/>
      </c>
      <c r="E72" s="23">
        <f>'(新)ﾍﾞﾝﾀﾞｰ大型'!A72</f>
        <v>0</v>
      </c>
      <c r="F72" s="8" t="str">
        <f>IFERROR(VLOOKUP(E72,'(新)ﾍﾞﾝﾀﾞｰ大型'!A72:K84,8,0),"")</f>
        <v/>
      </c>
      <c r="G72" s="7" t="str">
        <f>IFERROR(VLOOKUP(E72,'(旧)ﾍﾞﾝﾀﾞｰ大型'!$A$3:$K100,10,0),"")</f>
        <v/>
      </c>
      <c r="H72" s="12" t="s">
        <v>60</v>
      </c>
      <c r="I72" s="7" t="str">
        <f>IFERROR(VLOOKUP(E72,'(新)ﾍﾞﾝﾀﾞｰ大型'!$A$3:$K84,10,0),"")</f>
        <v/>
      </c>
    </row>
    <row r="73" spans="1:9" s="19" customFormat="1" ht="13.8" thickBot="1" x14ac:dyDescent="0.2">
      <c r="A73" s="11">
        <v>72</v>
      </c>
      <c r="B73" s="7" t="str">
        <f>IFERROR(VLOOKUP(E73,'(新)ﾍﾞﾝﾀﾞｰ大型'!$A$3:$K85,2,0),"")</f>
        <v/>
      </c>
      <c r="C73" s="7" t="str">
        <f>IFERROR(VLOOKUP(E73,'(新)ﾍﾞﾝﾀﾞｰ大型'!$A$3:K85,4,0),"")</f>
        <v/>
      </c>
      <c r="D73" s="7" t="str">
        <f>IFERROR(VLOOKUP(E73,'(新)ﾍﾞﾝﾀﾞｰ大型'!$A$3:K85,5,0),"")</f>
        <v/>
      </c>
      <c r="E73" s="23">
        <f>'(新)ﾍﾞﾝﾀﾞｰ大型'!A73</f>
        <v>0</v>
      </c>
      <c r="F73" s="8" t="str">
        <f>IFERROR(VLOOKUP(E73,'(新)ﾍﾞﾝﾀﾞｰ大型'!A73:K85,8,0),"")</f>
        <v/>
      </c>
      <c r="G73" s="7" t="str">
        <f>IFERROR(VLOOKUP(E73,'(旧)ﾍﾞﾝﾀﾞｰ大型'!$A$3:$K101,10,0),"")</f>
        <v/>
      </c>
      <c r="H73" s="12" t="s">
        <v>60</v>
      </c>
      <c r="I73" s="7" t="str">
        <f>IFERROR(VLOOKUP(E73,'(新)ﾍﾞﾝﾀﾞｰ大型'!$A$3:$K85,10,0),"")</f>
        <v/>
      </c>
    </row>
    <row r="74" spans="1:9" s="19" customFormat="1" ht="13.8" thickBot="1" x14ac:dyDescent="0.2">
      <c r="A74" s="11">
        <v>73</v>
      </c>
      <c r="B74" s="7" t="str">
        <f>IFERROR(VLOOKUP(E74,'(新)ﾍﾞﾝﾀﾞｰ大型'!$A$3:$K86,2,0),"")</f>
        <v/>
      </c>
      <c r="C74" s="7" t="str">
        <f>IFERROR(VLOOKUP(E74,'(新)ﾍﾞﾝﾀﾞｰ大型'!$A$3:K86,4,0),"")</f>
        <v/>
      </c>
      <c r="D74" s="7" t="str">
        <f>IFERROR(VLOOKUP(E74,'(新)ﾍﾞﾝﾀﾞｰ大型'!$A$3:K86,5,0),"")</f>
        <v/>
      </c>
      <c r="E74" s="23">
        <f>'(新)ﾍﾞﾝﾀﾞｰ大型'!A74</f>
        <v>0</v>
      </c>
      <c r="F74" s="8" t="str">
        <f>IFERROR(VLOOKUP(E74,'(新)ﾍﾞﾝﾀﾞｰ大型'!A74:K86,8,0),"")</f>
        <v/>
      </c>
      <c r="G74" s="7" t="str">
        <f>IFERROR(VLOOKUP(E74,'(旧)ﾍﾞﾝﾀﾞｰ大型'!$A$3:$K102,10,0),"")</f>
        <v/>
      </c>
      <c r="H74" s="12" t="s">
        <v>60</v>
      </c>
      <c r="I74" s="7" t="str">
        <f>IFERROR(VLOOKUP(E74,'(新)ﾍﾞﾝﾀﾞｰ大型'!$A$3:$K86,10,0),"")</f>
        <v/>
      </c>
    </row>
    <row r="75" spans="1:9" s="19" customFormat="1" ht="13.8" thickBot="1" x14ac:dyDescent="0.2">
      <c r="A75" s="11">
        <v>74</v>
      </c>
      <c r="B75" s="7" t="str">
        <f>IFERROR(VLOOKUP(E75,'(新)ﾍﾞﾝﾀﾞｰ大型'!$A$3:$K87,2,0),"")</f>
        <v/>
      </c>
      <c r="C75" s="7" t="str">
        <f>IFERROR(VLOOKUP(E75,'(新)ﾍﾞﾝﾀﾞｰ大型'!$A$3:K87,4,0),"")</f>
        <v/>
      </c>
      <c r="D75" s="7" t="str">
        <f>IFERROR(VLOOKUP(E75,'(新)ﾍﾞﾝﾀﾞｰ大型'!$A$3:K87,5,0),"")</f>
        <v/>
      </c>
      <c r="E75" s="23">
        <f>'(新)ﾍﾞﾝﾀﾞｰ大型'!A75</f>
        <v>0</v>
      </c>
      <c r="F75" s="8" t="str">
        <f>IFERROR(VLOOKUP(E75,'(新)ﾍﾞﾝﾀﾞｰ大型'!A75:K87,8,0),"")</f>
        <v/>
      </c>
      <c r="G75" s="7" t="str">
        <f>IFERROR(VLOOKUP(E75,'(旧)ﾍﾞﾝﾀﾞｰ大型'!$A$3:$K103,10,0),"")</f>
        <v/>
      </c>
      <c r="H75" s="12" t="s">
        <v>60</v>
      </c>
      <c r="I75" s="7" t="str">
        <f>IFERROR(VLOOKUP(E75,'(新)ﾍﾞﾝﾀﾞｰ大型'!$A$3:$K87,10,0),"")</f>
        <v/>
      </c>
    </row>
    <row r="76" spans="1:9" s="19" customFormat="1" ht="13.8" thickBot="1" x14ac:dyDescent="0.2">
      <c r="A76" s="11">
        <v>75</v>
      </c>
      <c r="B76" s="7" t="str">
        <f>IFERROR(VLOOKUP(E76,'(新)ﾍﾞﾝﾀﾞｰ大型'!$A$3:$K88,2,0),"")</f>
        <v/>
      </c>
      <c r="C76" s="7" t="str">
        <f>IFERROR(VLOOKUP(E76,'(新)ﾍﾞﾝﾀﾞｰ大型'!$A$3:K88,4,0),"")</f>
        <v/>
      </c>
      <c r="D76" s="7" t="str">
        <f>IFERROR(VLOOKUP(E76,'(新)ﾍﾞﾝﾀﾞｰ大型'!$A$3:K88,5,0),"")</f>
        <v/>
      </c>
      <c r="E76" s="23">
        <f>'(新)ﾍﾞﾝﾀﾞｰ大型'!A76</f>
        <v>0</v>
      </c>
      <c r="F76" s="8" t="str">
        <f>IFERROR(VLOOKUP(E76,'(新)ﾍﾞﾝﾀﾞｰ大型'!A76:K88,8,0),"")</f>
        <v/>
      </c>
      <c r="G76" s="7" t="str">
        <f>IFERROR(VLOOKUP(E76,'(旧)ﾍﾞﾝﾀﾞｰ大型'!$A$3:$K104,10,0),"")</f>
        <v/>
      </c>
      <c r="H76" s="12" t="s">
        <v>60</v>
      </c>
      <c r="I76" s="7" t="str">
        <f>IFERROR(VLOOKUP(E76,'(新)ﾍﾞﾝﾀﾞｰ大型'!$A$3:$K88,10,0),"")</f>
        <v/>
      </c>
    </row>
    <row r="77" spans="1:9" s="19" customFormat="1" ht="13.8" thickBot="1" x14ac:dyDescent="0.2">
      <c r="A77" s="11">
        <v>76</v>
      </c>
      <c r="B77" s="7" t="str">
        <f>IFERROR(VLOOKUP(E77,'(新)ﾍﾞﾝﾀﾞｰ大型'!$A$3:$K89,2,0),"")</f>
        <v/>
      </c>
      <c r="C77" s="7" t="str">
        <f>IFERROR(VLOOKUP(E77,'(新)ﾍﾞﾝﾀﾞｰ大型'!$A$3:K89,4,0),"")</f>
        <v/>
      </c>
      <c r="D77" s="7" t="str">
        <f>IFERROR(VLOOKUP(E77,'(新)ﾍﾞﾝﾀﾞｰ大型'!$A$3:K89,5,0),"")</f>
        <v/>
      </c>
      <c r="E77" s="23">
        <f>'(新)ﾍﾞﾝﾀﾞｰ大型'!A77</f>
        <v>0</v>
      </c>
      <c r="F77" s="8" t="str">
        <f>IFERROR(VLOOKUP(E77,'(新)ﾍﾞﾝﾀﾞｰ大型'!A77:K89,8,0),"")</f>
        <v/>
      </c>
      <c r="G77" s="7" t="str">
        <f>IFERROR(VLOOKUP(E77,'(旧)ﾍﾞﾝﾀﾞｰ大型'!$A$3:$K105,10,0),"")</f>
        <v/>
      </c>
      <c r="H77" s="12" t="s">
        <v>60</v>
      </c>
      <c r="I77" s="7" t="str">
        <f>IFERROR(VLOOKUP(E77,'(新)ﾍﾞﾝﾀﾞｰ大型'!$A$3:$K89,10,0),"")</f>
        <v/>
      </c>
    </row>
    <row r="78" spans="1:9" s="19" customFormat="1" ht="13.8" thickBot="1" x14ac:dyDescent="0.2">
      <c r="A78" s="11">
        <v>77</v>
      </c>
      <c r="B78" s="7" t="str">
        <f>IFERROR(VLOOKUP(E78,'(新)ﾍﾞﾝﾀﾞｰ大型'!$A$3:$K90,2,0),"")</f>
        <v/>
      </c>
      <c r="C78" s="7" t="str">
        <f>IFERROR(VLOOKUP(E78,'(新)ﾍﾞﾝﾀﾞｰ大型'!$A$3:K90,4,0),"")</f>
        <v/>
      </c>
      <c r="D78" s="7" t="str">
        <f>IFERROR(VLOOKUP(E78,'(新)ﾍﾞﾝﾀﾞｰ大型'!$A$3:K90,5,0),"")</f>
        <v/>
      </c>
      <c r="E78" s="23">
        <f>'(新)ﾍﾞﾝﾀﾞｰ大型'!A78</f>
        <v>0</v>
      </c>
      <c r="F78" s="8" t="str">
        <f>IFERROR(VLOOKUP(E78,'(新)ﾍﾞﾝﾀﾞｰ大型'!A78:K90,8,0),"")</f>
        <v/>
      </c>
      <c r="G78" s="7" t="str">
        <f>IFERROR(VLOOKUP(E78,'(旧)ﾍﾞﾝﾀﾞｰ大型'!$A$3:$K106,10,0),"")</f>
        <v/>
      </c>
      <c r="H78" s="12" t="s">
        <v>60</v>
      </c>
      <c r="I78" s="7" t="str">
        <f>IFERROR(VLOOKUP(E78,'(新)ﾍﾞﾝﾀﾞｰ大型'!$A$3:$K90,10,0),"")</f>
        <v/>
      </c>
    </row>
    <row r="79" spans="1:9" s="19" customFormat="1" ht="13.8" thickBot="1" x14ac:dyDescent="0.2">
      <c r="A79" s="11">
        <v>78</v>
      </c>
      <c r="B79" s="7" t="str">
        <f>IFERROR(VLOOKUP(E79,'(新)ﾍﾞﾝﾀﾞｰ大型'!$A$3:$K91,2,0),"")</f>
        <v/>
      </c>
      <c r="C79" s="7" t="str">
        <f>IFERROR(VLOOKUP(E79,'(新)ﾍﾞﾝﾀﾞｰ大型'!$A$3:K91,4,0),"")</f>
        <v/>
      </c>
      <c r="D79" s="7" t="str">
        <f>IFERROR(VLOOKUP(E79,'(新)ﾍﾞﾝﾀﾞｰ大型'!$A$3:K91,5,0),"")</f>
        <v/>
      </c>
      <c r="E79" s="23">
        <f>'(新)ﾍﾞﾝﾀﾞｰ大型'!A79</f>
        <v>0</v>
      </c>
      <c r="F79" s="8" t="str">
        <f>IFERROR(VLOOKUP(E79,'(新)ﾍﾞﾝﾀﾞｰ大型'!A79:K91,8,0),"")</f>
        <v/>
      </c>
      <c r="G79" s="7" t="str">
        <f>IFERROR(VLOOKUP(E79,'(旧)ﾍﾞﾝﾀﾞｰ大型'!$A$3:$K107,10,0),"")</f>
        <v/>
      </c>
      <c r="H79" s="12" t="s">
        <v>60</v>
      </c>
      <c r="I79" s="7" t="str">
        <f>IFERROR(VLOOKUP(E79,'(新)ﾍﾞﾝﾀﾞｰ大型'!$A$3:$K91,10,0),"")</f>
        <v/>
      </c>
    </row>
    <row r="80" spans="1:9" s="19" customFormat="1" ht="13.8" thickBot="1" x14ac:dyDescent="0.2">
      <c r="A80" s="11">
        <v>79</v>
      </c>
      <c r="B80" s="7" t="str">
        <f>IFERROR(VLOOKUP(E80,'(新)ﾍﾞﾝﾀﾞｰ大型'!$A$3:$K92,2,0),"")</f>
        <v/>
      </c>
      <c r="C80" s="7" t="str">
        <f>IFERROR(VLOOKUP(E80,'(新)ﾍﾞﾝﾀﾞｰ大型'!$A$3:K92,4,0),"")</f>
        <v/>
      </c>
      <c r="D80" s="7" t="str">
        <f>IFERROR(VLOOKUP(E80,'(新)ﾍﾞﾝﾀﾞｰ大型'!$A$3:K92,5,0),"")</f>
        <v/>
      </c>
      <c r="E80" s="23">
        <f>'(新)ﾍﾞﾝﾀﾞｰ大型'!A80</f>
        <v>0</v>
      </c>
      <c r="F80" s="8" t="str">
        <f>IFERROR(VLOOKUP(E80,'(新)ﾍﾞﾝﾀﾞｰ大型'!A80:K92,8,0),"")</f>
        <v/>
      </c>
      <c r="G80" s="7" t="str">
        <f>IFERROR(VLOOKUP(E80,'(旧)ﾍﾞﾝﾀﾞｰ大型'!$A$3:$K108,10,0),"")</f>
        <v/>
      </c>
      <c r="H80" s="12" t="s">
        <v>60</v>
      </c>
      <c r="I80" s="7" t="str">
        <f>IFERROR(VLOOKUP(E80,'(新)ﾍﾞﾝﾀﾞｰ大型'!$A$3:$K92,10,0),"")</f>
        <v/>
      </c>
    </row>
    <row r="81" spans="1:9" s="19" customFormat="1" ht="13.8" thickBot="1" x14ac:dyDescent="0.2">
      <c r="A81" s="11">
        <v>80</v>
      </c>
      <c r="B81" s="7" t="str">
        <f>IFERROR(VLOOKUP(E81,'(新)ﾍﾞﾝﾀﾞｰ大型'!$A$3:$K93,2,0),"")</f>
        <v/>
      </c>
      <c r="C81" s="7" t="str">
        <f>IFERROR(VLOOKUP(E81,'(新)ﾍﾞﾝﾀﾞｰ大型'!$A$3:K93,4,0),"")</f>
        <v/>
      </c>
      <c r="D81" s="7" t="str">
        <f>IFERROR(VLOOKUP(E81,'(新)ﾍﾞﾝﾀﾞｰ大型'!$A$3:K93,5,0),"")</f>
        <v/>
      </c>
      <c r="E81" s="23">
        <f>'(新)ﾍﾞﾝﾀﾞｰ大型'!A81</f>
        <v>0</v>
      </c>
      <c r="F81" s="8" t="str">
        <f>IFERROR(VLOOKUP(E81,'(新)ﾍﾞﾝﾀﾞｰ大型'!A81:K93,8,0),"")</f>
        <v/>
      </c>
      <c r="G81" s="7" t="str">
        <f>IFERROR(VLOOKUP(E81,'(旧)ﾍﾞﾝﾀﾞｰ大型'!$A$3:$K109,10,0),"")</f>
        <v/>
      </c>
      <c r="H81" s="12" t="s">
        <v>60</v>
      </c>
      <c r="I81" s="7" t="str">
        <f>IFERROR(VLOOKUP(E81,'(新)ﾍﾞﾝﾀﾞｰ大型'!$A$3:$K93,10,0),"")</f>
        <v/>
      </c>
    </row>
    <row r="82" spans="1:9" s="19" customFormat="1" ht="13.8" thickBot="1" x14ac:dyDescent="0.2">
      <c r="A82" s="11">
        <v>81</v>
      </c>
      <c r="B82" s="7" t="str">
        <f>IFERROR(VLOOKUP(E82,'(新)ﾍﾞﾝﾀﾞｰ大型'!$A$3:$K94,2,0),"")</f>
        <v/>
      </c>
      <c r="C82" s="7" t="str">
        <f>IFERROR(VLOOKUP(E82,'(新)ﾍﾞﾝﾀﾞｰ大型'!$A$3:K94,4,0),"")</f>
        <v/>
      </c>
      <c r="D82" s="7" t="str">
        <f>IFERROR(VLOOKUP(E82,'(新)ﾍﾞﾝﾀﾞｰ大型'!$A$3:K94,5,0),"")</f>
        <v/>
      </c>
      <c r="E82" s="23">
        <f>'(新)ﾍﾞﾝﾀﾞｰ大型'!A82</f>
        <v>0</v>
      </c>
      <c r="F82" s="8" t="str">
        <f>IFERROR(VLOOKUP(E82,'(新)ﾍﾞﾝﾀﾞｰ大型'!A82:K94,8,0),"")</f>
        <v/>
      </c>
      <c r="G82" s="7" t="str">
        <f>IFERROR(VLOOKUP(E82,'(旧)ﾍﾞﾝﾀﾞｰ大型'!$A$3:$K110,10,0),"")</f>
        <v/>
      </c>
      <c r="H82" s="12" t="s">
        <v>60</v>
      </c>
      <c r="I82" s="7" t="str">
        <f>IFERROR(VLOOKUP(E82,'(新)ﾍﾞﾝﾀﾞｰ大型'!$A$3:$K94,10,0),"")</f>
        <v/>
      </c>
    </row>
    <row r="83" spans="1:9" s="19" customFormat="1" ht="13.8" thickBot="1" x14ac:dyDescent="0.2">
      <c r="A83" s="11">
        <v>82</v>
      </c>
      <c r="B83" s="7" t="str">
        <f>IFERROR(VLOOKUP(E83,'(新)ﾍﾞﾝﾀﾞｰ大型'!$A$3:$K95,2,0),"")</f>
        <v/>
      </c>
      <c r="C83" s="7" t="str">
        <f>IFERROR(VLOOKUP(E83,'(新)ﾍﾞﾝﾀﾞｰ大型'!$A$3:K95,4,0),"")</f>
        <v/>
      </c>
      <c r="D83" s="7" t="str">
        <f>IFERROR(VLOOKUP(E83,'(新)ﾍﾞﾝﾀﾞｰ大型'!$A$3:K95,5,0),"")</f>
        <v/>
      </c>
      <c r="E83" s="23">
        <f>'(新)ﾍﾞﾝﾀﾞｰ大型'!A83</f>
        <v>0</v>
      </c>
      <c r="F83" s="8" t="str">
        <f>IFERROR(VLOOKUP(E83,'(新)ﾍﾞﾝﾀﾞｰ大型'!A83:K95,8,0),"")</f>
        <v/>
      </c>
      <c r="G83" s="7" t="str">
        <f>IFERROR(VLOOKUP(E83,'(旧)ﾍﾞﾝﾀﾞｰ大型'!$A$3:$K111,10,0),"")</f>
        <v/>
      </c>
      <c r="H83" s="12" t="s">
        <v>60</v>
      </c>
      <c r="I83" s="7" t="str">
        <f>IFERROR(VLOOKUP(E83,'(新)ﾍﾞﾝﾀﾞｰ大型'!$A$3:$K95,10,0),"")</f>
        <v/>
      </c>
    </row>
    <row r="84" spans="1:9" s="19" customFormat="1" ht="13.8" thickBot="1" x14ac:dyDescent="0.2">
      <c r="A84" s="11">
        <v>83</v>
      </c>
      <c r="B84" s="7" t="str">
        <f>IFERROR(VLOOKUP(E84,'(新)ﾍﾞﾝﾀﾞｰ大型'!$A$3:$K96,2,0),"")</f>
        <v/>
      </c>
      <c r="C84" s="7" t="str">
        <f>IFERROR(VLOOKUP(E84,'(新)ﾍﾞﾝﾀﾞｰ大型'!$A$3:K96,4,0),"")</f>
        <v/>
      </c>
      <c r="D84" s="7" t="str">
        <f>IFERROR(VLOOKUP(E84,'(新)ﾍﾞﾝﾀﾞｰ大型'!$A$3:K96,5,0),"")</f>
        <v/>
      </c>
      <c r="E84" s="23">
        <f>'(新)ﾍﾞﾝﾀﾞｰ大型'!A84</f>
        <v>0</v>
      </c>
      <c r="F84" s="8" t="str">
        <f>IFERROR(VLOOKUP(E84,'(新)ﾍﾞﾝﾀﾞｰ大型'!A84:K96,8,0),"")</f>
        <v/>
      </c>
      <c r="G84" s="7" t="str">
        <f>IFERROR(VLOOKUP(E84,'(旧)ﾍﾞﾝﾀﾞｰ大型'!$A$3:$K112,10,0),"")</f>
        <v/>
      </c>
      <c r="H84" s="12" t="s">
        <v>60</v>
      </c>
      <c r="I84" s="7" t="str">
        <f>IFERROR(VLOOKUP(E84,'(新)ﾍﾞﾝﾀﾞｰ大型'!$A$3:$K96,10,0),"")</f>
        <v/>
      </c>
    </row>
    <row r="85" spans="1:9" s="19" customFormat="1" ht="13.8" thickBot="1" x14ac:dyDescent="0.2">
      <c r="A85" s="11">
        <v>84</v>
      </c>
      <c r="B85" s="7" t="str">
        <f>IFERROR(VLOOKUP(E85,'(新)ﾍﾞﾝﾀﾞｰ大型'!$A$3:$K97,2,0),"")</f>
        <v/>
      </c>
      <c r="C85" s="7" t="str">
        <f>IFERROR(VLOOKUP(E85,'(新)ﾍﾞﾝﾀﾞｰ大型'!$A$3:K97,4,0),"")</f>
        <v/>
      </c>
      <c r="D85" s="7" t="str">
        <f>IFERROR(VLOOKUP(E85,'(新)ﾍﾞﾝﾀﾞｰ大型'!$A$3:K97,5,0),"")</f>
        <v/>
      </c>
      <c r="E85" s="23">
        <f>'(新)ﾍﾞﾝﾀﾞｰ大型'!A85</f>
        <v>0</v>
      </c>
      <c r="F85" s="8" t="str">
        <f>IFERROR(VLOOKUP(E85,'(新)ﾍﾞﾝﾀﾞｰ大型'!A85:K97,8,0),"")</f>
        <v/>
      </c>
      <c r="G85" s="7" t="str">
        <f>IFERROR(VLOOKUP(E85,'(旧)ﾍﾞﾝﾀﾞｰ大型'!$A$3:$K113,10,0),"")</f>
        <v/>
      </c>
      <c r="H85" s="12" t="s">
        <v>60</v>
      </c>
      <c r="I85" s="7" t="str">
        <f>IFERROR(VLOOKUP(E85,'(新)ﾍﾞﾝﾀﾞｰ大型'!$A$3:$K97,10,0),"")</f>
        <v/>
      </c>
    </row>
    <row r="86" spans="1:9" s="19" customFormat="1" ht="13.8" thickBot="1" x14ac:dyDescent="0.2">
      <c r="A86" s="11">
        <v>85</v>
      </c>
      <c r="B86" s="7" t="str">
        <f>IFERROR(VLOOKUP(E86,'(新)ﾍﾞﾝﾀﾞｰ大型'!$A$3:$K98,2,0),"")</f>
        <v/>
      </c>
      <c r="C86" s="7" t="str">
        <f>IFERROR(VLOOKUP(E86,'(新)ﾍﾞﾝﾀﾞｰ大型'!$A$3:K98,4,0),"")</f>
        <v/>
      </c>
      <c r="D86" s="7" t="str">
        <f>IFERROR(VLOOKUP(E86,'(新)ﾍﾞﾝﾀﾞｰ大型'!$A$3:K98,5,0),"")</f>
        <v/>
      </c>
      <c r="E86" s="23">
        <f>'(新)ﾍﾞﾝﾀﾞｰ大型'!A86</f>
        <v>0</v>
      </c>
      <c r="F86" s="8" t="str">
        <f>IFERROR(VLOOKUP(E86,'(新)ﾍﾞﾝﾀﾞｰ大型'!A86:K98,8,0),"")</f>
        <v/>
      </c>
      <c r="G86" s="7" t="str">
        <f>IFERROR(VLOOKUP(E86,'(旧)ﾍﾞﾝﾀﾞｰ大型'!$A$3:$K114,10,0),"")</f>
        <v/>
      </c>
      <c r="H86" s="12" t="s">
        <v>60</v>
      </c>
      <c r="I86" s="7" t="str">
        <f>IFERROR(VLOOKUP(E86,'(新)ﾍﾞﾝﾀﾞｰ大型'!$A$3:$K98,10,0),"")</f>
        <v/>
      </c>
    </row>
    <row r="87" spans="1:9" s="19" customFormat="1" ht="13.8" thickBot="1" x14ac:dyDescent="0.2">
      <c r="A87" s="11">
        <v>86</v>
      </c>
      <c r="B87" s="7" t="str">
        <f>IFERROR(VLOOKUP(E87,'(新)ﾍﾞﾝﾀﾞｰ大型'!$A$3:$K99,2,0),"")</f>
        <v/>
      </c>
      <c r="C87" s="7" t="str">
        <f>IFERROR(VLOOKUP(E87,'(新)ﾍﾞﾝﾀﾞｰ大型'!$A$3:K99,4,0),"")</f>
        <v/>
      </c>
      <c r="D87" s="7" t="str">
        <f>IFERROR(VLOOKUP(E87,'(新)ﾍﾞﾝﾀﾞｰ大型'!$A$3:K99,5,0),"")</f>
        <v/>
      </c>
      <c r="E87" s="23">
        <f>'(新)ﾍﾞﾝﾀﾞｰ大型'!A87</f>
        <v>0</v>
      </c>
      <c r="F87" s="8" t="str">
        <f>IFERROR(VLOOKUP(E87,'(新)ﾍﾞﾝﾀﾞｰ大型'!A87:K99,8,0),"")</f>
        <v/>
      </c>
      <c r="G87" s="7" t="str">
        <f>IFERROR(VLOOKUP(E87,'(旧)ﾍﾞﾝﾀﾞｰ大型'!$A$3:$K115,10,0),"")</f>
        <v/>
      </c>
      <c r="H87" s="12" t="s">
        <v>60</v>
      </c>
      <c r="I87" s="7" t="str">
        <f>IFERROR(VLOOKUP(E87,'(新)ﾍﾞﾝﾀﾞｰ大型'!$A$3:$K99,10,0),"")</f>
        <v/>
      </c>
    </row>
    <row r="88" spans="1:9" s="19" customFormat="1" ht="13.8" thickBot="1" x14ac:dyDescent="0.2">
      <c r="A88" s="11">
        <v>87</v>
      </c>
      <c r="B88" s="7" t="str">
        <f>IFERROR(VLOOKUP(E88,'(新)ﾍﾞﾝﾀﾞｰ大型'!$A$3:$K100,2,0),"")</f>
        <v/>
      </c>
      <c r="C88" s="7" t="str">
        <f>IFERROR(VLOOKUP(E88,'(新)ﾍﾞﾝﾀﾞｰ大型'!$A$3:K100,4,0),"")</f>
        <v/>
      </c>
      <c r="D88" s="7" t="str">
        <f>IFERROR(VLOOKUP(E88,'(新)ﾍﾞﾝﾀﾞｰ大型'!$A$3:K100,5,0),"")</f>
        <v/>
      </c>
      <c r="E88" s="23">
        <f>'(新)ﾍﾞﾝﾀﾞｰ大型'!A88</f>
        <v>0</v>
      </c>
      <c r="F88" s="8" t="str">
        <f>IFERROR(VLOOKUP(E88,'(新)ﾍﾞﾝﾀﾞｰ大型'!A88:K100,8,0),"")</f>
        <v/>
      </c>
      <c r="G88" s="7" t="str">
        <f>IFERROR(VLOOKUP(E88,'(旧)ﾍﾞﾝﾀﾞｰ大型'!$A$3:$K116,10,0),"")</f>
        <v/>
      </c>
      <c r="H88" s="12" t="s">
        <v>60</v>
      </c>
      <c r="I88" s="7" t="str">
        <f>IFERROR(VLOOKUP(E88,'(新)ﾍﾞﾝﾀﾞｰ大型'!$A$3:$K100,10,0),"")</f>
        <v/>
      </c>
    </row>
    <row r="89" spans="1:9" s="19" customFormat="1" ht="13.8" thickBot="1" x14ac:dyDescent="0.2">
      <c r="A89" s="11">
        <v>88</v>
      </c>
      <c r="B89" s="7" t="str">
        <f>IFERROR(VLOOKUP(E89,'(新)ﾍﾞﾝﾀﾞｰ大型'!$A$3:$K101,2,0),"")</f>
        <v/>
      </c>
      <c r="C89" s="7" t="str">
        <f>IFERROR(VLOOKUP(E89,'(新)ﾍﾞﾝﾀﾞｰ大型'!$A$3:K101,4,0),"")</f>
        <v/>
      </c>
      <c r="D89" s="7" t="str">
        <f>IFERROR(VLOOKUP(E89,'(新)ﾍﾞﾝﾀﾞｰ大型'!$A$3:K101,5,0),"")</f>
        <v/>
      </c>
      <c r="E89" s="23">
        <f>'(新)ﾍﾞﾝﾀﾞｰ大型'!A89</f>
        <v>0</v>
      </c>
      <c r="F89" s="8" t="str">
        <f>IFERROR(VLOOKUP(E89,'(新)ﾍﾞﾝﾀﾞｰ大型'!A89:K101,8,0),"")</f>
        <v/>
      </c>
      <c r="G89" s="7" t="str">
        <f>IFERROR(VLOOKUP(E89,'(旧)ﾍﾞﾝﾀﾞｰ大型'!$A$3:$K117,10,0),"")</f>
        <v/>
      </c>
      <c r="H89" s="12" t="s">
        <v>60</v>
      </c>
      <c r="I89" s="7" t="str">
        <f>IFERROR(VLOOKUP(E89,'(新)ﾍﾞﾝﾀﾞｰ大型'!$A$3:$K101,10,0),"")</f>
        <v/>
      </c>
    </row>
    <row r="90" spans="1:9" s="19" customFormat="1" ht="13.8" thickBot="1" x14ac:dyDescent="0.2">
      <c r="A90" s="11">
        <v>89</v>
      </c>
      <c r="B90" s="7" t="str">
        <f>IFERROR(VLOOKUP(E90,'(新)ﾍﾞﾝﾀﾞｰ大型'!$A$3:$K102,2,0),"")</f>
        <v/>
      </c>
      <c r="C90" s="7" t="str">
        <f>IFERROR(VLOOKUP(E90,'(新)ﾍﾞﾝﾀﾞｰ大型'!$A$3:K102,4,0),"")</f>
        <v/>
      </c>
      <c r="D90" s="7" t="str">
        <f>IFERROR(VLOOKUP(E90,'(新)ﾍﾞﾝﾀﾞｰ大型'!$A$3:K102,5,0),"")</f>
        <v/>
      </c>
      <c r="E90" s="23">
        <f>'(新)ﾍﾞﾝﾀﾞｰ大型'!A90</f>
        <v>0</v>
      </c>
      <c r="F90" s="8" t="str">
        <f>IFERROR(VLOOKUP(E90,'(新)ﾍﾞﾝﾀﾞｰ大型'!A90:K102,8,0),"")</f>
        <v/>
      </c>
      <c r="G90" s="7" t="str">
        <f>IFERROR(VLOOKUP(E90,'(旧)ﾍﾞﾝﾀﾞｰ大型'!$A$3:$K118,10,0),"")</f>
        <v/>
      </c>
      <c r="H90" s="12" t="s">
        <v>60</v>
      </c>
      <c r="I90" s="7" t="str">
        <f>IFERROR(VLOOKUP(E90,'(新)ﾍﾞﾝﾀﾞｰ大型'!$A$3:$K102,10,0),"")</f>
        <v/>
      </c>
    </row>
    <row r="91" spans="1:9" s="19" customFormat="1" ht="13.8" thickBot="1" x14ac:dyDescent="0.2">
      <c r="A91" s="11">
        <v>90</v>
      </c>
      <c r="B91" s="7" t="str">
        <f>IFERROR(VLOOKUP(E91,'(新)ﾍﾞﾝﾀﾞｰ大型'!$A$3:$K103,2,0),"")</f>
        <v/>
      </c>
      <c r="C91" s="7" t="str">
        <f>IFERROR(VLOOKUP(E91,'(新)ﾍﾞﾝﾀﾞｰ大型'!$A$3:K103,4,0),"")</f>
        <v/>
      </c>
      <c r="D91" s="7" t="str">
        <f>IFERROR(VLOOKUP(E91,'(新)ﾍﾞﾝﾀﾞｰ大型'!$A$3:K103,5,0),"")</f>
        <v/>
      </c>
      <c r="E91" s="23">
        <f>'(新)ﾍﾞﾝﾀﾞｰ大型'!A91</f>
        <v>0</v>
      </c>
      <c r="F91" s="8" t="str">
        <f>IFERROR(VLOOKUP(E91,'(新)ﾍﾞﾝﾀﾞｰ大型'!A91:K103,8,0),"")</f>
        <v/>
      </c>
      <c r="G91" s="7" t="str">
        <f>IFERROR(VLOOKUP(E91,'(旧)ﾍﾞﾝﾀﾞｰ大型'!$A$3:$K119,10,0),"")</f>
        <v/>
      </c>
      <c r="H91" s="12" t="s">
        <v>60</v>
      </c>
      <c r="I91" s="7" t="str">
        <f>IFERROR(VLOOKUP(E91,'(新)ﾍﾞﾝﾀﾞｰ大型'!$A$3:$K103,10,0),"")</f>
        <v/>
      </c>
    </row>
    <row r="92" spans="1:9" s="19" customFormat="1" ht="13.8" thickBot="1" x14ac:dyDescent="0.2">
      <c r="A92" s="11">
        <v>91</v>
      </c>
      <c r="B92" s="7" t="str">
        <f>IFERROR(VLOOKUP(E92,'(新)ﾍﾞﾝﾀﾞｰ大型'!$A$3:$K104,2,0),"")</f>
        <v/>
      </c>
      <c r="C92" s="7" t="str">
        <f>IFERROR(VLOOKUP(E92,'(新)ﾍﾞﾝﾀﾞｰ大型'!$A$3:K104,4,0),"")</f>
        <v/>
      </c>
      <c r="D92" s="7" t="str">
        <f>IFERROR(VLOOKUP(E92,'(新)ﾍﾞﾝﾀﾞｰ大型'!$A$3:K104,5,0),"")</f>
        <v/>
      </c>
      <c r="E92" s="23">
        <f>'(新)ﾍﾞﾝﾀﾞｰ大型'!A92</f>
        <v>0</v>
      </c>
      <c r="F92" s="8" t="str">
        <f>IFERROR(VLOOKUP(E92,'(新)ﾍﾞﾝﾀﾞｰ大型'!A92:K104,8,0),"")</f>
        <v/>
      </c>
      <c r="G92" s="7" t="str">
        <f>IFERROR(VLOOKUP(E92,'(旧)ﾍﾞﾝﾀﾞｰ大型'!$A$3:$K120,10,0),"")</f>
        <v/>
      </c>
      <c r="H92" s="12" t="s">
        <v>60</v>
      </c>
      <c r="I92" s="7" t="str">
        <f>IFERROR(VLOOKUP(E92,'(新)ﾍﾞﾝﾀﾞｰ大型'!$A$3:$K104,10,0),"")</f>
        <v/>
      </c>
    </row>
    <row r="93" spans="1:9" s="19" customFormat="1" ht="13.8" thickBot="1" x14ac:dyDescent="0.2">
      <c r="A93" s="11">
        <v>92</v>
      </c>
      <c r="B93" s="7" t="str">
        <f>IFERROR(VLOOKUP(E93,'(新)ﾍﾞﾝﾀﾞｰ大型'!$A$3:$K105,2,0),"")</f>
        <v/>
      </c>
      <c r="C93" s="7" t="str">
        <f>IFERROR(VLOOKUP(E93,'(新)ﾍﾞﾝﾀﾞｰ大型'!$A$3:K105,4,0),"")</f>
        <v/>
      </c>
      <c r="D93" s="7" t="str">
        <f>IFERROR(VLOOKUP(E93,'(新)ﾍﾞﾝﾀﾞｰ大型'!$A$3:K105,5,0),"")</f>
        <v/>
      </c>
      <c r="E93" s="23">
        <f>'(新)ﾍﾞﾝﾀﾞｰ大型'!A93</f>
        <v>0</v>
      </c>
      <c r="F93" s="8" t="str">
        <f>IFERROR(VLOOKUP(E93,'(新)ﾍﾞﾝﾀﾞｰ大型'!A93:K105,8,0),"")</f>
        <v/>
      </c>
      <c r="G93" s="7" t="str">
        <f>IFERROR(VLOOKUP(E93,'(旧)ﾍﾞﾝﾀﾞｰ大型'!$A$3:$K121,10,0),"")</f>
        <v/>
      </c>
      <c r="H93" s="12" t="s">
        <v>60</v>
      </c>
      <c r="I93" s="7" t="str">
        <f>IFERROR(VLOOKUP(E93,'(新)ﾍﾞﾝﾀﾞｰ大型'!$A$3:$K105,10,0),"")</f>
        <v/>
      </c>
    </row>
    <row r="94" spans="1:9" s="19" customFormat="1" ht="13.8" thickBot="1" x14ac:dyDescent="0.2">
      <c r="A94" s="11">
        <v>93</v>
      </c>
      <c r="B94" s="7" t="str">
        <f>IFERROR(VLOOKUP(E94,'(新)ﾍﾞﾝﾀﾞｰ大型'!$A$3:$K106,2,0),"")</f>
        <v/>
      </c>
      <c r="C94" s="7" t="str">
        <f>IFERROR(VLOOKUP(E94,'(新)ﾍﾞﾝﾀﾞｰ大型'!$A$3:K106,4,0),"")</f>
        <v/>
      </c>
      <c r="D94" s="7" t="str">
        <f>IFERROR(VLOOKUP(E94,'(新)ﾍﾞﾝﾀﾞｰ大型'!$A$3:K106,5,0),"")</f>
        <v/>
      </c>
      <c r="E94" s="23">
        <f>'(新)ﾍﾞﾝﾀﾞｰ大型'!A94</f>
        <v>0</v>
      </c>
      <c r="F94" s="8" t="str">
        <f>IFERROR(VLOOKUP(E94,'(新)ﾍﾞﾝﾀﾞｰ大型'!A94:K106,8,0),"")</f>
        <v/>
      </c>
      <c r="G94" s="7" t="str">
        <f>IFERROR(VLOOKUP(E94,'(旧)ﾍﾞﾝﾀﾞｰ大型'!$A$3:$K122,10,0),"")</f>
        <v/>
      </c>
      <c r="H94" s="12" t="s">
        <v>60</v>
      </c>
      <c r="I94" s="7" t="str">
        <f>IFERROR(VLOOKUP(E94,'(新)ﾍﾞﾝﾀﾞｰ大型'!$A$3:$K106,10,0),"")</f>
        <v/>
      </c>
    </row>
    <row r="95" spans="1:9" s="19" customFormat="1" ht="13.8" thickBot="1" x14ac:dyDescent="0.2">
      <c r="A95" s="11">
        <v>94</v>
      </c>
      <c r="B95" s="7" t="str">
        <f>IFERROR(VLOOKUP(E95,'(新)ﾍﾞﾝﾀﾞｰ大型'!$A$3:$K107,2,0),"")</f>
        <v/>
      </c>
      <c r="C95" s="7" t="str">
        <f>IFERROR(VLOOKUP(E95,'(新)ﾍﾞﾝﾀﾞｰ大型'!$A$3:K107,4,0),"")</f>
        <v/>
      </c>
      <c r="D95" s="7" t="str">
        <f>IFERROR(VLOOKUP(E95,'(新)ﾍﾞﾝﾀﾞｰ大型'!$A$3:K107,5,0),"")</f>
        <v/>
      </c>
      <c r="E95" s="23">
        <f>'(新)ﾍﾞﾝﾀﾞｰ大型'!A95</f>
        <v>0</v>
      </c>
      <c r="F95" s="8" t="str">
        <f>IFERROR(VLOOKUP(E95,'(新)ﾍﾞﾝﾀﾞｰ大型'!A95:K107,8,0),"")</f>
        <v/>
      </c>
      <c r="G95" s="7" t="str">
        <f>IFERROR(VLOOKUP(E95,'(旧)ﾍﾞﾝﾀﾞｰ大型'!$A$3:$K123,10,0),"")</f>
        <v/>
      </c>
      <c r="H95" s="12" t="s">
        <v>60</v>
      </c>
      <c r="I95" s="7" t="str">
        <f>IFERROR(VLOOKUP(E95,'(新)ﾍﾞﾝﾀﾞｰ大型'!$A$3:$K107,10,0),"")</f>
        <v/>
      </c>
    </row>
    <row r="96" spans="1:9" s="19" customFormat="1" ht="13.8" thickBot="1" x14ac:dyDescent="0.2">
      <c r="A96" s="11">
        <v>95</v>
      </c>
      <c r="B96" s="7" t="str">
        <f>IFERROR(VLOOKUP(E96,'(新)ﾍﾞﾝﾀﾞｰ大型'!$A$3:$K108,2,0),"")</f>
        <v/>
      </c>
      <c r="C96" s="7" t="str">
        <f>IFERROR(VLOOKUP(E96,'(新)ﾍﾞﾝﾀﾞｰ大型'!$A$3:K108,4,0),"")</f>
        <v/>
      </c>
      <c r="D96" s="7" t="str">
        <f>IFERROR(VLOOKUP(E96,'(新)ﾍﾞﾝﾀﾞｰ大型'!$A$3:K108,5,0),"")</f>
        <v/>
      </c>
      <c r="E96" s="23">
        <f>'(新)ﾍﾞﾝﾀﾞｰ大型'!A96</f>
        <v>0</v>
      </c>
      <c r="F96" s="8" t="str">
        <f>IFERROR(VLOOKUP(E96,'(新)ﾍﾞﾝﾀﾞｰ大型'!A96:K108,8,0),"")</f>
        <v/>
      </c>
      <c r="G96" s="7" t="str">
        <f>IFERROR(VLOOKUP(E96,'(旧)ﾍﾞﾝﾀﾞｰ大型'!$A$3:$K124,10,0),"")</f>
        <v/>
      </c>
      <c r="H96" s="12" t="s">
        <v>60</v>
      </c>
      <c r="I96" s="7" t="str">
        <f>IFERROR(VLOOKUP(E96,'(新)ﾍﾞﾝﾀﾞｰ大型'!$A$3:$K108,10,0),"")</f>
        <v/>
      </c>
    </row>
    <row r="97" spans="1:9" s="19" customFormat="1" ht="13.8" thickBot="1" x14ac:dyDescent="0.2">
      <c r="A97" s="11">
        <v>96</v>
      </c>
      <c r="B97" s="7" t="str">
        <f>IFERROR(VLOOKUP(E97,'(新)ﾍﾞﾝﾀﾞｰ大型'!$A$3:$K109,2,0),"")</f>
        <v/>
      </c>
      <c r="C97" s="7" t="str">
        <f>IFERROR(VLOOKUP(E97,'(新)ﾍﾞﾝﾀﾞｰ大型'!$A$3:K109,4,0),"")</f>
        <v/>
      </c>
      <c r="D97" s="7" t="str">
        <f>IFERROR(VLOOKUP(E97,'(新)ﾍﾞﾝﾀﾞｰ大型'!$A$3:K109,5,0),"")</f>
        <v/>
      </c>
      <c r="E97" s="23">
        <f>'(新)ﾍﾞﾝﾀﾞｰ大型'!A97</f>
        <v>0</v>
      </c>
      <c r="F97" s="8" t="str">
        <f>IFERROR(VLOOKUP(E97,'(新)ﾍﾞﾝﾀﾞｰ大型'!A97:K109,8,0),"")</f>
        <v/>
      </c>
      <c r="G97" s="7" t="str">
        <f>IFERROR(VLOOKUP(E97,'(旧)ﾍﾞﾝﾀﾞｰ大型'!$A$3:$K125,10,0),"")</f>
        <v/>
      </c>
      <c r="H97" s="12" t="s">
        <v>60</v>
      </c>
      <c r="I97" s="7" t="str">
        <f>IFERROR(VLOOKUP(E97,'(新)ﾍﾞﾝﾀﾞｰ大型'!$A$3:$K109,10,0),"")</f>
        <v/>
      </c>
    </row>
    <row r="98" spans="1:9" s="19" customFormat="1" ht="13.8" thickBot="1" x14ac:dyDescent="0.2">
      <c r="A98" s="11">
        <v>97</v>
      </c>
      <c r="B98" s="7" t="str">
        <f>IFERROR(VLOOKUP(E98,'(新)ﾍﾞﾝﾀﾞｰ大型'!$A$3:$K110,2,0),"")</f>
        <v/>
      </c>
      <c r="C98" s="7" t="str">
        <f>IFERROR(VLOOKUP(E98,'(新)ﾍﾞﾝﾀﾞｰ大型'!$A$3:K110,4,0),"")</f>
        <v/>
      </c>
      <c r="D98" s="7" t="str">
        <f>IFERROR(VLOOKUP(E98,'(新)ﾍﾞﾝﾀﾞｰ大型'!$A$3:K110,5,0),"")</f>
        <v/>
      </c>
      <c r="E98" s="23">
        <f>'(新)ﾍﾞﾝﾀﾞｰ大型'!A98</f>
        <v>0</v>
      </c>
      <c r="F98" s="8" t="str">
        <f>IFERROR(VLOOKUP(E98,'(新)ﾍﾞﾝﾀﾞｰ大型'!A98:K110,8,0),"")</f>
        <v/>
      </c>
      <c r="G98" s="7" t="str">
        <f>IFERROR(VLOOKUP(E98,'(旧)ﾍﾞﾝﾀﾞｰ大型'!$A$3:$K126,10,0),"")</f>
        <v/>
      </c>
      <c r="H98" s="12" t="s">
        <v>60</v>
      </c>
      <c r="I98" s="7" t="str">
        <f>IFERROR(VLOOKUP(E98,'(新)ﾍﾞﾝﾀﾞｰ大型'!$A$3:$K110,10,0),"")</f>
        <v/>
      </c>
    </row>
    <row r="99" spans="1:9" s="19" customFormat="1" ht="13.8" thickBot="1" x14ac:dyDescent="0.2">
      <c r="A99" s="11">
        <v>98</v>
      </c>
      <c r="B99" s="7" t="str">
        <f>IFERROR(VLOOKUP(E99,'(新)ﾍﾞﾝﾀﾞｰ大型'!$A$3:$K111,2,0),"")</f>
        <v/>
      </c>
      <c r="C99" s="7" t="str">
        <f>IFERROR(VLOOKUP(E99,'(新)ﾍﾞﾝﾀﾞｰ大型'!$A$3:K111,4,0),"")</f>
        <v/>
      </c>
      <c r="D99" s="7" t="str">
        <f>IFERROR(VLOOKUP(E99,'(新)ﾍﾞﾝﾀﾞｰ大型'!$A$3:K111,5,0),"")</f>
        <v/>
      </c>
      <c r="E99" s="23">
        <f>'(新)ﾍﾞﾝﾀﾞｰ大型'!A99</f>
        <v>0</v>
      </c>
      <c r="F99" s="8" t="str">
        <f>IFERROR(VLOOKUP(E99,'(新)ﾍﾞﾝﾀﾞｰ大型'!A99:K111,8,0),"")</f>
        <v/>
      </c>
      <c r="G99" s="7" t="str">
        <f>IFERROR(VLOOKUP(E99,'(旧)ﾍﾞﾝﾀﾞｰ大型'!$A$3:$K127,10,0),"")</f>
        <v/>
      </c>
      <c r="H99" s="12" t="s">
        <v>60</v>
      </c>
      <c r="I99" s="7" t="str">
        <f>IFERROR(VLOOKUP(E99,'(新)ﾍﾞﾝﾀﾞｰ大型'!$A$3:$K111,10,0),"")</f>
        <v/>
      </c>
    </row>
    <row r="100" spans="1:9" s="19" customFormat="1" ht="13.8" thickBot="1" x14ac:dyDescent="0.2">
      <c r="A100" s="11">
        <v>99</v>
      </c>
      <c r="B100" s="7" t="str">
        <f>IFERROR(VLOOKUP(E100,'(新)ﾍﾞﾝﾀﾞｰ大型'!$A$3:$K112,2,0),"")</f>
        <v/>
      </c>
      <c r="C100" s="7" t="str">
        <f>IFERROR(VLOOKUP(E100,'(新)ﾍﾞﾝﾀﾞｰ大型'!$A$3:K112,4,0),"")</f>
        <v/>
      </c>
      <c r="D100" s="7" t="str">
        <f>IFERROR(VLOOKUP(E100,'(新)ﾍﾞﾝﾀﾞｰ大型'!$A$3:K112,5,0),"")</f>
        <v/>
      </c>
      <c r="E100" s="23">
        <f>'(新)ﾍﾞﾝﾀﾞｰ大型'!A100</f>
        <v>0</v>
      </c>
      <c r="F100" s="8" t="str">
        <f>IFERROR(VLOOKUP(E100,'(新)ﾍﾞﾝﾀﾞｰ大型'!A100:K112,8,0),"")</f>
        <v/>
      </c>
      <c r="G100" s="7" t="str">
        <f>IFERROR(VLOOKUP(E100,'(旧)ﾍﾞﾝﾀﾞｰ大型'!$A$3:$K128,10,0),"")</f>
        <v/>
      </c>
      <c r="H100" s="12" t="s">
        <v>60</v>
      </c>
      <c r="I100" s="7" t="str">
        <f>IFERROR(VLOOKUP(E100,'(新)ﾍﾞﾝﾀﾞｰ大型'!$A$3:$K112,10,0),"")</f>
        <v/>
      </c>
    </row>
    <row r="101" spans="1:9" s="19" customFormat="1" ht="13.8" thickBot="1" x14ac:dyDescent="0.2">
      <c r="A101" s="11">
        <v>100</v>
      </c>
      <c r="B101" s="7" t="str">
        <f>IFERROR(VLOOKUP(E101,'(新)ﾍﾞﾝﾀﾞｰ大型'!$A$3:$K113,2,0),"")</f>
        <v/>
      </c>
      <c r="C101" s="7" t="str">
        <f>IFERROR(VLOOKUP(E101,'(新)ﾍﾞﾝﾀﾞｰ大型'!$A$3:K113,4,0),"")</f>
        <v/>
      </c>
      <c r="D101" s="7" t="str">
        <f>IFERROR(VLOOKUP(E101,'(新)ﾍﾞﾝﾀﾞｰ大型'!$A$3:K113,5,0),"")</f>
        <v/>
      </c>
      <c r="E101" s="23">
        <f>'(新)ﾍﾞﾝﾀﾞｰ大型'!A101</f>
        <v>0</v>
      </c>
      <c r="F101" s="8" t="str">
        <f>IFERROR(VLOOKUP(E101,'(新)ﾍﾞﾝﾀﾞｰ大型'!A101:K113,8,0),"")</f>
        <v/>
      </c>
      <c r="G101" s="7" t="str">
        <f>IFERROR(VLOOKUP(E101,'(旧)ﾍﾞﾝﾀﾞｰ大型'!$A$3:$K129,10,0),"")</f>
        <v/>
      </c>
      <c r="H101" s="12" t="s">
        <v>60</v>
      </c>
      <c r="I101" s="7" t="str">
        <f>IFERROR(VLOOKUP(E101,'(新)ﾍﾞﾝﾀﾞｰ大型'!$A$3:$K113,10,0),"")</f>
        <v/>
      </c>
    </row>
    <row r="102" spans="1:9" s="19" customFormat="1" ht="13.8" thickBot="1" x14ac:dyDescent="0.2">
      <c r="A102" s="11">
        <v>101</v>
      </c>
      <c r="B102" s="7" t="str">
        <f>IFERROR(VLOOKUP(E102,'(新)ﾍﾞﾝﾀﾞｰ大型'!$A$3:$K114,2,0),"")</f>
        <v/>
      </c>
      <c r="C102" s="7" t="str">
        <f>IFERROR(VLOOKUP(E102,'(新)ﾍﾞﾝﾀﾞｰ大型'!$A$3:K114,4,0),"")</f>
        <v/>
      </c>
      <c r="D102" s="7" t="str">
        <f>IFERROR(VLOOKUP(E102,'(新)ﾍﾞﾝﾀﾞｰ大型'!$A$3:K114,5,0),"")</f>
        <v/>
      </c>
      <c r="E102" s="23">
        <f>'(新)ﾍﾞﾝﾀﾞｰ大型'!A102</f>
        <v>0</v>
      </c>
      <c r="F102" s="8" t="str">
        <f>IFERROR(VLOOKUP(E102,'(新)ﾍﾞﾝﾀﾞｰ大型'!A102:K114,8,0),"")</f>
        <v/>
      </c>
      <c r="G102" s="7" t="str">
        <f>IFERROR(VLOOKUP(E102,'(旧)ﾍﾞﾝﾀﾞｰ大型'!$A$3:$K130,10,0),"")</f>
        <v/>
      </c>
      <c r="H102" s="12" t="s">
        <v>60</v>
      </c>
      <c r="I102" s="7" t="str">
        <f>IFERROR(VLOOKUP(E102,'(新)ﾍﾞﾝﾀﾞｰ大型'!$A$3:$K114,10,0),"")</f>
        <v/>
      </c>
    </row>
    <row r="103" spans="1:9" s="19" customFormat="1" ht="13.8" thickBot="1" x14ac:dyDescent="0.2">
      <c r="A103" s="11">
        <v>102</v>
      </c>
      <c r="B103" s="7" t="str">
        <f>IFERROR(VLOOKUP(E103,'(新)ﾍﾞﾝﾀﾞｰ大型'!$A$3:$K115,2,0),"")</f>
        <v/>
      </c>
      <c r="C103" s="7" t="str">
        <f>IFERROR(VLOOKUP(E103,'(新)ﾍﾞﾝﾀﾞｰ大型'!$A$3:K115,4,0),"")</f>
        <v/>
      </c>
      <c r="D103" s="7" t="str">
        <f>IFERROR(VLOOKUP(E103,'(新)ﾍﾞﾝﾀﾞｰ大型'!$A$3:K115,5,0),"")</f>
        <v/>
      </c>
      <c r="E103" s="23">
        <f>'(新)ﾍﾞﾝﾀﾞｰ大型'!A103</f>
        <v>0</v>
      </c>
      <c r="F103" s="8" t="str">
        <f>IFERROR(VLOOKUP(E103,'(新)ﾍﾞﾝﾀﾞｰ大型'!A103:K115,8,0),"")</f>
        <v/>
      </c>
      <c r="G103" s="7" t="str">
        <f>IFERROR(VLOOKUP(E103,'(旧)ﾍﾞﾝﾀﾞｰ大型'!$A$3:$K131,10,0),"")</f>
        <v/>
      </c>
      <c r="H103" s="12" t="s">
        <v>60</v>
      </c>
      <c r="I103" s="7" t="str">
        <f>IFERROR(VLOOKUP(E103,'(新)ﾍﾞﾝﾀﾞｰ大型'!$A$3:$K115,10,0),"")</f>
        <v/>
      </c>
    </row>
    <row r="104" spans="1:9" s="19" customFormat="1" ht="13.8" thickBot="1" x14ac:dyDescent="0.2">
      <c r="A104" s="11">
        <v>103</v>
      </c>
      <c r="B104" s="7" t="str">
        <f>IFERROR(VLOOKUP(E104,'(新)ﾍﾞﾝﾀﾞｰ大型'!$A$3:$K116,2,0),"")</f>
        <v/>
      </c>
      <c r="C104" s="7" t="str">
        <f>IFERROR(VLOOKUP(E104,'(新)ﾍﾞﾝﾀﾞｰ大型'!$A$3:K116,4,0),"")</f>
        <v/>
      </c>
      <c r="D104" s="7" t="str">
        <f>IFERROR(VLOOKUP(E104,'(新)ﾍﾞﾝﾀﾞｰ大型'!$A$3:K116,5,0),"")</f>
        <v/>
      </c>
      <c r="E104" s="23">
        <f>'(新)ﾍﾞﾝﾀﾞｰ大型'!A104</f>
        <v>0</v>
      </c>
      <c r="F104" s="8" t="str">
        <f>IFERROR(VLOOKUP(E104,'(新)ﾍﾞﾝﾀﾞｰ大型'!A104:K116,8,0),"")</f>
        <v/>
      </c>
      <c r="G104" s="7" t="str">
        <f>IFERROR(VLOOKUP(E104,'(旧)ﾍﾞﾝﾀﾞｰ大型'!$A$3:$K132,10,0),"")</f>
        <v/>
      </c>
      <c r="H104" s="12" t="s">
        <v>60</v>
      </c>
      <c r="I104" s="7" t="str">
        <f>IFERROR(VLOOKUP(E104,'(新)ﾍﾞﾝﾀﾞｰ大型'!$A$3:$K116,10,0),"")</f>
        <v/>
      </c>
    </row>
    <row r="105" spans="1:9" s="19" customFormat="1" ht="13.8" thickBot="1" x14ac:dyDescent="0.2">
      <c r="A105" s="11">
        <v>104</v>
      </c>
      <c r="B105" s="7" t="str">
        <f>IFERROR(VLOOKUP(E105,'(新)ﾍﾞﾝﾀﾞｰ大型'!$A$3:$K117,2,0),"")</f>
        <v/>
      </c>
      <c r="C105" s="7" t="str">
        <f>IFERROR(VLOOKUP(E105,'(新)ﾍﾞﾝﾀﾞｰ大型'!$A$3:K117,4,0),"")</f>
        <v/>
      </c>
      <c r="D105" s="7" t="str">
        <f>IFERROR(VLOOKUP(E105,'(新)ﾍﾞﾝﾀﾞｰ大型'!$A$3:K117,5,0),"")</f>
        <v/>
      </c>
      <c r="E105" s="23">
        <f>'(新)ﾍﾞﾝﾀﾞｰ大型'!A105</f>
        <v>0</v>
      </c>
      <c r="F105" s="8" t="str">
        <f>IFERROR(VLOOKUP(E105,'(新)ﾍﾞﾝﾀﾞｰ大型'!A105:K117,8,0),"")</f>
        <v/>
      </c>
      <c r="G105" s="7" t="str">
        <f>IFERROR(VLOOKUP(E105,'(旧)ﾍﾞﾝﾀﾞｰ大型'!$A$3:$K133,10,0),"")</f>
        <v/>
      </c>
      <c r="H105" s="12" t="s">
        <v>60</v>
      </c>
      <c r="I105" s="7" t="str">
        <f>IFERROR(VLOOKUP(E105,'(新)ﾍﾞﾝﾀﾞｰ大型'!$A$3:$K117,10,0),"")</f>
        <v/>
      </c>
    </row>
    <row r="106" spans="1:9" s="19" customFormat="1" ht="13.8" thickBot="1" x14ac:dyDescent="0.2">
      <c r="A106" s="11">
        <v>105</v>
      </c>
      <c r="B106" s="7" t="str">
        <f>IFERROR(VLOOKUP(E106,'(新)ﾍﾞﾝﾀﾞｰ大型'!$A$3:$K118,2,0),"")</f>
        <v/>
      </c>
      <c r="C106" s="7" t="str">
        <f>IFERROR(VLOOKUP(E106,'(新)ﾍﾞﾝﾀﾞｰ大型'!$A$3:K118,4,0),"")</f>
        <v/>
      </c>
      <c r="D106" s="7" t="str">
        <f>IFERROR(VLOOKUP(E106,'(新)ﾍﾞﾝﾀﾞｰ大型'!$A$3:K118,5,0),"")</f>
        <v/>
      </c>
      <c r="E106" s="23">
        <f>'(新)ﾍﾞﾝﾀﾞｰ大型'!A106</f>
        <v>0</v>
      </c>
      <c r="F106" s="8" t="str">
        <f>IFERROR(VLOOKUP(E106,'(新)ﾍﾞﾝﾀﾞｰ大型'!A106:K118,8,0),"")</f>
        <v/>
      </c>
      <c r="G106" s="7" t="str">
        <f>IFERROR(VLOOKUP(E106,'(旧)ﾍﾞﾝﾀﾞｰ大型'!$A$3:$K134,10,0),"")</f>
        <v/>
      </c>
      <c r="H106" s="12" t="s">
        <v>60</v>
      </c>
      <c r="I106" s="7" t="str">
        <f>IFERROR(VLOOKUP(E106,'(新)ﾍﾞﾝﾀﾞｰ大型'!$A$3:$K118,10,0),"")</f>
        <v/>
      </c>
    </row>
    <row r="107" spans="1:9" s="19" customFormat="1" ht="13.8" thickBot="1" x14ac:dyDescent="0.2">
      <c r="A107" s="11">
        <v>106</v>
      </c>
      <c r="B107" s="7" t="str">
        <f>IFERROR(VLOOKUP(E107,'(新)ﾍﾞﾝﾀﾞｰ大型'!$A$3:$K119,2,0),"")</f>
        <v/>
      </c>
      <c r="C107" s="7" t="str">
        <f>IFERROR(VLOOKUP(E107,'(新)ﾍﾞﾝﾀﾞｰ大型'!$A$3:K119,4,0),"")</f>
        <v/>
      </c>
      <c r="D107" s="7" t="str">
        <f>IFERROR(VLOOKUP(E107,'(新)ﾍﾞﾝﾀﾞｰ大型'!$A$3:K119,5,0),"")</f>
        <v/>
      </c>
      <c r="E107" s="23">
        <f>'(新)ﾍﾞﾝﾀﾞｰ大型'!A107</f>
        <v>0</v>
      </c>
      <c r="F107" s="8" t="str">
        <f>IFERROR(VLOOKUP(E107,'(新)ﾍﾞﾝﾀﾞｰ大型'!A107:K119,8,0),"")</f>
        <v/>
      </c>
      <c r="G107" s="7" t="str">
        <f>IFERROR(VLOOKUP(E107,'(旧)ﾍﾞﾝﾀﾞｰ大型'!$A$3:$K135,10,0),"")</f>
        <v/>
      </c>
      <c r="H107" s="12" t="s">
        <v>60</v>
      </c>
      <c r="I107" s="7" t="str">
        <f>IFERROR(VLOOKUP(E107,'(新)ﾍﾞﾝﾀﾞｰ大型'!$A$3:$K119,10,0),"")</f>
        <v/>
      </c>
    </row>
    <row r="108" spans="1:9" s="19" customFormat="1" ht="13.8" thickBot="1" x14ac:dyDescent="0.2">
      <c r="A108" s="11">
        <v>107</v>
      </c>
      <c r="B108" s="7" t="str">
        <f>IFERROR(VLOOKUP(E108,'(新)ﾍﾞﾝﾀﾞｰ大型'!$A$3:$K120,2,0),"")</f>
        <v/>
      </c>
      <c r="C108" s="7" t="str">
        <f>IFERROR(VLOOKUP(E108,'(新)ﾍﾞﾝﾀﾞｰ大型'!$A$3:K120,4,0),"")</f>
        <v/>
      </c>
      <c r="D108" s="7" t="str">
        <f>IFERROR(VLOOKUP(E108,'(新)ﾍﾞﾝﾀﾞｰ大型'!$A$3:K120,5,0),"")</f>
        <v/>
      </c>
      <c r="E108" s="23">
        <f>'(新)ﾍﾞﾝﾀﾞｰ大型'!A108</f>
        <v>0</v>
      </c>
      <c r="F108" s="8" t="str">
        <f>IFERROR(VLOOKUP(E108,'(新)ﾍﾞﾝﾀﾞｰ大型'!A108:K120,8,0),"")</f>
        <v/>
      </c>
      <c r="G108" s="7" t="str">
        <f>IFERROR(VLOOKUP(E108,'(旧)ﾍﾞﾝﾀﾞｰ大型'!$A$3:$K136,10,0),"")</f>
        <v/>
      </c>
      <c r="H108" s="12" t="s">
        <v>60</v>
      </c>
      <c r="I108" s="7" t="str">
        <f>IFERROR(VLOOKUP(E108,'(新)ﾍﾞﾝﾀﾞｰ大型'!$A$3:$K120,10,0),"")</f>
        <v/>
      </c>
    </row>
    <row r="109" spans="1:9" s="19" customFormat="1" ht="13.8" thickBot="1" x14ac:dyDescent="0.2">
      <c r="A109" s="11">
        <v>108</v>
      </c>
      <c r="B109" s="7" t="str">
        <f>IFERROR(VLOOKUP(E109,'(新)ﾍﾞﾝﾀﾞｰ大型'!$A$3:$K121,2,0),"")</f>
        <v/>
      </c>
      <c r="C109" s="7" t="str">
        <f>IFERROR(VLOOKUP(E109,'(新)ﾍﾞﾝﾀﾞｰ大型'!$A$3:K121,4,0),"")</f>
        <v/>
      </c>
      <c r="D109" s="7" t="str">
        <f>IFERROR(VLOOKUP(E109,'(新)ﾍﾞﾝﾀﾞｰ大型'!$A$3:K121,5,0),"")</f>
        <v/>
      </c>
      <c r="E109" s="23">
        <f>'(新)ﾍﾞﾝﾀﾞｰ大型'!A109</f>
        <v>0</v>
      </c>
      <c r="F109" s="8" t="str">
        <f>IFERROR(VLOOKUP(E109,'(新)ﾍﾞﾝﾀﾞｰ大型'!A109:K121,8,0),"")</f>
        <v/>
      </c>
      <c r="G109" s="7" t="str">
        <f>IFERROR(VLOOKUP(E109,'(旧)ﾍﾞﾝﾀﾞｰ大型'!$A$3:$K137,10,0),"")</f>
        <v/>
      </c>
      <c r="H109" s="12" t="s">
        <v>60</v>
      </c>
      <c r="I109" s="7" t="str">
        <f>IFERROR(VLOOKUP(E109,'(新)ﾍﾞﾝﾀﾞｰ大型'!$A$3:$K121,10,0),"")</f>
        <v/>
      </c>
    </row>
    <row r="110" spans="1:9" s="19" customFormat="1" ht="13.8" thickBot="1" x14ac:dyDescent="0.2">
      <c r="A110" s="11">
        <v>109</v>
      </c>
      <c r="B110" s="7" t="str">
        <f>IFERROR(VLOOKUP(E110,'(新)ﾍﾞﾝﾀﾞｰ大型'!$A$3:$K122,2,0),"")</f>
        <v/>
      </c>
      <c r="C110" s="7" t="str">
        <f>IFERROR(VLOOKUP(E110,'(新)ﾍﾞﾝﾀﾞｰ大型'!$A$3:K122,4,0),"")</f>
        <v/>
      </c>
      <c r="D110" s="7" t="str">
        <f>IFERROR(VLOOKUP(E110,'(新)ﾍﾞﾝﾀﾞｰ大型'!$A$3:K122,5,0),"")</f>
        <v/>
      </c>
      <c r="E110" s="23">
        <f>'(新)ﾍﾞﾝﾀﾞｰ大型'!A110</f>
        <v>0</v>
      </c>
      <c r="F110" s="8" t="str">
        <f>IFERROR(VLOOKUP(E110,'(新)ﾍﾞﾝﾀﾞｰ大型'!A110:K122,8,0),"")</f>
        <v/>
      </c>
      <c r="G110" s="7" t="str">
        <f>IFERROR(VLOOKUP(E110,'(旧)ﾍﾞﾝﾀﾞｰ大型'!$A$3:$K138,10,0),"")</f>
        <v/>
      </c>
      <c r="H110" s="12" t="s">
        <v>60</v>
      </c>
      <c r="I110" s="7" t="str">
        <f>IFERROR(VLOOKUP(E110,'(新)ﾍﾞﾝﾀﾞｰ大型'!$A$3:$K122,10,0),"")</f>
        <v/>
      </c>
    </row>
    <row r="111" spans="1:9" s="19" customFormat="1" ht="13.8" thickBot="1" x14ac:dyDescent="0.2">
      <c r="A111" s="11">
        <v>110</v>
      </c>
      <c r="B111" s="7" t="str">
        <f>IFERROR(VLOOKUP(E111,'(新)ﾍﾞﾝﾀﾞｰ大型'!$A$3:$K123,2,0),"")</f>
        <v/>
      </c>
      <c r="C111" s="7" t="str">
        <f>IFERROR(VLOOKUP(E111,'(新)ﾍﾞﾝﾀﾞｰ大型'!$A$3:K123,4,0),"")</f>
        <v/>
      </c>
      <c r="D111" s="7" t="str">
        <f>IFERROR(VLOOKUP(E111,'(新)ﾍﾞﾝﾀﾞｰ大型'!$A$3:K123,5,0),"")</f>
        <v/>
      </c>
      <c r="E111" s="23">
        <f>'(新)ﾍﾞﾝﾀﾞｰ大型'!A111</f>
        <v>0</v>
      </c>
      <c r="F111" s="8" t="str">
        <f>IFERROR(VLOOKUP(E111,'(新)ﾍﾞﾝﾀﾞｰ大型'!A111:K123,8,0),"")</f>
        <v/>
      </c>
      <c r="G111" s="7" t="str">
        <f>IFERROR(VLOOKUP(E111,'(旧)ﾍﾞﾝﾀﾞｰ大型'!$A$3:$K139,10,0),"")</f>
        <v/>
      </c>
      <c r="H111" s="12" t="s">
        <v>60</v>
      </c>
      <c r="I111" s="7" t="str">
        <f>IFERROR(VLOOKUP(E111,'(新)ﾍﾞﾝﾀﾞｰ大型'!$A$3:$K123,10,0),"")</f>
        <v/>
      </c>
    </row>
    <row r="112" spans="1:9" s="19" customFormat="1" ht="13.8" thickBot="1" x14ac:dyDescent="0.2">
      <c r="A112" s="11">
        <v>111</v>
      </c>
      <c r="B112" s="7" t="str">
        <f>IFERROR(VLOOKUP(E112,'(新)ﾍﾞﾝﾀﾞｰ大型'!$A$3:$K124,2,0),"")</f>
        <v/>
      </c>
      <c r="C112" s="7" t="str">
        <f>IFERROR(VLOOKUP(E112,'(新)ﾍﾞﾝﾀﾞｰ大型'!$A$3:K124,4,0),"")</f>
        <v/>
      </c>
      <c r="D112" s="7" t="str">
        <f>IFERROR(VLOOKUP(E112,'(新)ﾍﾞﾝﾀﾞｰ大型'!$A$3:K124,5,0),"")</f>
        <v/>
      </c>
      <c r="E112" s="23">
        <f>'(新)ﾍﾞﾝﾀﾞｰ大型'!A112</f>
        <v>0</v>
      </c>
      <c r="F112" s="8" t="str">
        <f>IFERROR(VLOOKUP(E112,'(新)ﾍﾞﾝﾀﾞｰ大型'!A112:K124,8,0),"")</f>
        <v/>
      </c>
      <c r="G112" s="7" t="str">
        <f>IFERROR(VLOOKUP(E112,'(旧)ﾍﾞﾝﾀﾞｰ大型'!$A$3:$K140,10,0),"")</f>
        <v/>
      </c>
      <c r="H112" s="12" t="s">
        <v>60</v>
      </c>
      <c r="I112" s="7" t="str">
        <f>IFERROR(VLOOKUP(E112,'(新)ﾍﾞﾝﾀﾞｰ大型'!$A$3:$K124,10,0),"")</f>
        <v/>
      </c>
    </row>
    <row r="113" spans="1:9" s="19" customFormat="1" ht="13.8" thickBot="1" x14ac:dyDescent="0.2">
      <c r="A113" s="11">
        <v>112</v>
      </c>
      <c r="B113" s="7" t="str">
        <f>IFERROR(VLOOKUP(E113,'(新)ﾍﾞﾝﾀﾞｰ大型'!$A$3:$K125,2,0),"")</f>
        <v/>
      </c>
      <c r="C113" s="7" t="str">
        <f>IFERROR(VLOOKUP(E113,'(新)ﾍﾞﾝﾀﾞｰ大型'!$A$3:K125,4,0),"")</f>
        <v/>
      </c>
      <c r="D113" s="7" t="str">
        <f>IFERROR(VLOOKUP(E113,'(新)ﾍﾞﾝﾀﾞｰ大型'!$A$3:K125,5,0),"")</f>
        <v/>
      </c>
      <c r="E113" s="23">
        <f>'(新)ﾍﾞﾝﾀﾞｰ大型'!A113</f>
        <v>0</v>
      </c>
      <c r="F113" s="8" t="str">
        <f>IFERROR(VLOOKUP(E113,'(新)ﾍﾞﾝﾀﾞｰ大型'!A113:K125,8,0),"")</f>
        <v/>
      </c>
      <c r="G113" s="7" t="str">
        <f>IFERROR(VLOOKUP(E113,'(旧)ﾍﾞﾝﾀﾞｰ大型'!$A$3:$K141,10,0),"")</f>
        <v/>
      </c>
      <c r="H113" s="12" t="s">
        <v>60</v>
      </c>
      <c r="I113" s="7" t="str">
        <f>IFERROR(VLOOKUP(E113,'(新)ﾍﾞﾝﾀﾞｰ大型'!$A$3:$K125,10,0),"")</f>
        <v/>
      </c>
    </row>
    <row r="114" spans="1:9" s="19" customFormat="1" ht="13.8" thickBot="1" x14ac:dyDescent="0.2">
      <c r="A114" s="11">
        <v>113</v>
      </c>
      <c r="B114" s="7" t="str">
        <f>IFERROR(VLOOKUP(E114,'(新)ﾍﾞﾝﾀﾞｰ大型'!$A$3:$K126,2,0),"")</f>
        <v/>
      </c>
      <c r="C114" s="7" t="str">
        <f>IFERROR(VLOOKUP(E114,'(新)ﾍﾞﾝﾀﾞｰ大型'!$A$3:K126,4,0),"")</f>
        <v/>
      </c>
      <c r="D114" s="7" t="str">
        <f>IFERROR(VLOOKUP(E114,'(新)ﾍﾞﾝﾀﾞｰ大型'!$A$3:K126,5,0),"")</f>
        <v/>
      </c>
      <c r="E114" s="23">
        <f>'(新)ﾍﾞﾝﾀﾞｰ大型'!A114</f>
        <v>0</v>
      </c>
      <c r="F114" s="8" t="str">
        <f>IFERROR(VLOOKUP(E114,'(新)ﾍﾞﾝﾀﾞｰ大型'!A114:K126,8,0),"")</f>
        <v/>
      </c>
      <c r="G114" s="7" t="str">
        <f>IFERROR(VLOOKUP(E114,'(旧)ﾍﾞﾝﾀﾞｰ大型'!$A$3:$K142,10,0),"")</f>
        <v/>
      </c>
      <c r="H114" s="12" t="s">
        <v>60</v>
      </c>
      <c r="I114" s="7" t="str">
        <f>IFERROR(VLOOKUP(E114,'(新)ﾍﾞﾝﾀﾞｰ大型'!$A$3:$K126,10,0),"")</f>
        <v/>
      </c>
    </row>
    <row r="115" spans="1:9" s="19" customFormat="1" ht="13.8" thickBot="1" x14ac:dyDescent="0.2">
      <c r="A115" s="11">
        <v>114</v>
      </c>
      <c r="B115" s="7" t="str">
        <f>IFERROR(VLOOKUP(E115,'(新)ﾍﾞﾝﾀﾞｰ大型'!$A$3:$K127,2,0),"")</f>
        <v/>
      </c>
      <c r="C115" s="7" t="str">
        <f>IFERROR(VLOOKUP(E115,'(新)ﾍﾞﾝﾀﾞｰ大型'!$A$3:K127,4,0),"")</f>
        <v/>
      </c>
      <c r="D115" s="7" t="str">
        <f>IFERROR(VLOOKUP(E115,'(新)ﾍﾞﾝﾀﾞｰ大型'!$A$3:K127,5,0),"")</f>
        <v/>
      </c>
      <c r="E115" s="23">
        <f>'(新)ﾍﾞﾝﾀﾞｰ大型'!A115</f>
        <v>0</v>
      </c>
      <c r="F115" s="8" t="str">
        <f>IFERROR(VLOOKUP(E115,'(新)ﾍﾞﾝﾀﾞｰ大型'!A115:K127,8,0),"")</f>
        <v/>
      </c>
      <c r="G115" s="7" t="str">
        <f>IFERROR(VLOOKUP(E115,'(旧)ﾍﾞﾝﾀﾞｰ大型'!$A$3:$K143,10,0),"")</f>
        <v/>
      </c>
      <c r="H115" s="12" t="s">
        <v>60</v>
      </c>
      <c r="I115" s="7" t="str">
        <f>IFERROR(VLOOKUP(E115,'(新)ﾍﾞﾝﾀﾞｰ大型'!$A$3:$K127,10,0),"")</f>
        <v/>
      </c>
    </row>
    <row r="116" spans="1:9" s="19" customFormat="1" ht="13.8" thickBot="1" x14ac:dyDescent="0.2">
      <c r="A116" s="11">
        <v>115</v>
      </c>
      <c r="B116" s="7" t="str">
        <f>IFERROR(VLOOKUP(E116,'(新)ﾍﾞﾝﾀﾞｰ大型'!$A$3:$K128,2,0),"")</f>
        <v/>
      </c>
      <c r="C116" s="7" t="str">
        <f>IFERROR(VLOOKUP(E116,'(新)ﾍﾞﾝﾀﾞｰ大型'!$A$3:K128,4,0),"")</f>
        <v/>
      </c>
      <c r="D116" s="7" t="str">
        <f>IFERROR(VLOOKUP(E116,'(新)ﾍﾞﾝﾀﾞｰ大型'!$A$3:K128,5,0),"")</f>
        <v/>
      </c>
      <c r="E116" s="23">
        <f>'(新)ﾍﾞﾝﾀﾞｰ大型'!A116</f>
        <v>0</v>
      </c>
      <c r="F116" s="8" t="str">
        <f>IFERROR(VLOOKUP(E116,'(新)ﾍﾞﾝﾀﾞｰ大型'!A116:K128,8,0),"")</f>
        <v/>
      </c>
      <c r="G116" s="7" t="str">
        <f>IFERROR(VLOOKUP(E116,'(旧)ﾍﾞﾝﾀﾞｰ大型'!$A$3:$K144,10,0),"")</f>
        <v/>
      </c>
      <c r="H116" s="12" t="s">
        <v>60</v>
      </c>
      <c r="I116" s="7" t="str">
        <f>IFERROR(VLOOKUP(E116,'(新)ﾍﾞﾝﾀﾞｰ大型'!$A$3:$K128,10,0),"")</f>
        <v/>
      </c>
    </row>
    <row r="117" spans="1:9" s="19" customFormat="1" x14ac:dyDescent="0.2"/>
    <row r="118" spans="1:9" s="19" customFormat="1" x14ac:dyDescent="0.2"/>
    <row r="119" spans="1:9" s="19" customFormat="1" x14ac:dyDescent="0.2"/>
    <row r="120" spans="1:9" s="19" customFormat="1" x14ac:dyDescent="0.2"/>
    <row r="121" spans="1:9" s="19" customFormat="1" x14ac:dyDescent="0.2"/>
    <row r="122" spans="1:9" s="19" customFormat="1" x14ac:dyDescent="0.2"/>
    <row r="123" spans="1:9" s="19" customFormat="1" x14ac:dyDescent="0.2"/>
    <row r="124" spans="1:9" s="19" customFormat="1" x14ac:dyDescent="0.2"/>
    <row r="125" spans="1:9" s="19" customFormat="1" x14ac:dyDescent="0.2"/>
    <row r="126" spans="1:9" s="19" customFormat="1" x14ac:dyDescent="0.2"/>
    <row r="127" spans="1:9" s="19" customFormat="1" x14ac:dyDescent="0.2"/>
    <row r="128" spans="1:9" s="19" customFormat="1" x14ac:dyDescent="0.2"/>
    <row r="129" s="19" customFormat="1" x14ac:dyDescent="0.2"/>
    <row r="130" s="19" customFormat="1" x14ac:dyDescent="0.2"/>
    <row r="131" s="19" customFormat="1" x14ac:dyDescent="0.2"/>
    <row r="132" s="19" customFormat="1" x14ac:dyDescent="0.2"/>
    <row r="133" s="19" customFormat="1" x14ac:dyDescent="0.2"/>
    <row r="134" s="19" customFormat="1" x14ac:dyDescent="0.2"/>
    <row r="135" s="19" customFormat="1" x14ac:dyDescent="0.2"/>
    <row r="136" s="19" customFormat="1" x14ac:dyDescent="0.2"/>
    <row r="137" s="19" customFormat="1" x14ac:dyDescent="0.2"/>
    <row r="138" s="19" customFormat="1" x14ac:dyDescent="0.2"/>
    <row r="139" s="19" customFormat="1" x14ac:dyDescent="0.2"/>
    <row r="140" s="19" customFormat="1" x14ac:dyDescent="0.2"/>
    <row r="141" s="19" customFormat="1" x14ac:dyDescent="0.2"/>
    <row r="142" s="19" customFormat="1" x14ac:dyDescent="0.2"/>
    <row r="143" s="19" customFormat="1" x14ac:dyDescent="0.2"/>
    <row r="144" s="19" customFormat="1" x14ac:dyDescent="0.2"/>
    <row r="145" s="19" customFormat="1" x14ac:dyDescent="0.2"/>
    <row r="146" s="19" customFormat="1" x14ac:dyDescent="0.2"/>
    <row r="147" s="19" customFormat="1" x14ac:dyDescent="0.2"/>
    <row r="148" s="19" customFormat="1" x14ac:dyDescent="0.2"/>
    <row r="149" s="19" customFormat="1" x14ac:dyDescent="0.2"/>
    <row r="150" s="19" customFormat="1" x14ac:dyDescent="0.2"/>
    <row r="151" s="19" customFormat="1" x14ac:dyDescent="0.2"/>
    <row r="152" s="19" customFormat="1" x14ac:dyDescent="0.2"/>
    <row r="153" s="19" customFormat="1" x14ac:dyDescent="0.2"/>
    <row r="154" s="19" customFormat="1" x14ac:dyDescent="0.2"/>
    <row r="155" s="19" customFormat="1" x14ac:dyDescent="0.2"/>
    <row r="156" s="19" customFormat="1" x14ac:dyDescent="0.2"/>
    <row r="157" s="19" customFormat="1" x14ac:dyDescent="0.2"/>
    <row r="158" s="19" customFormat="1" x14ac:dyDescent="0.2"/>
    <row r="159" s="19" customFormat="1" x14ac:dyDescent="0.2"/>
    <row r="160" s="19" customFormat="1" x14ac:dyDescent="0.2"/>
    <row r="161" s="19" customFormat="1" x14ac:dyDescent="0.2"/>
    <row r="162" s="19" customFormat="1" x14ac:dyDescent="0.2"/>
    <row r="163" s="19" customFormat="1" x14ac:dyDescent="0.2"/>
    <row r="164" s="19" customFormat="1" x14ac:dyDescent="0.2"/>
    <row r="165" s="19" customFormat="1" x14ac:dyDescent="0.2"/>
    <row r="166" s="19" customFormat="1" x14ac:dyDescent="0.2"/>
    <row r="167" s="19" customFormat="1" x14ac:dyDescent="0.2"/>
    <row r="168" s="19" customFormat="1" x14ac:dyDescent="0.2"/>
    <row r="169" s="19" customFormat="1" x14ac:dyDescent="0.2"/>
    <row r="170" s="19" customFormat="1" x14ac:dyDescent="0.2"/>
    <row r="171" s="19" customFormat="1" x14ac:dyDescent="0.2"/>
    <row r="172" s="19" customFormat="1" x14ac:dyDescent="0.2"/>
    <row r="173" s="19" customFormat="1" x14ac:dyDescent="0.2"/>
    <row r="174" s="19" customFormat="1" x14ac:dyDescent="0.2"/>
    <row r="175" s="19" customFormat="1" x14ac:dyDescent="0.2"/>
    <row r="176" s="19" customFormat="1" x14ac:dyDescent="0.2"/>
    <row r="177" s="19" customFormat="1" x14ac:dyDescent="0.2"/>
    <row r="178" s="19" customFormat="1" x14ac:dyDescent="0.2"/>
    <row r="179" s="19" customFormat="1" x14ac:dyDescent="0.2"/>
    <row r="180" s="19" customFormat="1" x14ac:dyDescent="0.2"/>
    <row r="181" s="19" customFormat="1" x14ac:dyDescent="0.2"/>
    <row r="182" s="19" customFormat="1" x14ac:dyDescent="0.2"/>
    <row r="183" s="19" customFormat="1" x14ac:dyDescent="0.2"/>
    <row r="184" s="19" customFormat="1" x14ac:dyDescent="0.2"/>
    <row r="185" s="19" customFormat="1" x14ac:dyDescent="0.2"/>
    <row r="186" s="19" customFormat="1" x14ac:dyDescent="0.2"/>
    <row r="187" s="19" customFormat="1" x14ac:dyDescent="0.2"/>
    <row r="188" s="19" customFormat="1" x14ac:dyDescent="0.2"/>
    <row r="189" s="19" customFormat="1" x14ac:dyDescent="0.2"/>
    <row r="190" s="19" customFormat="1" x14ac:dyDescent="0.2"/>
    <row r="191" s="19" customFormat="1" x14ac:dyDescent="0.2"/>
    <row r="192" s="19" customFormat="1" x14ac:dyDescent="0.2"/>
    <row r="193" s="19" customFormat="1" x14ac:dyDescent="0.2"/>
    <row r="194" s="19" customFormat="1" x14ac:dyDescent="0.2"/>
    <row r="195" s="19" customFormat="1" x14ac:dyDescent="0.2"/>
    <row r="196" s="19" customFormat="1" x14ac:dyDescent="0.2"/>
    <row r="197" s="19" customFormat="1" x14ac:dyDescent="0.2"/>
    <row r="198" s="19" customFormat="1" x14ac:dyDescent="0.2"/>
    <row r="199" s="19" customFormat="1" x14ac:dyDescent="0.2"/>
    <row r="200" s="19" customFormat="1" x14ac:dyDescent="0.2"/>
    <row r="201" s="19" customFormat="1" x14ac:dyDescent="0.2"/>
    <row r="202" s="19" customFormat="1" x14ac:dyDescent="0.2"/>
    <row r="203" s="19" customFormat="1" x14ac:dyDescent="0.2"/>
    <row r="204" s="19" customFormat="1" x14ac:dyDescent="0.2"/>
    <row r="205" s="19" customFormat="1" x14ac:dyDescent="0.2"/>
    <row r="206" s="19" customFormat="1" x14ac:dyDescent="0.2"/>
    <row r="207" s="19" customFormat="1" x14ac:dyDescent="0.2"/>
    <row r="208" s="19" customFormat="1" x14ac:dyDescent="0.2"/>
    <row r="209" s="19" customFormat="1" x14ac:dyDescent="0.2"/>
    <row r="210" s="19" customFormat="1" x14ac:dyDescent="0.2"/>
    <row r="211" s="19" customFormat="1" x14ac:dyDescent="0.2"/>
    <row r="212" s="19" customFormat="1" x14ac:dyDescent="0.2"/>
    <row r="213" s="19" customFormat="1" x14ac:dyDescent="0.2"/>
    <row r="214" s="19" customFormat="1" x14ac:dyDescent="0.2"/>
    <row r="215" s="19" customFormat="1" x14ac:dyDescent="0.2"/>
    <row r="216" s="19" customFormat="1" x14ac:dyDescent="0.2"/>
    <row r="217" s="19" customFormat="1" x14ac:dyDescent="0.2"/>
    <row r="218" s="19" customFormat="1" x14ac:dyDescent="0.2"/>
    <row r="219" s="19" customFormat="1" x14ac:dyDescent="0.2"/>
    <row r="220" s="19" customFormat="1" x14ac:dyDescent="0.2"/>
    <row r="221" s="19" customFormat="1" x14ac:dyDescent="0.2"/>
    <row r="222" s="19" customFormat="1" x14ac:dyDescent="0.2"/>
    <row r="223" s="19" customFormat="1" x14ac:dyDescent="0.2"/>
    <row r="224" s="19" customFormat="1" x14ac:dyDescent="0.2"/>
    <row r="225" s="19" customFormat="1" x14ac:dyDescent="0.2"/>
    <row r="226" s="19" customFormat="1" x14ac:dyDescent="0.2"/>
    <row r="227" s="19" customFormat="1" x14ac:dyDescent="0.2"/>
    <row r="228" s="19" customFormat="1" x14ac:dyDescent="0.2"/>
    <row r="229" s="19" customFormat="1" x14ac:dyDescent="0.2"/>
    <row r="230" s="19" customFormat="1" x14ac:dyDescent="0.2"/>
    <row r="231" s="19" customFormat="1" x14ac:dyDescent="0.2"/>
    <row r="232" s="19" customFormat="1" x14ac:dyDescent="0.2"/>
    <row r="233" s="19" customFormat="1" x14ac:dyDescent="0.2"/>
    <row r="234" s="19" customFormat="1" x14ac:dyDescent="0.2"/>
    <row r="235" s="19" customFormat="1" x14ac:dyDescent="0.2"/>
    <row r="236" s="19" customFormat="1" x14ac:dyDescent="0.2"/>
    <row r="237" s="19" customFormat="1" x14ac:dyDescent="0.2"/>
    <row r="238" s="19" customFormat="1" x14ac:dyDescent="0.2"/>
    <row r="239" s="19" customFormat="1" x14ac:dyDescent="0.2"/>
    <row r="240" s="19" customFormat="1" x14ac:dyDescent="0.2"/>
    <row r="241" s="19" customFormat="1" x14ac:dyDescent="0.2"/>
    <row r="242" s="19" customFormat="1" x14ac:dyDescent="0.2"/>
    <row r="243" s="19" customFormat="1" x14ac:dyDescent="0.2"/>
    <row r="244" s="19" customFormat="1" x14ac:dyDescent="0.2"/>
    <row r="245" s="19" customFormat="1" x14ac:dyDescent="0.2"/>
    <row r="246" s="19" customFormat="1" x14ac:dyDescent="0.2"/>
    <row r="247" s="19" customFormat="1" x14ac:dyDescent="0.2"/>
    <row r="248" s="19" customFormat="1" x14ac:dyDescent="0.2"/>
    <row r="249" s="19" customFormat="1" x14ac:dyDescent="0.2"/>
    <row r="250" s="19" customFormat="1" x14ac:dyDescent="0.2"/>
    <row r="251" s="19" customFormat="1" x14ac:dyDescent="0.2"/>
    <row r="252" s="19" customFormat="1" x14ac:dyDescent="0.2"/>
    <row r="253" s="19" customFormat="1" x14ac:dyDescent="0.2"/>
    <row r="254" s="19" customFormat="1" x14ac:dyDescent="0.2"/>
    <row r="255" s="19" customFormat="1" x14ac:dyDescent="0.2"/>
    <row r="256" s="19" customFormat="1" x14ac:dyDescent="0.2"/>
    <row r="257" s="19" customFormat="1" x14ac:dyDescent="0.2"/>
    <row r="258" s="19" customFormat="1" x14ac:dyDescent="0.2"/>
    <row r="259" s="19" customFormat="1" x14ac:dyDescent="0.2"/>
    <row r="260" s="19" customFormat="1" x14ac:dyDescent="0.2"/>
    <row r="261" s="19" customFormat="1" x14ac:dyDescent="0.2"/>
    <row r="262" s="19" customFormat="1" x14ac:dyDescent="0.2"/>
    <row r="263" s="19" customFormat="1" x14ac:dyDescent="0.2"/>
    <row r="264" s="19" customFormat="1" x14ac:dyDescent="0.2"/>
    <row r="265" s="19" customFormat="1" x14ac:dyDescent="0.2"/>
    <row r="266" s="19" customFormat="1" x14ac:dyDescent="0.2"/>
    <row r="267" s="19" customFormat="1" x14ac:dyDescent="0.2"/>
    <row r="268" s="19" customFormat="1" x14ac:dyDescent="0.2"/>
    <row r="269" s="19" customFormat="1" x14ac:dyDescent="0.2"/>
    <row r="270" s="19" customFormat="1" x14ac:dyDescent="0.2"/>
    <row r="271" s="19" customFormat="1" x14ac:dyDescent="0.2"/>
    <row r="272" s="19" customFormat="1" x14ac:dyDescent="0.2"/>
    <row r="273" s="19" customFormat="1" x14ac:dyDescent="0.2"/>
    <row r="274" s="19" customFormat="1" x14ac:dyDescent="0.2"/>
    <row r="275" s="19" customFormat="1" x14ac:dyDescent="0.2"/>
    <row r="276" s="19" customFormat="1" x14ac:dyDescent="0.2"/>
    <row r="277" s="19" customFormat="1" x14ac:dyDescent="0.2"/>
    <row r="278" s="19" customFormat="1" x14ac:dyDescent="0.2"/>
    <row r="279" s="19" customFormat="1" x14ac:dyDescent="0.2"/>
    <row r="280" s="19" customFormat="1" x14ac:dyDescent="0.2"/>
    <row r="281" s="19" customFormat="1" x14ac:dyDescent="0.2"/>
    <row r="282" s="19" customFormat="1" x14ac:dyDescent="0.2"/>
    <row r="283" s="19" customFormat="1" x14ac:dyDescent="0.2"/>
    <row r="284" s="19" customFormat="1" x14ac:dyDescent="0.2"/>
    <row r="285" s="19" customFormat="1" x14ac:dyDescent="0.2"/>
  </sheetData>
  <phoneticPr fontId="2"/>
  <conditionalFormatting sqref="G2:G116">
    <cfRule type="expression" dxfId="4" priority="2">
      <formula>#REF!&lt;&gt;$G2</formula>
    </cfRule>
  </conditionalFormatting>
  <conditionalFormatting sqref="I2:I116">
    <cfRule type="expression" dxfId="3" priority="1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K39"/>
  <sheetViews>
    <sheetView zoomScaleNormal="100" workbookViewId="0">
      <pane ySplit="2" topLeftCell="A3" activePane="bottomLeft" state="frozen"/>
      <selection activeCell="L269" sqref="L269"/>
      <selection pane="bottomLeft" sqref="A1:XFD1048576"/>
    </sheetView>
  </sheetViews>
  <sheetFormatPr defaultRowHeight="13.2" x14ac:dyDescent="0.2"/>
  <sheetData>
    <row r="1" spans="1:11" x14ac:dyDescent="0.2">
      <c r="A1" s="31" t="s">
        <v>3</v>
      </c>
      <c r="B1" s="31" t="s">
        <v>0</v>
      </c>
      <c r="C1" s="31" t="s">
        <v>1</v>
      </c>
      <c r="D1" s="31" t="s">
        <v>2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</row>
    <row r="2" spans="1:11" ht="13.8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3.8" thickBot="1" x14ac:dyDescent="0.25">
      <c r="A3" s="27" t="s">
        <v>172</v>
      </c>
      <c r="B3" s="27" t="s">
        <v>256</v>
      </c>
      <c r="C3" s="27" t="s">
        <v>11</v>
      </c>
      <c r="D3" s="28" t="s">
        <v>86</v>
      </c>
      <c r="E3" s="28" t="s">
        <v>145</v>
      </c>
      <c r="F3" s="28" t="s">
        <v>145</v>
      </c>
      <c r="G3" s="28" t="s">
        <v>13</v>
      </c>
      <c r="H3" s="28" t="s">
        <v>173</v>
      </c>
      <c r="I3" s="28"/>
      <c r="J3" s="27" t="s">
        <v>177</v>
      </c>
      <c r="K3" s="27" t="s">
        <v>178</v>
      </c>
    </row>
    <row r="4" spans="1:11" ht="13.8" thickBot="1" x14ac:dyDescent="0.25">
      <c r="A4" s="27" t="s">
        <v>224</v>
      </c>
      <c r="B4" s="27" t="s">
        <v>256</v>
      </c>
      <c r="C4" s="27" t="s">
        <v>14</v>
      </c>
      <c r="D4" s="28" t="s">
        <v>83</v>
      </c>
      <c r="E4" s="28" t="s">
        <v>397</v>
      </c>
      <c r="F4" s="28" t="s">
        <v>84</v>
      </c>
      <c r="G4" s="28" t="s">
        <v>13</v>
      </c>
      <c r="H4" s="28" t="s">
        <v>126</v>
      </c>
      <c r="I4" s="28" t="s">
        <v>398</v>
      </c>
      <c r="J4" s="27" t="s">
        <v>200</v>
      </c>
      <c r="K4" s="27" t="s">
        <v>221</v>
      </c>
    </row>
    <row r="5" spans="1:11" ht="13.8" thickBot="1" x14ac:dyDescent="0.25">
      <c r="A5" s="27" t="s">
        <v>343</v>
      </c>
      <c r="B5" s="27" t="s">
        <v>256</v>
      </c>
      <c r="C5" s="27" t="s">
        <v>15</v>
      </c>
      <c r="D5" s="28" t="s">
        <v>190</v>
      </c>
      <c r="E5" s="28" t="s">
        <v>12</v>
      </c>
      <c r="F5" s="28" t="s">
        <v>191</v>
      </c>
      <c r="G5" s="28" t="s">
        <v>13</v>
      </c>
      <c r="H5" s="28" t="s">
        <v>192</v>
      </c>
      <c r="I5" s="28" t="s">
        <v>420</v>
      </c>
      <c r="J5" s="27" t="s">
        <v>213</v>
      </c>
      <c r="K5" s="27" t="s">
        <v>257</v>
      </c>
    </row>
    <row r="6" spans="1:11" ht="13.8" thickBot="1" x14ac:dyDescent="0.25">
      <c r="A6" s="27" t="s">
        <v>344</v>
      </c>
      <c r="B6" s="27" t="s">
        <v>256</v>
      </c>
      <c r="C6" s="27" t="s">
        <v>16</v>
      </c>
      <c r="D6" s="28" t="s">
        <v>83</v>
      </c>
      <c r="E6" s="28" t="s">
        <v>320</v>
      </c>
      <c r="F6" s="28" t="s">
        <v>84</v>
      </c>
      <c r="G6" s="28" t="s">
        <v>13</v>
      </c>
      <c r="H6" s="28" t="s">
        <v>126</v>
      </c>
      <c r="I6" s="28" t="s">
        <v>345</v>
      </c>
      <c r="J6" s="27" t="s">
        <v>221</v>
      </c>
      <c r="K6" s="27" t="s">
        <v>296</v>
      </c>
    </row>
    <row r="7" spans="1:11" ht="13.8" thickBot="1" x14ac:dyDescent="0.25">
      <c r="A7" s="27" t="s">
        <v>346</v>
      </c>
      <c r="B7" s="27" t="s">
        <v>256</v>
      </c>
      <c r="C7" s="27" t="s">
        <v>17</v>
      </c>
      <c r="D7" s="28" t="s">
        <v>150</v>
      </c>
      <c r="E7" s="28" t="s">
        <v>311</v>
      </c>
      <c r="F7" s="28" t="s">
        <v>151</v>
      </c>
      <c r="G7" s="28" t="s">
        <v>13</v>
      </c>
      <c r="H7" s="28" t="s">
        <v>382</v>
      </c>
      <c r="I7" s="28" t="s">
        <v>312</v>
      </c>
      <c r="J7" s="27" t="s">
        <v>222</v>
      </c>
      <c r="K7" s="27" t="s">
        <v>300</v>
      </c>
    </row>
    <row r="8" spans="1:11" ht="13.8" thickBot="1" x14ac:dyDescent="0.25">
      <c r="A8" s="27" t="s">
        <v>347</v>
      </c>
      <c r="B8" s="27" t="s">
        <v>256</v>
      </c>
      <c r="C8" s="27" t="s">
        <v>18</v>
      </c>
      <c r="D8" s="28" t="s">
        <v>83</v>
      </c>
      <c r="E8" s="28" t="s">
        <v>320</v>
      </c>
      <c r="F8" s="28" t="s">
        <v>84</v>
      </c>
      <c r="G8" s="28" t="s">
        <v>13</v>
      </c>
      <c r="H8" s="28" t="s">
        <v>126</v>
      </c>
      <c r="I8" s="28" t="s">
        <v>348</v>
      </c>
      <c r="J8" s="27" t="s">
        <v>272</v>
      </c>
      <c r="K8" s="27" t="s">
        <v>330</v>
      </c>
    </row>
    <row r="9" spans="1:11" ht="13.8" thickBot="1" x14ac:dyDescent="0.25">
      <c r="A9" s="27" t="s">
        <v>448</v>
      </c>
      <c r="B9" s="27" t="s">
        <v>396</v>
      </c>
      <c r="C9" s="27" t="s">
        <v>11</v>
      </c>
      <c r="D9" s="28" t="s">
        <v>449</v>
      </c>
      <c r="E9" s="28" t="s">
        <v>146</v>
      </c>
      <c r="F9" s="28" t="s">
        <v>1104</v>
      </c>
      <c r="G9" s="28" t="s">
        <v>13</v>
      </c>
      <c r="H9" s="28" t="s">
        <v>450</v>
      </c>
      <c r="I9" s="28"/>
      <c r="J9" s="27" t="s">
        <v>217</v>
      </c>
      <c r="K9" s="27" t="s">
        <v>512</v>
      </c>
    </row>
    <row r="10" spans="1:11" ht="13.8" thickBot="1" x14ac:dyDescent="0.25">
      <c r="A10" s="27" t="s">
        <v>457</v>
      </c>
      <c r="B10" s="27" t="s">
        <v>396</v>
      </c>
      <c r="C10" s="27" t="s">
        <v>14</v>
      </c>
      <c r="D10" s="28" t="s">
        <v>83</v>
      </c>
      <c r="E10" s="28" t="s">
        <v>1385</v>
      </c>
      <c r="F10" s="28" t="s">
        <v>84</v>
      </c>
      <c r="G10" s="28" t="s">
        <v>13</v>
      </c>
      <c r="H10" s="28" t="s">
        <v>458</v>
      </c>
      <c r="I10" s="28" t="s">
        <v>1386</v>
      </c>
      <c r="J10" s="27" t="s">
        <v>260</v>
      </c>
      <c r="K10" s="27" t="s">
        <v>294</v>
      </c>
    </row>
    <row r="11" spans="1:11" ht="13.8" thickBot="1" x14ac:dyDescent="0.25">
      <c r="A11" s="27" t="s">
        <v>633</v>
      </c>
      <c r="B11" s="27" t="s">
        <v>396</v>
      </c>
      <c r="C11" s="27" t="s">
        <v>15</v>
      </c>
      <c r="D11" s="28" t="s">
        <v>127</v>
      </c>
      <c r="E11" s="28" t="s">
        <v>194</v>
      </c>
      <c r="F11" s="28" t="s">
        <v>85</v>
      </c>
      <c r="G11" s="28" t="s">
        <v>13</v>
      </c>
      <c r="H11" s="28" t="s">
        <v>128</v>
      </c>
      <c r="I11" s="28" t="s">
        <v>852</v>
      </c>
      <c r="J11" s="27" t="s">
        <v>257</v>
      </c>
      <c r="K11" s="27" t="s">
        <v>330</v>
      </c>
    </row>
    <row r="12" spans="1:11" ht="13.8" thickBot="1" x14ac:dyDescent="0.25">
      <c r="A12" s="27" t="s">
        <v>452</v>
      </c>
      <c r="B12" s="27" t="s">
        <v>396</v>
      </c>
      <c r="C12" s="27" t="s">
        <v>16</v>
      </c>
      <c r="D12" s="28" t="s">
        <v>83</v>
      </c>
      <c r="E12" s="28" t="s">
        <v>146</v>
      </c>
      <c r="F12" s="28" t="s">
        <v>84</v>
      </c>
      <c r="G12" s="28" t="s">
        <v>13</v>
      </c>
      <c r="H12" s="28" t="s">
        <v>126</v>
      </c>
      <c r="I12" s="28"/>
      <c r="J12" s="27" t="s">
        <v>284</v>
      </c>
      <c r="K12" s="27" t="s">
        <v>408</v>
      </c>
    </row>
    <row r="13" spans="1:11" ht="13.8" thickBot="1" x14ac:dyDescent="0.25">
      <c r="A13" s="27" t="s">
        <v>459</v>
      </c>
      <c r="B13" s="27" t="s">
        <v>396</v>
      </c>
      <c r="C13" s="27" t="s">
        <v>17</v>
      </c>
      <c r="D13" s="28" t="s">
        <v>83</v>
      </c>
      <c r="E13" s="28" t="s">
        <v>404</v>
      </c>
      <c r="F13" s="28" t="s">
        <v>84</v>
      </c>
      <c r="G13" s="28" t="s">
        <v>13</v>
      </c>
      <c r="H13" s="28" t="s">
        <v>460</v>
      </c>
      <c r="I13" s="28" t="s">
        <v>405</v>
      </c>
      <c r="J13" s="27" t="s">
        <v>281</v>
      </c>
      <c r="K13" s="27" t="s">
        <v>402</v>
      </c>
    </row>
    <row r="14" spans="1:11" ht="13.8" thickBot="1" x14ac:dyDescent="0.25">
      <c r="A14" s="27" t="s">
        <v>453</v>
      </c>
      <c r="B14" s="27" t="s">
        <v>396</v>
      </c>
      <c r="C14" s="27" t="s">
        <v>18</v>
      </c>
      <c r="D14" s="28" t="s">
        <v>454</v>
      </c>
      <c r="E14" s="28" t="s">
        <v>435</v>
      </c>
      <c r="F14" s="28" t="s">
        <v>455</v>
      </c>
      <c r="G14" s="28" t="s">
        <v>13</v>
      </c>
      <c r="H14" s="28" t="s">
        <v>456</v>
      </c>
      <c r="I14" s="28" t="s">
        <v>438</v>
      </c>
      <c r="J14" s="27" t="s">
        <v>323</v>
      </c>
      <c r="K14" s="27" t="s">
        <v>412</v>
      </c>
    </row>
    <row r="15" spans="1:11" ht="13.8" thickBot="1" x14ac:dyDescent="0.25">
      <c r="A15" s="27" t="s">
        <v>632</v>
      </c>
      <c r="B15" s="27" t="s">
        <v>396</v>
      </c>
      <c r="C15" s="27" t="s">
        <v>19</v>
      </c>
      <c r="D15" s="28" t="s">
        <v>127</v>
      </c>
      <c r="E15" s="28" t="s">
        <v>12</v>
      </c>
      <c r="F15" s="28" t="s">
        <v>85</v>
      </c>
      <c r="G15" s="28" t="s">
        <v>13</v>
      </c>
      <c r="H15" s="28" t="s">
        <v>128</v>
      </c>
      <c r="I15" s="28" t="s">
        <v>851</v>
      </c>
      <c r="J15" s="27" t="s">
        <v>289</v>
      </c>
      <c r="K15" s="27" t="s">
        <v>412</v>
      </c>
    </row>
    <row r="16" spans="1:11" ht="13.8" thickBot="1" x14ac:dyDescent="0.25">
      <c r="A16" s="27" t="s">
        <v>634</v>
      </c>
      <c r="B16" s="27" t="s">
        <v>396</v>
      </c>
      <c r="C16" s="27" t="s">
        <v>20</v>
      </c>
      <c r="D16" s="28" t="s">
        <v>190</v>
      </c>
      <c r="E16" s="28" t="s">
        <v>680</v>
      </c>
      <c r="F16" s="28" t="s">
        <v>191</v>
      </c>
      <c r="G16" s="28" t="s">
        <v>13</v>
      </c>
      <c r="H16" s="28" t="s">
        <v>192</v>
      </c>
      <c r="I16" s="28" t="s">
        <v>681</v>
      </c>
      <c r="J16" s="27" t="s">
        <v>410</v>
      </c>
      <c r="K16" s="27" t="s">
        <v>505</v>
      </c>
    </row>
    <row r="17" spans="1:11" ht="13.8" thickBot="1" x14ac:dyDescent="0.25">
      <c r="A17" s="27" t="s">
        <v>856</v>
      </c>
      <c r="B17" s="27" t="s">
        <v>574</v>
      </c>
      <c r="C17" s="27" t="s">
        <v>11</v>
      </c>
      <c r="D17" s="28" t="s">
        <v>83</v>
      </c>
      <c r="E17" s="28" t="s">
        <v>146</v>
      </c>
      <c r="F17" s="28" t="s">
        <v>84</v>
      </c>
      <c r="G17" s="28" t="s">
        <v>13</v>
      </c>
      <c r="H17" s="28" t="s">
        <v>126</v>
      </c>
      <c r="I17" s="28"/>
      <c r="J17" s="27" t="s">
        <v>298</v>
      </c>
      <c r="K17" s="27" t="s">
        <v>429</v>
      </c>
    </row>
    <row r="18" spans="1:11" ht="13.8" thickBot="1" x14ac:dyDescent="0.25">
      <c r="A18" s="27" t="s">
        <v>853</v>
      </c>
      <c r="B18" s="27" t="s">
        <v>574</v>
      </c>
      <c r="C18" s="27" t="s">
        <v>14</v>
      </c>
      <c r="D18" s="28" t="s">
        <v>83</v>
      </c>
      <c r="E18" s="28" t="s">
        <v>854</v>
      </c>
      <c r="F18" s="28" t="s">
        <v>84</v>
      </c>
      <c r="G18" s="28" t="s">
        <v>13</v>
      </c>
      <c r="H18" s="28" t="s">
        <v>126</v>
      </c>
      <c r="I18" s="28" t="s">
        <v>855</v>
      </c>
      <c r="J18" s="27" t="s">
        <v>399</v>
      </c>
      <c r="K18" s="27" t="s">
        <v>546</v>
      </c>
    </row>
    <row r="19" spans="1:11" ht="13.8" thickBot="1" x14ac:dyDescent="0.25">
      <c r="A19" s="27" t="s">
        <v>635</v>
      </c>
      <c r="B19" s="27" t="s">
        <v>574</v>
      </c>
      <c r="C19" s="27" t="s">
        <v>15</v>
      </c>
      <c r="D19" s="28" t="s">
        <v>83</v>
      </c>
      <c r="E19" s="28" t="s">
        <v>636</v>
      </c>
      <c r="F19" s="28" t="s">
        <v>84</v>
      </c>
      <c r="G19" s="28" t="s">
        <v>13</v>
      </c>
      <c r="H19" s="28" t="s">
        <v>126</v>
      </c>
      <c r="I19" s="28" t="s">
        <v>637</v>
      </c>
      <c r="J19" s="27" t="s">
        <v>411</v>
      </c>
      <c r="K19" s="27" t="s">
        <v>451</v>
      </c>
    </row>
    <row r="20" spans="1:11" ht="13.8" thickBot="1" x14ac:dyDescent="0.25">
      <c r="A20" s="27" t="s">
        <v>859</v>
      </c>
      <c r="B20" s="27" t="s">
        <v>574</v>
      </c>
      <c r="C20" s="27" t="s">
        <v>16</v>
      </c>
      <c r="D20" s="28" t="s">
        <v>127</v>
      </c>
      <c r="E20" s="28" t="s">
        <v>1105</v>
      </c>
      <c r="F20" s="28" t="s">
        <v>85</v>
      </c>
      <c r="G20" s="28" t="s">
        <v>13</v>
      </c>
      <c r="H20" s="28" t="s">
        <v>128</v>
      </c>
      <c r="I20" s="28" t="s">
        <v>1106</v>
      </c>
      <c r="J20" s="27" t="s">
        <v>419</v>
      </c>
      <c r="K20" s="27" t="s">
        <v>510</v>
      </c>
    </row>
    <row r="21" spans="1:11" ht="13.8" thickBot="1" x14ac:dyDescent="0.25">
      <c r="A21" s="27" t="s">
        <v>858</v>
      </c>
      <c r="B21" s="27" t="s">
        <v>574</v>
      </c>
      <c r="C21" s="27" t="s">
        <v>17</v>
      </c>
      <c r="D21" s="28" t="s">
        <v>127</v>
      </c>
      <c r="E21" s="28" t="s">
        <v>12</v>
      </c>
      <c r="F21" s="28" t="s">
        <v>85</v>
      </c>
      <c r="G21" s="28" t="s">
        <v>13</v>
      </c>
      <c r="H21" s="28" t="s">
        <v>128</v>
      </c>
      <c r="I21" s="28" t="s">
        <v>946</v>
      </c>
      <c r="J21" s="27" t="s">
        <v>418</v>
      </c>
      <c r="K21" s="27" t="s">
        <v>577</v>
      </c>
    </row>
    <row r="22" spans="1:11" ht="13.8" thickBot="1" x14ac:dyDescent="0.25">
      <c r="A22" s="27" t="s">
        <v>860</v>
      </c>
      <c r="B22" s="27" t="s">
        <v>574</v>
      </c>
      <c r="C22" s="27" t="s">
        <v>18</v>
      </c>
      <c r="D22" s="28" t="s">
        <v>127</v>
      </c>
      <c r="E22" s="28" t="s">
        <v>12</v>
      </c>
      <c r="F22" s="28" t="s">
        <v>85</v>
      </c>
      <c r="G22" s="28" t="s">
        <v>13</v>
      </c>
      <c r="H22" s="28" t="s">
        <v>128</v>
      </c>
      <c r="I22" s="28" t="s">
        <v>947</v>
      </c>
      <c r="J22" s="27" t="s">
        <v>543</v>
      </c>
      <c r="K22" s="27" t="s">
        <v>980</v>
      </c>
    </row>
    <row r="23" spans="1:11" ht="13.8" thickBot="1" x14ac:dyDescent="0.25">
      <c r="A23" s="27" t="s">
        <v>857</v>
      </c>
      <c r="B23" s="27" t="s">
        <v>574</v>
      </c>
      <c r="C23" s="27" t="s">
        <v>19</v>
      </c>
      <c r="D23" s="28" t="s">
        <v>190</v>
      </c>
      <c r="E23" s="28" t="s">
        <v>12</v>
      </c>
      <c r="F23" s="28" t="s">
        <v>191</v>
      </c>
      <c r="G23" s="28" t="s">
        <v>13</v>
      </c>
      <c r="H23" s="28" t="s">
        <v>192</v>
      </c>
      <c r="I23" s="28" t="s">
        <v>927</v>
      </c>
      <c r="J23" s="27" t="s">
        <v>451</v>
      </c>
      <c r="K23" s="27" t="s">
        <v>587</v>
      </c>
    </row>
    <row r="24" spans="1:11" ht="13.8" thickBot="1" x14ac:dyDescent="0.25">
      <c r="A24" s="27" t="s">
        <v>145</v>
      </c>
      <c r="B24" s="27" t="s">
        <v>574</v>
      </c>
      <c r="C24" s="27" t="s">
        <v>20</v>
      </c>
      <c r="D24" s="28" t="s">
        <v>639</v>
      </c>
      <c r="E24" s="28" t="s">
        <v>145</v>
      </c>
      <c r="F24" s="28" t="s">
        <v>145</v>
      </c>
      <c r="G24" s="28" t="s">
        <v>13</v>
      </c>
      <c r="H24" s="28" t="s">
        <v>640</v>
      </c>
      <c r="I24" s="28"/>
      <c r="J24" s="27" t="s">
        <v>641</v>
      </c>
      <c r="K24" s="27" t="s">
        <v>641</v>
      </c>
    </row>
    <row r="25" spans="1:11" ht="13.8" thickBot="1" x14ac:dyDescent="0.25">
      <c r="A25" s="27" t="s">
        <v>638</v>
      </c>
      <c r="B25" s="27" t="s">
        <v>574</v>
      </c>
      <c r="C25" s="27" t="s">
        <v>21</v>
      </c>
      <c r="D25" s="28" t="s">
        <v>150</v>
      </c>
      <c r="E25" s="28" t="s">
        <v>311</v>
      </c>
      <c r="F25" s="28" t="s">
        <v>151</v>
      </c>
      <c r="G25" s="28" t="s">
        <v>13</v>
      </c>
      <c r="H25" s="28" t="s">
        <v>382</v>
      </c>
      <c r="I25" s="28" t="s">
        <v>608</v>
      </c>
      <c r="J25" s="27" t="s">
        <v>576</v>
      </c>
      <c r="K25" s="27" t="s">
        <v>621</v>
      </c>
    </row>
    <row r="26" spans="1:11" ht="13.8" thickBot="1" x14ac:dyDescent="0.25">
      <c r="A26" s="27" t="s">
        <v>862</v>
      </c>
      <c r="B26" s="27" t="s">
        <v>746</v>
      </c>
      <c r="C26" s="27" t="s">
        <v>11</v>
      </c>
      <c r="D26" s="28" t="s">
        <v>449</v>
      </c>
      <c r="E26" s="28" t="s">
        <v>146</v>
      </c>
      <c r="F26" s="28" t="s">
        <v>1104</v>
      </c>
      <c r="G26" s="28" t="s">
        <v>13</v>
      </c>
      <c r="H26" s="28" t="s">
        <v>450</v>
      </c>
      <c r="I26" s="28"/>
      <c r="J26" s="27" t="s">
        <v>566</v>
      </c>
      <c r="K26" s="27" t="s">
        <v>1032</v>
      </c>
    </row>
    <row r="27" spans="1:11" ht="13.8" thickBot="1" x14ac:dyDescent="0.25">
      <c r="A27" s="27" t="s">
        <v>865</v>
      </c>
      <c r="B27" s="27" t="s">
        <v>746</v>
      </c>
      <c r="C27" s="27" t="s">
        <v>14</v>
      </c>
      <c r="D27" s="28" t="s">
        <v>83</v>
      </c>
      <c r="E27" s="28" t="s">
        <v>866</v>
      </c>
      <c r="F27" s="28" t="s">
        <v>84</v>
      </c>
      <c r="G27" s="28" t="s">
        <v>13</v>
      </c>
      <c r="H27" s="28" t="s">
        <v>126</v>
      </c>
      <c r="I27" s="28" t="s">
        <v>867</v>
      </c>
      <c r="J27" s="27" t="s">
        <v>588</v>
      </c>
      <c r="K27" s="27" t="s">
        <v>754</v>
      </c>
    </row>
    <row r="28" spans="1:11" ht="13.8" thickBot="1" x14ac:dyDescent="0.25">
      <c r="A28" s="27" t="s">
        <v>869</v>
      </c>
      <c r="B28" s="27" t="s">
        <v>746</v>
      </c>
      <c r="C28" s="27" t="s">
        <v>15</v>
      </c>
      <c r="D28" s="28" t="s">
        <v>83</v>
      </c>
      <c r="E28" s="28" t="s">
        <v>1196</v>
      </c>
      <c r="F28" s="28" t="s">
        <v>84</v>
      </c>
      <c r="G28" s="28" t="s">
        <v>13</v>
      </c>
      <c r="H28" s="28" t="s">
        <v>126</v>
      </c>
      <c r="I28" s="28" t="s">
        <v>1197</v>
      </c>
      <c r="J28" s="27" t="s">
        <v>620</v>
      </c>
      <c r="K28" s="27" t="s">
        <v>776</v>
      </c>
    </row>
    <row r="29" spans="1:11" ht="13.8" thickBot="1" x14ac:dyDescent="0.25">
      <c r="A29" s="27" t="s">
        <v>861</v>
      </c>
      <c r="B29" s="27" t="s">
        <v>746</v>
      </c>
      <c r="C29" s="27" t="s">
        <v>16</v>
      </c>
      <c r="D29" s="28" t="s">
        <v>86</v>
      </c>
      <c r="E29" s="28" t="s">
        <v>1151</v>
      </c>
      <c r="F29" s="28" t="s">
        <v>87</v>
      </c>
      <c r="G29" s="28" t="s">
        <v>13</v>
      </c>
      <c r="H29" s="28" t="s">
        <v>129</v>
      </c>
      <c r="I29" s="28" t="s">
        <v>1152</v>
      </c>
      <c r="J29" s="27" t="s">
        <v>621</v>
      </c>
      <c r="K29" s="27" t="s">
        <v>801</v>
      </c>
    </row>
    <row r="30" spans="1:11" ht="13.8" thickBot="1" x14ac:dyDescent="0.25">
      <c r="A30" s="27" t="s">
        <v>870</v>
      </c>
      <c r="B30" s="27" t="s">
        <v>746</v>
      </c>
      <c r="C30" s="27" t="s">
        <v>17</v>
      </c>
      <c r="D30" s="28" t="s">
        <v>83</v>
      </c>
      <c r="E30" s="28" t="s">
        <v>1107</v>
      </c>
      <c r="F30" s="28" t="s">
        <v>84</v>
      </c>
      <c r="G30" s="28" t="s">
        <v>13</v>
      </c>
      <c r="H30" s="28" t="s">
        <v>126</v>
      </c>
      <c r="I30" s="28" t="s">
        <v>1108</v>
      </c>
      <c r="J30" s="27" t="s">
        <v>668</v>
      </c>
      <c r="K30" s="27" t="s">
        <v>805</v>
      </c>
    </row>
    <row r="31" spans="1:11" ht="13.8" thickBot="1" x14ac:dyDescent="0.25">
      <c r="A31" s="27" t="s">
        <v>868</v>
      </c>
      <c r="B31" s="27" t="s">
        <v>746</v>
      </c>
      <c r="C31" s="27" t="s">
        <v>18</v>
      </c>
      <c r="D31" s="28" t="s">
        <v>127</v>
      </c>
      <c r="E31" s="28" t="s">
        <v>194</v>
      </c>
      <c r="F31" s="28" t="s">
        <v>85</v>
      </c>
      <c r="G31" s="28" t="s">
        <v>13</v>
      </c>
      <c r="H31" s="28" t="s">
        <v>128</v>
      </c>
      <c r="I31" s="28" t="s">
        <v>1198</v>
      </c>
      <c r="J31" s="27" t="s">
        <v>668</v>
      </c>
      <c r="K31" s="27" t="s">
        <v>805</v>
      </c>
    </row>
    <row r="32" spans="1:11" ht="13.8" thickBot="1" x14ac:dyDescent="0.25">
      <c r="A32" s="27" t="s">
        <v>864</v>
      </c>
      <c r="B32" s="27" t="s">
        <v>746</v>
      </c>
      <c r="C32" s="27" t="s">
        <v>19</v>
      </c>
      <c r="D32" s="28" t="s">
        <v>190</v>
      </c>
      <c r="E32" s="28" t="s">
        <v>12</v>
      </c>
      <c r="F32" s="28" t="s">
        <v>191</v>
      </c>
      <c r="G32" s="28" t="s">
        <v>13</v>
      </c>
      <c r="H32" s="28" t="s">
        <v>192</v>
      </c>
      <c r="I32" s="28" t="s">
        <v>1012</v>
      </c>
      <c r="J32" s="27" t="s">
        <v>751</v>
      </c>
      <c r="K32" s="27" t="s">
        <v>844</v>
      </c>
    </row>
    <row r="33" spans="1:11" ht="13.8" thickBot="1" x14ac:dyDescent="0.25">
      <c r="A33" s="27" t="s">
        <v>871</v>
      </c>
      <c r="B33" s="27" t="s">
        <v>746</v>
      </c>
      <c r="C33" s="27" t="s">
        <v>20</v>
      </c>
      <c r="D33" s="28" t="s">
        <v>127</v>
      </c>
      <c r="E33" s="28" t="s">
        <v>140</v>
      </c>
      <c r="F33" s="28" t="s">
        <v>85</v>
      </c>
      <c r="G33" s="28" t="s">
        <v>13</v>
      </c>
      <c r="H33" s="28" t="s">
        <v>128</v>
      </c>
      <c r="I33" s="28" t="s">
        <v>1199</v>
      </c>
      <c r="J33" s="27" t="s">
        <v>756</v>
      </c>
      <c r="K33" s="27" t="s">
        <v>1050</v>
      </c>
    </row>
    <row r="34" spans="1:11" ht="13.8" thickBot="1" x14ac:dyDescent="0.25">
      <c r="A34" s="27" t="s">
        <v>1200</v>
      </c>
      <c r="B34" s="27" t="s">
        <v>1036</v>
      </c>
      <c r="C34" s="27" t="s">
        <v>11</v>
      </c>
      <c r="D34" s="28" t="s">
        <v>86</v>
      </c>
      <c r="E34" s="28" t="s">
        <v>1236</v>
      </c>
      <c r="F34" s="28" t="s">
        <v>87</v>
      </c>
      <c r="G34" s="28" t="s">
        <v>13</v>
      </c>
      <c r="H34" s="28" t="s">
        <v>129</v>
      </c>
      <c r="I34" s="28" t="s">
        <v>1237</v>
      </c>
      <c r="J34" s="27" t="s">
        <v>749</v>
      </c>
      <c r="K34" s="27" t="s">
        <v>863</v>
      </c>
    </row>
    <row r="35" spans="1:11" ht="13.8" thickBot="1" x14ac:dyDescent="0.25">
      <c r="A35" s="27" t="s">
        <v>1109</v>
      </c>
      <c r="B35" s="27" t="s">
        <v>1036</v>
      </c>
      <c r="C35" s="27" t="s">
        <v>14</v>
      </c>
      <c r="D35" s="28" t="s">
        <v>190</v>
      </c>
      <c r="E35" s="28" t="s">
        <v>1238</v>
      </c>
      <c r="F35" s="28" t="s">
        <v>191</v>
      </c>
      <c r="G35" s="28" t="s">
        <v>13</v>
      </c>
      <c r="H35" s="28" t="s">
        <v>192</v>
      </c>
      <c r="I35" s="28" t="s">
        <v>1239</v>
      </c>
      <c r="J35" s="27" t="s">
        <v>846</v>
      </c>
      <c r="K35" s="27" t="s">
        <v>1054</v>
      </c>
    </row>
    <row r="36" spans="1:11" ht="13.8" thickBot="1" x14ac:dyDescent="0.25">
      <c r="A36" s="27" t="s">
        <v>1110</v>
      </c>
      <c r="B36" s="27" t="s">
        <v>1036</v>
      </c>
      <c r="C36" s="27" t="s">
        <v>15</v>
      </c>
      <c r="D36" s="28" t="s">
        <v>190</v>
      </c>
      <c r="E36" s="28" t="s">
        <v>1242</v>
      </c>
      <c r="F36" s="28" t="s">
        <v>191</v>
      </c>
      <c r="G36" s="28" t="s">
        <v>13</v>
      </c>
      <c r="H36" s="28" t="s">
        <v>192</v>
      </c>
      <c r="I36" s="28" t="s">
        <v>1243</v>
      </c>
      <c r="J36" s="27" t="s">
        <v>1044</v>
      </c>
      <c r="K36" s="27" t="s">
        <v>1071</v>
      </c>
    </row>
    <row r="37" spans="1:11" ht="13.8" thickBot="1" x14ac:dyDescent="0.25">
      <c r="A37" s="27" t="s">
        <v>1387</v>
      </c>
      <c r="B37" s="27" t="s">
        <v>1267</v>
      </c>
      <c r="C37" s="27" t="s">
        <v>11</v>
      </c>
      <c r="D37" s="28" t="s">
        <v>86</v>
      </c>
      <c r="E37" s="28" t="s">
        <v>145</v>
      </c>
      <c r="F37" s="28" t="s">
        <v>87</v>
      </c>
      <c r="G37" s="28" t="s">
        <v>13</v>
      </c>
      <c r="H37" s="28" t="s">
        <v>129</v>
      </c>
      <c r="I37" s="28"/>
      <c r="J37" s="27" t="s">
        <v>1045</v>
      </c>
      <c r="K37" s="27" t="s">
        <v>1268</v>
      </c>
    </row>
    <row r="38" spans="1:11" ht="13.8" thickBot="1" x14ac:dyDescent="0.25">
      <c r="A38" s="27" t="s">
        <v>1388</v>
      </c>
      <c r="B38" s="27" t="s">
        <v>1267</v>
      </c>
      <c r="C38" s="27" t="s">
        <v>14</v>
      </c>
      <c r="D38" s="28" t="s">
        <v>86</v>
      </c>
      <c r="E38" s="28" t="s">
        <v>1270</v>
      </c>
      <c r="F38" s="28" t="s">
        <v>87</v>
      </c>
      <c r="G38" s="28" t="s">
        <v>13</v>
      </c>
      <c r="H38" s="28" t="s">
        <v>129</v>
      </c>
      <c r="I38" s="28" t="s">
        <v>1271</v>
      </c>
      <c r="J38" s="27" t="s">
        <v>1063</v>
      </c>
      <c r="K38" s="27" t="s">
        <v>1315</v>
      </c>
    </row>
    <row r="39" spans="1:11" ht="13.8" thickBot="1" x14ac:dyDescent="0.25">
      <c r="A39" s="27" t="s">
        <v>1389</v>
      </c>
      <c r="B39" s="27" t="s">
        <v>1267</v>
      </c>
      <c r="C39" s="27" t="s">
        <v>15</v>
      </c>
      <c r="D39" s="28" t="s">
        <v>190</v>
      </c>
      <c r="E39" s="28" t="s">
        <v>181</v>
      </c>
      <c r="F39" s="28" t="s">
        <v>191</v>
      </c>
      <c r="G39" s="28" t="s">
        <v>13</v>
      </c>
      <c r="H39" s="28" t="s">
        <v>192</v>
      </c>
      <c r="I39" s="28"/>
      <c r="J39" s="27" t="s">
        <v>1285</v>
      </c>
      <c r="K39" s="27" t="s">
        <v>1375</v>
      </c>
    </row>
  </sheetData>
  <mergeCells count="11">
    <mergeCell ref="I1:I2"/>
    <mergeCell ref="J1:J2"/>
    <mergeCell ref="K1:K2"/>
    <mergeCell ref="A1:A2"/>
    <mergeCell ref="E1:E2"/>
    <mergeCell ref="F1:F2"/>
    <mergeCell ref="G1:G2"/>
    <mergeCell ref="H1:H2"/>
    <mergeCell ref="C1:C2"/>
    <mergeCell ref="D1:D2"/>
    <mergeCell ref="B1:B2"/>
  </mergeCells>
  <phoneticPr fontId="2"/>
  <pageMargins left="0.75" right="0.75" top="1" bottom="1" header="0.51200000000000001" footer="0.51200000000000001"/>
  <pageSetup paperSize="9" scale="81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K38"/>
  <sheetViews>
    <sheetView zoomScaleNormal="100" workbookViewId="0">
      <pane ySplit="2" topLeftCell="A3" activePane="bottomLeft" state="frozen"/>
      <selection activeCell="L269" sqref="L269"/>
      <selection pane="bottomLeft" activeCell="K26" sqref="J25:K26"/>
    </sheetView>
  </sheetViews>
  <sheetFormatPr defaultRowHeight="13.2" x14ac:dyDescent="0.2"/>
  <cols>
    <col min="1" max="16384" width="8.88671875" style="33"/>
  </cols>
  <sheetData>
    <row r="1" spans="1:11" x14ac:dyDescent="0.2">
      <c r="A1" s="29" t="s">
        <v>3</v>
      </c>
      <c r="B1" s="29" t="s">
        <v>0</v>
      </c>
      <c r="C1" s="29" t="s">
        <v>1</v>
      </c>
      <c r="D1" s="29" t="s">
        <v>2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</row>
    <row r="2" spans="1:11" ht="13.8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3.8" thickBot="1" x14ac:dyDescent="0.25">
      <c r="A3" s="23" t="s">
        <v>224</v>
      </c>
      <c r="B3" s="23" t="s">
        <v>396</v>
      </c>
      <c r="C3" s="23" t="s">
        <v>11</v>
      </c>
      <c r="D3" s="24" t="s">
        <v>83</v>
      </c>
      <c r="E3" s="24" t="s">
        <v>397</v>
      </c>
      <c r="F3" s="24" t="s">
        <v>84</v>
      </c>
      <c r="G3" s="24" t="s">
        <v>13</v>
      </c>
      <c r="H3" s="24" t="s">
        <v>126</v>
      </c>
      <c r="I3" s="24" t="s">
        <v>398</v>
      </c>
      <c r="J3" s="23" t="s">
        <v>200</v>
      </c>
      <c r="K3" s="23" t="s">
        <v>221</v>
      </c>
    </row>
    <row r="4" spans="1:11" ht="13.8" thickBot="1" x14ac:dyDescent="0.25">
      <c r="A4" s="23" t="s">
        <v>448</v>
      </c>
      <c r="B4" s="23" t="s">
        <v>396</v>
      </c>
      <c r="C4" s="23" t="s">
        <v>14</v>
      </c>
      <c r="D4" s="24" t="s">
        <v>449</v>
      </c>
      <c r="E4" s="24" t="s">
        <v>146</v>
      </c>
      <c r="F4" s="24" t="s">
        <v>1104</v>
      </c>
      <c r="G4" s="24" t="s">
        <v>13</v>
      </c>
      <c r="H4" s="24" t="s">
        <v>450</v>
      </c>
      <c r="I4" s="24"/>
      <c r="J4" s="23" t="s">
        <v>217</v>
      </c>
      <c r="K4" s="23" t="s">
        <v>512</v>
      </c>
    </row>
    <row r="5" spans="1:11" ht="13.8" thickBot="1" x14ac:dyDescent="0.25">
      <c r="A5" s="23" t="s">
        <v>457</v>
      </c>
      <c r="B5" s="23" t="s">
        <v>396</v>
      </c>
      <c r="C5" s="23" t="s">
        <v>15</v>
      </c>
      <c r="D5" s="24" t="s">
        <v>83</v>
      </c>
      <c r="E5" s="24" t="s">
        <v>404</v>
      </c>
      <c r="F5" s="24" t="s">
        <v>84</v>
      </c>
      <c r="G5" s="24" t="s">
        <v>13</v>
      </c>
      <c r="H5" s="24" t="s">
        <v>126</v>
      </c>
      <c r="I5" s="24" t="s">
        <v>405</v>
      </c>
      <c r="J5" s="23" t="s">
        <v>260</v>
      </c>
      <c r="K5" s="23" t="s">
        <v>294</v>
      </c>
    </row>
    <row r="6" spans="1:11" ht="13.8" thickBot="1" x14ac:dyDescent="0.25">
      <c r="A6" s="23" t="s">
        <v>633</v>
      </c>
      <c r="B6" s="23" t="s">
        <v>396</v>
      </c>
      <c r="C6" s="23" t="s">
        <v>16</v>
      </c>
      <c r="D6" s="24" t="s">
        <v>127</v>
      </c>
      <c r="E6" s="24" t="s">
        <v>194</v>
      </c>
      <c r="F6" s="24" t="s">
        <v>85</v>
      </c>
      <c r="G6" s="24" t="s">
        <v>13</v>
      </c>
      <c r="H6" s="24" t="s">
        <v>128</v>
      </c>
      <c r="I6" s="24" t="s">
        <v>852</v>
      </c>
      <c r="J6" s="23" t="s">
        <v>257</v>
      </c>
      <c r="K6" s="23" t="s">
        <v>330</v>
      </c>
    </row>
    <row r="7" spans="1:11" ht="13.8" thickBot="1" x14ac:dyDescent="0.25">
      <c r="A7" s="23" t="s">
        <v>452</v>
      </c>
      <c r="B7" s="23" t="s">
        <v>396</v>
      </c>
      <c r="C7" s="23" t="s">
        <v>17</v>
      </c>
      <c r="D7" s="24" t="s">
        <v>83</v>
      </c>
      <c r="E7" s="24" t="s">
        <v>146</v>
      </c>
      <c r="F7" s="24" t="s">
        <v>84</v>
      </c>
      <c r="G7" s="24" t="s">
        <v>13</v>
      </c>
      <c r="H7" s="24" t="s">
        <v>126</v>
      </c>
      <c r="I7" s="24"/>
      <c r="J7" s="23" t="s">
        <v>284</v>
      </c>
      <c r="K7" s="23" t="s">
        <v>408</v>
      </c>
    </row>
    <row r="8" spans="1:11" ht="13.8" thickBot="1" x14ac:dyDescent="0.25">
      <c r="A8" s="23" t="s">
        <v>459</v>
      </c>
      <c r="B8" s="23" t="s">
        <v>396</v>
      </c>
      <c r="C8" s="23" t="s">
        <v>18</v>
      </c>
      <c r="D8" s="24" t="s">
        <v>83</v>
      </c>
      <c r="E8" s="24" t="s">
        <v>1572</v>
      </c>
      <c r="F8" s="24" t="s">
        <v>84</v>
      </c>
      <c r="G8" s="24" t="s">
        <v>13</v>
      </c>
      <c r="H8" s="24" t="s">
        <v>460</v>
      </c>
      <c r="I8" s="24" t="s">
        <v>1573</v>
      </c>
      <c r="J8" s="23" t="s">
        <v>281</v>
      </c>
      <c r="K8" s="23" t="s">
        <v>402</v>
      </c>
    </row>
    <row r="9" spans="1:11" ht="13.8" thickBot="1" x14ac:dyDescent="0.25">
      <c r="A9" s="23" t="s">
        <v>453</v>
      </c>
      <c r="B9" s="23" t="s">
        <v>396</v>
      </c>
      <c r="C9" s="23" t="s">
        <v>19</v>
      </c>
      <c r="D9" s="24" t="s">
        <v>454</v>
      </c>
      <c r="E9" s="24" t="s">
        <v>435</v>
      </c>
      <c r="F9" s="24" t="s">
        <v>455</v>
      </c>
      <c r="G9" s="24" t="s">
        <v>13</v>
      </c>
      <c r="H9" s="24" t="s">
        <v>456</v>
      </c>
      <c r="I9" s="24" t="s">
        <v>438</v>
      </c>
      <c r="J9" s="23" t="s">
        <v>323</v>
      </c>
      <c r="K9" s="23" t="s">
        <v>412</v>
      </c>
    </row>
    <row r="10" spans="1:11" ht="13.8" thickBot="1" x14ac:dyDescent="0.25">
      <c r="A10" s="23" t="s">
        <v>632</v>
      </c>
      <c r="B10" s="23" t="s">
        <v>396</v>
      </c>
      <c r="C10" s="23" t="s">
        <v>20</v>
      </c>
      <c r="D10" s="24" t="s">
        <v>127</v>
      </c>
      <c r="E10" s="24" t="s">
        <v>12</v>
      </c>
      <c r="F10" s="24" t="s">
        <v>85</v>
      </c>
      <c r="G10" s="24" t="s">
        <v>13</v>
      </c>
      <c r="H10" s="24" t="s">
        <v>128</v>
      </c>
      <c r="I10" s="24" t="s">
        <v>851</v>
      </c>
      <c r="J10" s="23" t="s">
        <v>289</v>
      </c>
      <c r="K10" s="23" t="s">
        <v>412</v>
      </c>
    </row>
    <row r="11" spans="1:11" ht="13.8" thickBot="1" x14ac:dyDescent="0.25">
      <c r="A11" s="23" t="s">
        <v>172</v>
      </c>
      <c r="B11" s="23" t="s">
        <v>396</v>
      </c>
      <c r="C11" s="23" t="s">
        <v>21</v>
      </c>
      <c r="D11" s="24" t="s">
        <v>86</v>
      </c>
      <c r="E11" s="24" t="s">
        <v>145</v>
      </c>
      <c r="F11" s="24" t="s">
        <v>145</v>
      </c>
      <c r="G11" s="24" t="s">
        <v>13</v>
      </c>
      <c r="H11" s="24" t="s">
        <v>173</v>
      </c>
      <c r="I11" s="24"/>
      <c r="J11" s="23" t="s">
        <v>410</v>
      </c>
      <c r="K11" s="23" t="s">
        <v>505</v>
      </c>
    </row>
    <row r="12" spans="1:11" ht="13.8" thickBot="1" x14ac:dyDescent="0.25">
      <c r="A12" s="23" t="s">
        <v>634</v>
      </c>
      <c r="B12" s="23" t="s">
        <v>396</v>
      </c>
      <c r="C12" s="23" t="s">
        <v>22</v>
      </c>
      <c r="D12" s="24" t="s">
        <v>190</v>
      </c>
      <c r="E12" s="24" t="s">
        <v>680</v>
      </c>
      <c r="F12" s="24" t="s">
        <v>191</v>
      </c>
      <c r="G12" s="24" t="s">
        <v>13</v>
      </c>
      <c r="H12" s="24" t="s">
        <v>192</v>
      </c>
      <c r="I12" s="24" t="s">
        <v>681</v>
      </c>
      <c r="J12" s="23" t="s">
        <v>410</v>
      </c>
      <c r="K12" s="23" t="s">
        <v>505</v>
      </c>
    </row>
    <row r="13" spans="1:11" ht="13.8" thickBot="1" x14ac:dyDescent="0.25">
      <c r="A13" s="23" t="s">
        <v>856</v>
      </c>
      <c r="B13" s="23" t="s">
        <v>574</v>
      </c>
      <c r="C13" s="23" t="s">
        <v>11</v>
      </c>
      <c r="D13" s="24" t="s">
        <v>83</v>
      </c>
      <c r="E13" s="24" t="s">
        <v>1574</v>
      </c>
      <c r="F13" s="24" t="s">
        <v>84</v>
      </c>
      <c r="G13" s="24" t="s">
        <v>13</v>
      </c>
      <c r="H13" s="24" t="s">
        <v>126</v>
      </c>
      <c r="I13" s="24" t="s">
        <v>1575</v>
      </c>
      <c r="J13" s="23" t="s">
        <v>298</v>
      </c>
      <c r="K13" s="23" t="s">
        <v>429</v>
      </c>
    </row>
    <row r="14" spans="1:11" ht="13.8" thickBot="1" x14ac:dyDescent="0.25">
      <c r="A14" s="23" t="s">
        <v>853</v>
      </c>
      <c r="B14" s="23" t="s">
        <v>574</v>
      </c>
      <c r="C14" s="23" t="s">
        <v>14</v>
      </c>
      <c r="D14" s="24" t="s">
        <v>83</v>
      </c>
      <c r="E14" s="24" t="s">
        <v>854</v>
      </c>
      <c r="F14" s="24" t="s">
        <v>84</v>
      </c>
      <c r="G14" s="24" t="s">
        <v>13</v>
      </c>
      <c r="H14" s="24" t="s">
        <v>126</v>
      </c>
      <c r="I14" s="24" t="s">
        <v>855</v>
      </c>
      <c r="J14" s="23" t="s">
        <v>399</v>
      </c>
      <c r="K14" s="23" t="s">
        <v>546</v>
      </c>
    </row>
    <row r="15" spans="1:11" ht="13.8" thickBot="1" x14ac:dyDescent="0.25">
      <c r="A15" s="23" t="s">
        <v>635</v>
      </c>
      <c r="B15" s="23" t="s">
        <v>574</v>
      </c>
      <c r="C15" s="23" t="s">
        <v>15</v>
      </c>
      <c r="D15" s="24" t="s">
        <v>83</v>
      </c>
      <c r="E15" s="24" t="s">
        <v>636</v>
      </c>
      <c r="F15" s="24" t="s">
        <v>84</v>
      </c>
      <c r="G15" s="24" t="s">
        <v>13</v>
      </c>
      <c r="H15" s="24" t="s">
        <v>126</v>
      </c>
      <c r="I15" s="24" t="s">
        <v>637</v>
      </c>
      <c r="J15" s="23" t="s">
        <v>411</v>
      </c>
      <c r="K15" s="23" t="s">
        <v>451</v>
      </c>
    </row>
    <row r="16" spans="1:11" ht="13.8" thickBot="1" x14ac:dyDescent="0.25">
      <c r="A16" s="23" t="s">
        <v>859</v>
      </c>
      <c r="B16" s="23" t="s">
        <v>574</v>
      </c>
      <c r="C16" s="23" t="s">
        <v>16</v>
      </c>
      <c r="D16" s="24" t="s">
        <v>127</v>
      </c>
      <c r="E16" s="24" t="s">
        <v>1105</v>
      </c>
      <c r="F16" s="24" t="s">
        <v>85</v>
      </c>
      <c r="G16" s="24" t="s">
        <v>13</v>
      </c>
      <c r="H16" s="24" t="s">
        <v>128</v>
      </c>
      <c r="I16" s="24" t="s">
        <v>1106</v>
      </c>
      <c r="J16" s="23" t="s">
        <v>419</v>
      </c>
      <c r="K16" s="23" t="s">
        <v>510</v>
      </c>
    </row>
    <row r="17" spans="1:11" ht="13.8" thickBot="1" x14ac:dyDescent="0.25">
      <c r="A17" s="23" t="s">
        <v>858</v>
      </c>
      <c r="B17" s="23" t="s">
        <v>574</v>
      </c>
      <c r="C17" s="23" t="s">
        <v>17</v>
      </c>
      <c r="D17" s="24" t="s">
        <v>127</v>
      </c>
      <c r="E17" s="24" t="s">
        <v>12</v>
      </c>
      <c r="F17" s="24" t="s">
        <v>85</v>
      </c>
      <c r="G17" s="24" t="s">
        <v>13</v>
      </c>
      <c r="H17" s="24" t="s">
        <v>128</v>
      </c>
      <c r="I17" s="24" t="s">
        <v>946</v>
      </c>
      <c r="J17" s="23" t="s">
        <v>418</v>
      </c>
      <c r="K17" s="23" t="s">
        <v>577</v>
      </c>
    </row>
    <row r="18" spans="1:11" ht="13.8" thickBot="1" x14ac:dyDescent="0.25">
      <c r="A18" s="23" t="s">
        <v>860</v>
      </c>
      <c r="B18" s="23" t="s">
        <v>574</v>
      </c>
      <c r="C18" s="23" t="s">
        <v>18</v>
      </c>
      <c r="D18" s="24" t="s">
        <v>127</v>
      </c>
      <c r="E18" s="24" t="s">
        <v>12</v>
      </c>
      <c r="F18" s="24" t="s">
        <v>85</v>
      </c>
      <c r="G18" s="24" t="s">
        <v>13</v>
      </c>
      <c r="H18" s="24" t="s">
        <v>128</v>
      </c>
      <c r="I18" s="24" t="s">
        <v>947</v>
      </c>
      <c r="J18" s="23" t="s">
        <v>543</v>
      </c>
      <c r="K18" s="23" t="s">
        <v>980</v>
      </c>
    </row>
    <row r="19" spans="1:11" ht="13.8" thickBot="1" x14ac:dyDescent="0.25">
      <c r="A19" s="23" t="s">
        <v>857</v>
      </c>
      <c r="B19" s="23" t="s">
        <v>574</v>
      </c>
      <c r="C19" s="23" t="s">
        <v>19</v>
      </c>
      <c r="D19" s="24" t="s">
        <v>190</v>
      </c>
      <c r="E19" s="24" t="s">
        <v>12</v>
      </c>
      <c r="F19" s="24" t="s">
        <v>191</v>
      </c>
      <c r="G19" s="24" t="s">
        <v>13</v>
      </c>
      <c r="H19" s="24" t="s">
        <v>192</v>
      </c>
      <c r="I19" s="24" t="s">
        <v>927</v>
      </c>
      <c r="J19" s="23" t="s">
        <v>451</v>
      </c>
      <c r="K19" s="23" t="s">
        <v>587</v>
      </c>
    </row>
    <row r="20" spans="1:11" ht="13.8" thickBot="1" x14ac:dyDescent="0.25">
      <c r="A20" s="23" t="s">
        <v>638</v>
      </c>
      <c r="B20" s="23" t="s">
        <v>574</v>
      </c>
      <c r="C20" s="23" t="s">
        <v>20</v>
      </c>
      <c r="D20" s="24" t="s">
        <v>150</v>
      </c>
      <c r="E20" s="24" t="s">
        <v>311</v>
      </c>
      <c r="F20" s="24" t="s">
        <v>151</v>
      </c>
      <c r="G20" s="24" t="s">
        <v>13</v>
      </c>
      <c r="H20" s="24" t="s">
        <v>382</v>
      </c>
      <c r="I20" s="24" t="s">
        <v>608</v>
      </c>
      <c r="J20" s="23" t="s">
        <v>576</v>
      </c>
      <c r="K20" s="23" t="s">
        <v>621</v>
      </c>
    </row>
    <row r="21" spans="1:11" ht="13.8" thickBot="1" x14ac:dyDescent="0.25">
      <c r="A21" s="23" t="s">
        <v>862</v>
      </c>
      <c r="B21" s="23" t="s">
        <v>746</v>
      </c>
      <c r="C21" s="23" t="s">
        <v>11</v>
      </c>
      <c r="D21" s="24" t="s">
        <v>449</v>
      </c>
      <c r="E21" s="24" t="s">
        <v>146</v>
      </c>
      <c r="F21" s="24" t="s">
        <v>1104</v>
      </c>
      <c r="G21" s="24" t="s">
        <v>13</v>
      </c>
      <c r="H21" s="24" t="s">
        <v>450</v>
      </c>
      <c r="I21" s="24"/>
      <c r="J21" s="23" t="s">
        <v>566</v>
      </c>
      <c r="K21" s="23" t="s">
        <v>1032</v>
      </c>
    </row>
    <row r="22" spans="1:11" ht="13.8" thickBot="1" x14ac:dyDescent="0.25">
      <c r="A22" s="23" t="s">
        <v>865</v>
      </c>
      <c r="B22" s="23" t="s">
        <v>746</v>
      </c>
      <c r="C22" s="23" t="s">
        <v>14</v>
      </c>
      <c r="D22" s="24" t="s">
        <v>83</v>
      </c>
      <c r="E22" s="24" t="s">
        <v>866</v>
      </c>
      <c r="F22" s="24" t="s">
        <v>84</v>
      </c>
      <c r="G22" s="24" t="s">
        <v>13</v>
      </c>
      <c r="H22" s="24" t="s">
        <v>126</v>
      </c>
      <c r="I22" s="24" t="s">
        <v>867</v>
      </c>
      <c r="J22" s="23" t="s">
        <v>588</v>
      </c>
      <c r="K22" s="23" t="s">
        <v>754</v>
      </c>
    </row>
    <row r="23" spans="1:11" ht="13.8" thickBot="1" x14ac:dyDescent="0.25">
      <c r="A23" s="23" t="s">
        <v>869</v>
      </c>
      <c r="B23" s="23" t="s">
        <v>746</v>
      </c>
      <c r="C23" s="23" t="s">
        <v>15</v>
      </c>
      <c r="D23" s="24" t="s">
        <v>83</v>
      </c>
      <c r="E23" s="24" t="s">
        <v>1196</v>
      </c>
      <c r="F23" s="24" t="s">
        <v>84</v>
      </c>
      <c r="G23" s="24" t="s">
        <v>13</v>
      </c>
      <c r="H23" s="24" t="s">
        <v>126</v>
      </c>
      <c r="I23" s="24" t="s">
        <v>1197</v>
      </c>
      <c r="J23" s="23" t="s">
        <v>620</v>
      </c>
      <c r="K23" s="23" t="s">
        <v>776</v>
      </c>
    </row>
    <row r="24" spans="1:11" ht="13.8" thickBot="1" x14ac:dyDescent="0.25">
      <c r="A24" s="23" t="s">
        <v>861</v>
      </c>
      <c r="B24" s="23" t="s">
        <v>746</v>
      </c>
      <c r="C24" s="23" t="s">
        <v>16</v>
      </c>
      <c r="D24" s="24" t="s">
        <v>86</v>
      </c>
      <c r="E24" s="24" t="s">
        <v>1151</v>
      </c>
      <c r="F24" s="24" t="s">
        <v>87</v>
      </c>
      <c r="G24" s="24" t="s">
        <v>13</v>
      </c>
      <c r="H24" s="24" t="s">
        <v>129</v>
      </c>
      <c r="I24" s="24" t="s">
        <v>1152</v>
      </c>
      <c r="J24" s="23" t="s">
        <v>621</v>
      </c>
      <c r="K24" s="23" t="s">
        <v>801</v>
      </c>
    </row>
    <row r="25" spans="1:11" ht="13.8" thickBot="1" x14ac:dyDescent="0.25">
      <c r="A25" s="23" t="s">
        <v>870</v>
      </c>
      <c r="B25" s="23" t="s">
        <v>746</v>
      </c>
      <c r="C25" s="23" t="s">
        <v>17</v>
      </c>
      <c r="D25" s="24" t="s">
        <v>83</v>
      </c>
      <c r="E25" s="24" t="s">
        <v>1107</v>
      </c>
      <c r="F25" s="24" t="s">
        <v>84</v>
      </c>
      <c r="G25" s="24" t="s">
        <v>13</v>
      </c>
      <c r="H25" s="24" t="s">
        <v>126</v>
      </c>
      <c r="I25" s="24" t="s">
        <v>1108</v>
      </c>
      <c r="J25" s="23" t="s">
        <v>668</v>
      </c>
      <c r="K25" s="23" t="s">
        <v>805</v>
      </c>
    </row>
    <row r="26" spans="1:11" ht="13.8" thickBot="1" x14ac:dyDescent="0.25">
      <c r="A26" s="23" t="s">
        <v>868</v>
      </c>
      <c r="B26" s="23" t="s">
        <v>746</v>
      </c>
      <c r="C26" s="23" t="s">
        <v>18</v>
      </c>
      <c r="D26" s="24" t="s">
        <v>127</v>
      </c>
      <c r="E26" s="24" t="s">
        <v>194</v>
      </c>
      <c r="F26" s="24" t="s">
        <v>85</v>
      </c>
      <c r="G26" s="24" t="s">
        <v>13</v>
      </c>
      <c r="H26" s="24" t="s">
        <v>128</v>
      </c>
      <c r="I26" s="24" t="s">
        <v>1198</v>
      </c>
      <c r="J26" s="23" t="s">
        <v>668</v>
      </c>
      <c r="K26" s="23" t="s">
        <v>805</v>
      </c>
    </row>
    <row r="27" spans="1:11" ht="13.8" thickBot="1" x14ac:dyDescent="0.25">
      <c r="A27" s="23" t="s">
        <v>864</v>
      </c>
      <c r="B27" s="23" t="s">
        <v>746</v>
      </c>
      <c r="C27" s="23" t="s">
        <v>19</v>
      </c>
      <c r="D27" s="24" t="s">
        <v>190</v>
      </c>
      <c r="E27" s="24" t="s">
        <v>12</v>
      </c>
      <c r="F27" s="24" t="s">
        <v>191</v>
      </c>
      <c r="G27" s="24" t="s">
        <v>13</v>
      </c>
      <c r="H27" s="24" t="s">
        <v>192</v>
      </c>
      <c r="I27" s="24" t="s">
        <v>1012</v>
      </c>
      <c r="J27" s="23" t="s">
        <v>751</v>
      </c>
      <c r="K27" s="23" t="s">
        <v>844</v>
      </c>
    </row>
    <row r="28" spans="1:11" ht="13.8" thickBot="1" x14ac:dyDescent="0.25">
      <c r="A28" s="23" t="s">
        <v>871</v>
      </c>
      <c r="B28" s="23" t="s">
        <v>746</v>
      </c>
      <c r="C28" s="23" t="s">
        <v>20</v>
      </c>
      <c r="D28" s="24" t="s">
        <v>127</v>
      </c>
      <c r="E28" s="24" t="s">
        <v>140</v>
      </c>
      <c r="F28" s="24" t="s">
        <v>85</v>
      </c>
      <c r="G28" s="24" t="s">
        <v>13</v>
      </c>
      <c r="H28" s="24" t="s">
        <v>128</v>
      </c>
      <c r="I28" s="24" t="s">
        <v>1199</v>
      </c>
      <c r="J28" s="23" t="s">
        <v>756</v>
      </c>
      <c r="K28" s="23" t="s">
        <v>1050</v>
      </c>
    </row>
    <row r="29" spans="1:11" ht="13.8" thickBot="1" x14ac:dyDescent="0.25">
      <c r="A29" s="23" t="s">
        <v>1109</v>
      </c>
      <c r="B29" s="23" t="s">
        <v>1036</v>
      </c>
      <c r="C29" s="23" t="s">
        <v>11</v>
      </c>
      <c r="D29" s="24" t="s">
        <v>190</v>
      </c>
      <c r="E29" s="24" t="s">
        <v>1238</v>
      </c>
      <c r="F29" s="24" t="s">
        <v>191</v>
      </c>
      <c r="G29" s="24" t="s">
        <v>13</v>
      </c>
      <c r="H29" s="24" t="s">
        <v>192</v>
      </c>
      <c r="I29" s="24" t="s">
        <v>1239</v>
      </c>
      <c r="J29" s="23" t="s">
        <v>801</v>
      </c>
      <c r="K29" s="23" t="s">
        <v>1038</v>
      </c>
    </row>
    <row r="30" spans="1:11" ht="13.8" thickBot="1" x14ac:dyDescent="0.25">
      <c r="A30" s="23" t="s">
        <v>1110</v>
      </c>
      <c r="B30" s="23" t="s">
        <v>1036</v>
      </c>
      <c r="C30" s="23" t="s">
        <v>14</v>
      </c>
      <c r="D30" s="24" t="s">
        <v>190</v>
      </c>
      <c r="E30" s="24" t="s">
        <v>1242</v>
      </c>
      <c r="F30" s="24" t="s">
        <v>191</v>
      </c>
      <c r="G30" s="24" t="s">
        <v>13</v>
      </c>
      <c r="H30" s="24" t="s">
        <v>192</v>
      </c>
      <c r="I30" s="24" t="s">
        <v>1243</v>
      </c>
      <c r="J30" s="23" t="s">
        <v>1032</v>
      </c>
      <c r="K30" s="23" t="s">
        <v>1047</v>
      </c>
    </row>
    <row r="31" spans="1:11" ht="13.8" thickBot="1" x14ac:dyDescent="0.25">
      <c r="A31" s="23" t="s">
        <v>1200</v>
      </c>
      <c r="B31" s="23" t="s">
        <v>1036</v>
      </c>
      <c r="C31" s="23" t="s">
        <v>15</v>
      </c>
      <c r="D31" s="24" t="s">
        <v>86</v>
      </c>
      <c r="E31" s="24" t="s">
        <v>1236</v>
      </c>
      <c r="F31" s="24" t="s">
        <v>87</v>
      </c>
      <c r="G31" s="24" t="s">
        <v>13</v>
      </c>
      <c r="H31" s="24" t="s">
        <v>129</v>
      </c>
      <c r="I31" s="24" t="s">
        <v>1237</v>
      </c>
      <c r="J31" s="23" t="s">
        <v>1038</v>
      </c>
      <c r="K31" s="23" t="s">
        <v>1063</v>
      </c>
    </row>
    <row r="32" spans="1:11" ht="13.8" thickBot="1" x14ac:dyDescent="0.25">
      <c r="A32" s="23" t="s">
        <v>145</v>
      </c>
      <c r="B32" s="23" t="s">
        <v>1267</v>
      </c>
      <c r="C32" s="23" t="s">
        <v>11</v>
      </c>
      <c r="D32" s="24" t="s">
        <v>639</v>
      </c>
      <c r="E32" s="24" t="s">
        <v>145</v>
      </c>
      <c r="F32" s="24" t="s">
        <v>145</v>
      </c>
      <c r="G32" s="24" t="s">
        <v>13</v>
      </c>
      <c r="H32" s="24" t="s">
        <v>640</v>
      </c>
      <c r="I32" s="24"/>
      <c r="J32" s="23" t="s">
        <v>1045</v>
      </c>
      <c r="K32" s="23" t="s">
        <v>1268</v>
      </c>
    </row>
    <row r="33" spans="1:11" ht="13.8" thickBot="1" x14ac:dyDescent="0.25">
      <c r="A33" s="23" t="s">
        <v>1387</v>
      </c>
      <c r="B33" s="23" t="s">
        <v>1267</v>
      </c>
      <c r="C33" s="23" t="s">
        <v>14</v>
      </c>
      <c r="D33" s="24" t="s">
        <v>86</v>
      </c>
      <c r="E33" s="24" t="s">
        <v>145</v>
      </c>
      <c r="F33" s="24" t="s">
        <v>87</v>
      </c>
      <c r="G33" s="24" t="s">
        <v>13</v>
      </c>
      <c r="H33" s="24" t="s">
        <v>129</v>
      </c>
      <c r="I33" s="24"/>
      <c r="J33" s="23" t="s">
        <v>1056</v>
      </c>
      <c r="K33" s="23" t="s">
        <v>1293</v>
      </c>
    </row>
    <row r="34" spans="1:11" ht="13.8" thickBot="1" x14ac:dyDescent="0.25">
      <c r="A34" s="23" t="s">
        <v>1388</v>
      </c>
      <c r="B34" s="23" t="s">
        <v>1267</v>
      </c>
      <c r="C34" s="23" t="s">
        <v>15</v>
      </c>
      <c r="D34" s="24" t="s">
        <v>86</v>
      </c>
      <c r="E34" s="24" t="s">
        <v>1270</v>
      </c>
      <c r="F34" s="24" t="s">
        <v>87</v>
      </c>
      <c r="G34" s="24" t="s">
        <v>13</v>
      </c>
      <c r="H34" s="24" t="s">
        <v>129</v>
      </c>
      <c r="I34" s="24" t="s">
        <v>1271</v>
      </c>
      <c r="J34" s="23" t="s">
        <v>1070</v>
      </c>
      <c r="K34" s="23" t="s">
        <v>1325</v>
      </c>
    </row>
    <row r="35" spans="1:11" ht="13.8" thickBot="1" x14ac:dyDescent="0.25">
      <c r="A35" s="23" t="s">
        <v>1389</v>
      </c>
      <c r="B35" s="23" t="s">
        <v>1267</v>
      </c>
      <c r="C35" s="23" t="s">
        <v>16</v>
      </c>
      <c r="D35" s="24" t="s">
        <v>190</v>
      </c>
      <c r="E35" s="24" t="s">
        <v>181</v>
      </c>
      <c r="F35" s="24" t="s">
        <v>191</v>
      </c>
      <c r="G35" s="24" t="s">
        <v>13</v>
      </c>
      <c r="H35" s="24" t="s">
        <v>192</v>
      </c>
      <c r="I35" s="24"/>
      <c r="J35" s="23" t="s">
        <v>1293</v>
      </c>
      <c r="K35" s="23" t="s">
        <v>1375</v>
      </c>
    </row>
    <row r="36" spans="1:11" ht="13.8" thickBot="1" x14ac:dyDescent="0.25">
      <c r="A36" s="23" t="s">
        <v>1576</v>
      </c>
      <c r="B36" s="23" t="s">
        <v>1462</v>
      </c>
      <c r="C36" s="23" t="s">
        <v>11</v>
      </c>
      <c r="D36" s="24" t="s">
        <v>86</v>
      </c>
      <c r="E36" s="24" t="s">
        <v>145</v>
      </c>
      <c r="F36" s="24" t="s">
        <v>87</v>
      </c>
      <c r="G36" s="24" t="s">
        <v>13</v>
      </c>
      <c r="H36" s="24" t="s">
        <v>129</v>
      </c>
      <c r="I36" s="24"/>
      <c r="J36" s="23" t="s">
        <v>1291</v>
      </c>
      <c r="K36" s="23" t="s">
        <v>1463</v>
      </c>
    </row>
    <row r="37" spans="1:11" ht="13.8" thickBot="1" x14ac:dyDescent="0.25">
      <c r="A37" s="23" t="s">
        <v>1577</v>
      </c>
      <c r="B37" s="23" t="s">
        <v>1462</v>
      </c>
      <c r="C37" s="23" t="s">
        <v>14</v>
      </c>
      <c r="D37" s="24" t="s">
        <v>190</v>
      </c>
      <c r="E37" s="24" t="s">
        <v>184</v>
      </c>
      <c r="F37" s="24" t="s">
        <v>191</v>
      </c>
      <c r="G37" s="24" t="s">
        <v>13</v>
      </c>
      <c r="H37" s="24" t="s">
        <v>192</v>
      </c>
      <c r="I37" s="24"/>
      <c r="J37" s="23" t="s">
        <v>1342</v>
      </c>
      <c r="K37" s="23" t="s">
        <v>1503</v>
      </c>
    </row>
    <row r="38" spans="1:11" ht="13.8" thickBot="1" x14ac:dyDescent="0.25">
      <c r="A38" s="23" t="s">
        <v>1578</v>
      </c>
      <c r="B38" s="23" t="s">
        <v>1462</v>
      </c>
      <c r="C38" s="23" t="s">
        <v>15</v>
      </c>
      <c r="D38" s="24" t="s">
        <v>86</v>
      </c>
      <c r="E38" s="24" t="s">
        <v>145</v>
      </c>
      <c r="F38" s="24" t="s">
        <v>87</v>
      </c>
      <c r="G38" s="24" t="s">
        <v>13</v>
      </c>
      <c r="H38" s="24" t="s">
        <v>129</v>
      </c>
      <c r="I38" s="24"/>
      <c r="J38" s="23" t="s">
        <v>1490</v>
      </c>
      <c r="K38" s="23" t="s">
        <v>1533</v>
      </c>
    </row>
  </sheetData>
  <mergeCells count="11">
    <mergeCell ref="K1:K2"/>
    <mergeCell ref="H1:H2"/>
    <mergeCell ref="I1:I2"/>
    <mergeCell ref="J1:J2"/>
    <mergeCell ref="A1:A2"/>
    <mergeCell ref="E1:E2"/>
    <mergeCell ref="F1:F2"/>
    <mergeCell ref="G1:G2"/>
    <mergeCell ref="B1:B2"/>
    <mergeCell ref="C1:C2"/>
    <mergeCell ref="D1:D2"/>
  </mergeCells>
  <phoneticPr fontId="2"/>
  <pageMargins left="0.75" right="0.75" top="1" bottom="1" header="0.51200000000000001" footer="0.51200000000000001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FF00"/>
  </sheetPr>
  <dimension ref="A1:K286"/>
  <sheetViews>
    <sheetView topLeftCell="B1" workbookViewId="0">
      <selection activeCell="G10" sqref="G10"/>
    </sheetView>
  </sheetViews>
  <sheetFormatPr defaultRowHeight="13.2" x14ac:dyDescent="0.2"/>
  <cols>
    <col min="1" max="1" width="4" bestFit="1" customWidth="1"/>
    <col min="3" max="3" width="14.109375" bestFit="1" customWidth="1"/>
    <col min="4" max="4" width="41.33203125" bestFit="1" customWidth="1"/>
    <col min="5" max="5" width="11.88671875" bestFit="1" customWidth="1"/>
    <col min="6" max="6" width="8" bestFit="1" customWidth="1"/>
    <col min="7" max="7" width="14.88671875" customWidth="1"/>
    <col min="9" max="9" width="14.109375" bestFit="1" customWidth="1"/>
    <col min="11" max="11" width="12.33203125" bestFit="1" customWidth="1"/>
  </cols>
  <sheetData>
    <row r="1" spans="1:11" x14ac:dyDescent="0.2">
      <c r="A1" s="9" t="s">
        <v>61</v>
      </c>
      <c r="B1" s="6" t="s">
        <v>56</v>
      </c>
      <c r="C1" s="9" t="s">
        <v>57</v>
      </c>
      <c r="D1" s="3" t="s">
        <v>58</v>
      </c>
      <c r="E1" s="10" t="s">
        <v>62</v>
      </c>
      <c r="F1" s="3" t="s">
        <v>59</v>
      </c>
      <c r="G1" s="6" t="s">
        <v>63</v>
      </c>
      <c r="H1" s="6"/>
      <c r="I1" s="6" t="s">
        <v>64</v>
      </c>
    </row>
    <row r="2" spans="1:11" s="19" customFormat="1" ht="13.8" thickBot="1" x14ac:dyDescent="0.2">
      <c r="A2" s="11">
        <v>1</v>
      </c>
      <c r="B2" s="7" t="str">
        <f>IFERROR(VLOOKUP(E2,'(新)ASTRO'!$A$3:$J$44,2,0),"")</f>
        <v>10月 </v>
      </c>
      <c r="C2" s="7" t="str">
        <f>IFERROR(VLOOKUP(E2,'(新)ASTRO'!$A$3:$J$44,4,0),"")</f>
        <v>EGBRBT010E </v>
      </c>
      <c r="D2" s="7" t="str">
        <f>IFERROR(VLOOKUP(E2,'(新)ASTRO'!$A$3:$J$44,5,0),"")</f>
        <v> （株）山陽工作所 </v>
      </c>
      <c r="E2" s="23" t="str">
        <f>'(新)ASTRO'!A3</f>
        <v> TS10100102 </v>
      </c>
      <c r="F2" s="8" t="str">
        <f>IFERROR(VLOOKUP(E2,'(新)ASTRO'!$A$3:$J$44,8,0),"")</f>
        <v>0D9357 </v>
      </c>
      <c r="G2" s="7" t="str">
        <f>IFERROR(VLOOKUP(E2,'(旧)ASTRO'!$A$3:$K$50,10,0),"")</f>
        <v>2026/07/31 </v>
      </c>
      <c r="H2" s="12" t="s">
        <v>60</v>
      </c>
      <c r="I2" s="7" t="str">
        <f>IFERROR(VLOOKUP(E2,'(新)ASTRO'!$A$3:$J$44,10,0),"")</f>
        <v>2026/07/31 </v>
      </c>
      <c r="K2" s="22"/>
    </row>
    <row r="3" spans="1:11" s="19" customFormat="1" ht="13.8" thickBot="1" x14ac:dyDescent="0.2">
      <c r="A3" s="11">
        <v>2</v>
      </c>
      <c r="B3" s="7" t="str">
        <f>IFERROR(VLOOKUP(E3,'(新)ASTRO'!$A$3:$J$44,2,0),"")</f>
        <v>10月 </v>
      </c>
      <c r="C3" s="7" t="str">
        <f>IFERROR(VLOOKUP(E3,'(新)ASTRO'!$A$3:$J$44,4,0),"")</f>
        <v>TBR2500 </v>
      </c>
      <c r="D3" s="7" t="str">
        <f>IFERROR(VLOOKUP(E3,'(新)ASTRO'!$A$3:$J$44,5,0),"")</f>
        <v> （株）アマダベンディング自動化ＰＪ </v>
      </c>
      <c r="E3" s="23" t="str">
        <f>'(新)ASTRO'!A4</f>
        <v> AP23251002 </v>
      </c>
      <c r="F3" s="8" t="str">
        <f>IFERROR(VLOOKUP(E3,'(新)ASTRO'!$A$3:$J$44,8,0),"")</f>
        <v>0G3511 </v>
      </c>
      <c r="G3" s="7" t="str">
        <f>IFERROR(VLOOKUP(E3,'(旧)ASTRO'!$A$3:$K$50,10,0),"")</f>
        <v>2026/08/22 </v>
      </c>
      <c r="H3" s="12" t="s">
        <v>60</v>
      </c>
      <c r="I3" s="7" t="str">
        <f>IFERROR(VLOOKUP(E3,'(新)ASTRO'!$A$3:$J$44,10,0),"")</f>
        <v>2026/08/22 </v>
      </c>
    </row>
    <row r="4" spans="1:11" s="19" customFormat="1" ht="13.8" thickBot="1" x14ac:dyDescent="0.2">
      <c r="A4" s="11">
        <v>3</v>
      </c>
      <c r="B4" s="7" t="str">
        <f>IFERROR(VLOOKUP(E4,'(新)ASTRO'!$A$3:$J$44,2,0),"")</f>
        <v>10月 </v>
      </c>
      <c r="C4" s="7" t="str">
        <f>IFERROR(VLOOKUP(E4,'(新)ASTRO'!$A$3:$J$44,4,0),"")</f>
        <v>EGBRBT010E </v>
      </c>
      <c r="D4" s="7" t="str">
        <f>IFERROR(VLOOKUP(E4,'(新)ASTRO'!$A$3:$J$44,5,0),"")</f>
        <v> 大和テック（株） </v>
      </c>
      <c r="E4" s="23" t="str">
        <f>'(新)ASTRO'!A5</f>
        <v> TS10100107 </v>
      </c>
      <c r="F4" s="8" t="str">
        <f>IFERROR(VLOOKUP(E4,'(新)ASTRO'!$A$3:$J$44,8,0),"")</f>
        <v>0D9357 </v>
      </c>
      <c r="G4" s="7" t="str">
        <f>IFERROR(VLOOKUP(E4,'(旧)ASTRO'!$A$3:$K$50,10,0),"")</f>
        <v>2026/09/03 </v>
      </c>
      <c r="H4" s="12" t="s">
        <v>60</v>
      </c>
      <c r="I4" s="7" t="str">
        <f>IFERROR(VLOOKUP(E4,'(新)ASTRO'!$A$3:$J$44,10,0),"")</f>
        <v>2026/09/03 </v>
      </c>
    </row>
    <row r="5" spans="1:11" s="19" customFormat="1" ht="13.8" thickBot="1" x14ac:dyDescent="0.2">
      <c r="A5" s="11">
        <v>4</v>
      </c>
      <c r="B5" s="7" t="str">
        <f>IFERROR(VLOOKUP(E5,'(新)ASTRO'!$A$3:$J$44,2,0),"")</f>
        <v>10月 </v>
      </c>
      <c r="C5" s="7" t="str">
        <f>IFERROR(VLOOKUP(E5,'(新)ASTRO'!$A$3:$J$44,4,0),"")</f>
        <v>EGBRBT010E_EXP </v>
      </c>
      <c r="D5" s="7" t="str">
        <f>IFERROR(VLOOKUP(E5,'(新)ASTRO'!$A$3:$J$44,5,0),"")</f>
        <v> CHINA </v>
      </c>
      <c r="E5" s="23" t="str">
        <f>'(新)ASTRO'!A6</f>
        <v> TS10100113 </v>
      </c>
      <c r="F5" s="8" t="str">
        <f>IFERROR(VLOOKUP(E5,'(新)ASTRO'!$A$3:$J$44,8,0),"")</f>
        <v>0E0421 </v>
      </c>
      <c r="G5" s="7" t="str">
        <f>IFERROR(VLOOKUP(E5,'(旧)ASTRO'!$A$3:$K$50,10,0),"")</f>
        <v>2026/09/08 </v>
      </c>
      <c r="H5" s="12" t="s">
        <v>60</v>
      </c>
      <c r="I5" s="7" t="str">
        <f>IFERROR(VLOOKUP(E5,'(新)ASTRO'!$A$3:$J$44,10,0),"")</f>
        <v>2026/09/08 </v>
      </c>
    </row>
    <row r="6" spans="1:11" s="19" customFormat="1" ht="13.8" thickBot="1" x14ac:dyDescent="0.2">
      <c r="A6" s="11">
        <v>5</v>
      </c>
      <c r="B6" s="7" t="str">
        <f>IFERROR(VLOOKUP(E6,'(新)ASTRO'!$A$3:$J$44,2,0),"")</f>
        <v>10月 </v>
      </c>
      <c r="C6" s="7" t="str">
        <f>IFERROR(VLOOKUP(E6,'(新)ASTRO'!$A$3:$J$44,4,0),"")</f>
        <v>EGBRBT010E </v>
      </c>
      <c r="D6" s="7" t="str">
        <f>IFERROR(VLOOKUP(E6,'(新)ASTRO'!$A$3:$J$44,5,0),"")</f>
        <v> （株）アマダベンディング自動化ＰＪ </v>
      </c>
      <c r="E6" s="23" t="str">
        <f>'(新)ASTRO'!A7</f>
        <v> TS10100106 </v>
      </c>
      <c r="F6" s="8" t="str">
        <f>IFERROR(VLOOKUP(E6,'(新)ASTRO'!$A$3:$J$44,8,0),"")</f>
        <v>0D9357 </v>
      </c>
      <c r="G6" s="7" t="str">
        <f>IFERROR(VLOOKUP(E6,'(旧)ASTRO'!$A$3:$K$50,10,0),"")</f>
        <v>2026/09/12 </v>
      </c>
      <c r="H6" s="12" t="s">
        <v>60</v>
      </c>
      <c r="I6" s="7" t="str">
        <f>IFERROR(VLOOKUP(E6,'(新)ASTRO'!$A$3:$J$44,10,0),"")</f>
        <v>2026/09/12 </v>
      </c>
      <c r="K6" s="21"/>
    </row>
    <row r="7" spans="1:11" s="19" customFormat="1" ht="13.8" thickBot="1" x14ac:dyDescent="0.2">
      <c r="A7" s="11">
        <v>6</v>
      </c>
      <c r="B7" s="7" t="str">
        <f>IFERROR(VLOOKUP(E7,'(新)ASTRO'!$A$3:$J$44,2,0),"")</f>
        <v>10月 </v>
      </c>
      <c r="C7" s="7" t="str">
        <f>IFERROR(VLOOKUP(E7,'(新)ASTRO'!$A$3:$J$44,4,0),"")</f>
        <v>EGBRBT010E </v>
      </c>
      <c r="D7" s="7" t="str">
        <f>IFERROR(VLOOKUP(E7,'(新)ASTRO'!$A$3:$J$44,5,0),"")</f>
        <v> （株）山一金属製作所 </v>
      </c>
      <c r="E7" s="23" t="str">
        <f>'(新)ASTRO'!A8</f>
        <v> TS10100111 </v>
      </c>
      <c r="F7" s="8" t="str">
        <f>IFERROR(VLOOKUP(E7,'(新)ASTRO'!$A$3:$J$44,8,0),"")</f>
        <v>0G3870 </v>
      </c>
      <c r="G7" s="7" t="str">
        <f>IFERROR(VLOOKUP(E7,'(旧)ASTRO'!$A$3:$K$50,10,0),"")</f>
        <v>2026/09/17 </v>
      </c>
      <c r="H7" s="12" t="s">
        <v>60</v>
      </c>
      <c r="I7" s="7" t="str">
        <f>IFERROR(VLOOKUP(E7,'(新)ASTRO'!$A$3:$J$44,10,0),"")</f>
        <v>2026/09/17 </v>
      </c>
      <c r="K7" s="21"/>
    </row>
    <row r="8" spans="1:11" s="19" customFormat="1" ht="13.8" thickBot="1" x14ac:dyDescent="0.2">
      <c r="A8" s="11">
        <v>7</v>
      </c>
      <c r="B8" s="7" t="str">
        <f>IFERROR(VLOOKUP(E8,'(新)ASTRO'!$A$3:$J$44,2,0),"")</f>
        <v>10月 </v>
      </c>
      <c r="C8" s="7" t="str">
        <f>IFERROR(VLOOKUP(E8,'(新)ASTRO'!$A$3:$J$44,4,0),"")</f>
        <v>HGROBOT080.EXP </v>
      </c>
      <c r="D8" s="7" t="str">
        <f>IFERROR(VLOOKUP(E8,'(新)ASTRO'!$A$3:$J$44,5,0),"")</f>
        <v> 【ブラジル】PERTO </v>
      </c>
      <c r="E8" s="23" t="str">
        <f>'(新)ASTRO'!A9</f>
        <v> 00800070 </v>
      </c>
      <c r="F8" s="8" t="str">
        <f>IFERROR(VLOOKUP(E8,'(新)ASTRO'!$A$3:$J$44,8,0),"")</f>
        <v>0G4022 </v>
      </c>
      <c r="G8" s="7" t="str">
        <f>IFERROR(VLOOKUP(E8,'(旧)ASTRO'!$A$3:$K$50,10,0),"")</f>
        <v>2026/09/18 </v>
      </c>
      <c r="H8" s="12" t="s">
        <v>60</v>
      </c>
      <c r="I8" s="7" t="str">
        <f>IFERROR(VLOOKUP(E8,'(新)ASTRO'!$A$3:$J$44,10,0),"")</f>
        <v>2026/09/18 </v>
      </c>
      <c r="K8" s="21"/>
    </row>
    <row r="9" spans="1:11" s="19" customFormat="1" ht="13.8" thickBot="1" x14ac:dyDescent="0.2">
      <c r="A9" s="11">
        <v>8</v>
      </c>
      <c r="B9" s="7" t="str">
        <f>IFERROR(VLOOKUP(E9,'(新)ASTRO'!$A$3:$J$44,2,0),"")</f>
        <v>10月 </v>
      </c>
      <c r="C9" s="7" t="str">
        <f>IFERROR(VLOOKUP(E9,'(新)ASTRO'!$A$3:$J$44,4,0),"")</f>
        <v>EGBRBT010E_EXP </v>
      </c>
      <c r="D9" s="7" t="str">
        <f>IFERROR(VLOOKUP(E9,'(新)ASTRO'!$A$3:$J$44,5,0),"")</f>
        <v> ＡＭＡＤＡ　ＡＭＥＲＩＣＡ　ＩＮＣ． </v>
      </c>
      <c r="E9" s="23" t="str">
        <f>'(新)ASTRO'!A10</f>
        <v> TS10100112 </v>
      </c>
      <c r="F9" s="8" t="str">
        <f>IFERROR(VLOOKUP(E9,'(新)ASTRO'!$A$3:$J$44,8,0),"")</f>
        <v>0E0421 </v>
      </c>
      <c r="G9" s="7" t="str">
        <f>IFERROR(VLOOKUP(E9,'(旧)ASTRO'!$A$3:$K$50,10,0),"")</f>
        <v>2026/09/24 </v>
      </c>
      <c r="H9" s="12" t="s">
        <v>60</v>
      </c>
      <c r="I9" s="7" t="str">
        <f>IFERROR(VLOOKUP(E9,'(新)ASTRO'!$A$3:$J$44,10,0),"")</f>
        <v>2026/09/24 </v>
      </c>
      <c r="K9" s="21"/>
    </row>
    <row r="10" spans="1:11" s="19" customFormat="1" ht="13.8" thickBot="1" x14ac:dyDescent="0.2">
      <c r="A10" s="11">
        <v>9</v>
      </c>
      <c r="B10" s="7" t="str">
        <f>IFERROR(VLOOKUP(E10,'(新)ASTRO'!$A$3:$J$44,2,0),"")</f>
        <v>10月 </v>
      </c>
      <c r="C10" s="7" t="str">
        <f>IFERROR(VLOOKUP(E10,'(新)ASTRO'!$A$3:$J$44,4,0),"")</f>
        <v>EGBRBT020E </v>
      </c>
      <c r="D10" s="7" t="str">
        <f>IFERROR(VLOOKUP(E10,'(新)ASTRO'!$A$3:$J$44,5,0),"")</f>
        <v>  </v>
      </c>
      <c r="E10" s="23" t="str">
        <f>'(新)ASTRO'!A11</f>
        <v> 10209993 </v>
      </c>
      <c r="F10" s="8" t="str">
        <f>IFERROR(VLOOKUP(E10,'(新)ASTRO'!$A$3:$J$44,8,0),"")</f>
        <v>0F4948 </v>
      </c>
      <c r="G10" s="7" t="str">
        <f>IFERROR(VLOOKUP(E10,'(旧)ASTRO'!$A$3:$K$50,10,0),"")</f>
        <v>2026/03/05 </v>
      </c>
      <c r="H10" s="12" t="s">
        <v>60</v>
      </c>
      <c r="I10" s="7" t="str">
        <f>IFERROR(VLOOKUP(E10,'(新)ASTRO'!$A$3:$J$44,10,0),"")</f>
        <v>2026/10/06 </v>
      </c>
      <c r="K10" s="21"/>
    </row>
    <row r="11" spans="1:11" s="19" customFormat="1" ht="13.8" thickBot="1" x14ac:dyDescent="0.2">
      <c r="A11" s="11">
        <v>10</v>
      </c>
      <c r="B11" s="7" t="str">
        <f>IFERROR(VLOOKUP(E11,'(新)ASTRO'!$A$3:$J$44,2,0),"")</f>
        <v>10月 </v>
      </c>
      <c r="C11" s="7" t="str">
        <f>IFERROR(VLOOKUP(E11,'(新)ASTRO'!$A$3:$J$44,4,0),"")</f>
        <v>EGBRBT020E.EXP </v>
      </c>
      <c r="D11" s="7" t="str">
        <f>IFERROR(VLOOKUP(E11,'(新)ASTRO'!$A$3:$J$44,5,0),"")</f>
        <v> 【TAIWAN】展示機 </v>
      </c>
      <c r="E11" s="23" t="str">
        <f>'(新)ASTRO'!A12</f>
        <v> 10200057 </v>
      </c>
      <c r="F11" s="8" t="str">
        <f>IFERROR(VLOOKUP(E11,'(新)ASTRO'!$A$3:$J$44,8,0),"")</f>
        <v>0E2861 </v>
      </c>
      <c r="G11" s="7" t="str">
        <f>IFERROR(VLOOKUP(E11,'(旧)ASTRO'!$A$3:$K$50,10,0),"")</f>
        <v>2026/10/06 </v>
      </c>
      <c r="H11" s="12" t="s">
        <v>60</v>
      </c>
      <c r="I11" s="7" t="str">
        <f>IFERROR(VLOOKUP(E11,'(新)ASTRO'!$A$3:$J$44,10,0),"")</f>
        <v>2026/10/06 </v>
      </c>
      <c r="K11" s="21"/>
    </row>
    <row r="12" spans="1:11" s="19" customFormat="1" ht="13.8" thickBot="1" x14ac:dyDescent="0.2">
      <c r="A12" s="11">
        <v>11</v>
      </c>
      <c r="B12" s="7" t="str">
        <f>IFERROR(VLOOKUP(E12,'(新)ASTRO'!$A$3:$J$44,2,0),"")</f>
        <v>11月 </v>
      </c>
      <c r="C12" s="7" t="str">
        <f>IFERROR(VLOOKUP(E12,'(新)ASTRO'!$A$3:$J$44,4,0),"")</f>
        <v>EGBRBT010E </v>
      </c>
      <c r="D12" s="7" t="str">
        <f>IFERROR(VLOOKUP(E12,'(新)ASTRO'!$A$3:$J$44,5,0),"")</f>
        <v> 楠田金属（株） </v>
      </c>
      <c r="E12" s="23" t="str">
        <f>'(新)ASTRO'!A13</f>
        <v> TS10100115 </v>
      </c>
      <c r="F12" s="8" t="str">
        <f>IFERROR(VLOOKUP(E12,'(新)ASTRO'!$A$3:$J$44,8,0),"")</f>
        <v>0D9357 </v>
      </c>
      <c r="G12" s="7" t="str">
        <f>IFERROR(VLOOKUP(E12,'(旧)ASTRO'!$A$3:$K$50,10,0),"")</f>
        <v>2026/09/29 </v>
      </c>
      <c r="H12" s="12" t="s">
        <v>60</v>
      </c>
      <c r="I12" s="7" t="str">
        <f>IFERROR(VLOOKUP(E12,'(新)ASTRO'!$A$3:$J$44,10,0),"")</f>
        <v>2026/09/29 </v>
      </c>
      <c r="K12" s="21"/>
    </row>
    <row r="13" spans="1:11" s="19" customFormat="1" ht="13.8" thickBot="1" x14ac:dyDescent="0.2">
      <c r="A13" s="11">
        <v>12</v>
      </c>
      <c r="B13" s="7" t="str">
        <f>IFERROR(VLOOKUP(E13,'(新)ASTRO'!$A$3:$J$44,2,0),"")</f>
        <v>11月 </v>
      </c>
      <c r="C13" s="7" t="str">
        <f>IFERROR(VLOOKUP(E13,'(新)ASTRO'!$A$3:$J$44,4,0),"")</f>
        <v>EGBRBT010E </v>
      </c>
      <c r="D13" s="7" t="str">
        <f>IFERROR(VLOOKUP(E13,'(新)ASTRO'!$A$3:$J$44,5,0),"")</f>
        <v> （株）秋田マシナリー </v>
      </c>
      <c r="E13" s="23" t="str">
        <f>'(新)ASTRO'!A14</f>
        <v> TS10100114 </v>
      </c>
      <c r="F13" s="8" t="str">
        <f>IFERROR(VLOOKUP(E13,'(新)ASTRO'!$A$3:$J$44,8,0),"")</f>
        <v>0D9357 </v>
      </c>
      <c r="G13" s="7" t="str">
        <f>IFERROR(VLOOKUP(E13,'(旧)ASTRO'!$A$3:$K$50,10,0),"")</f>
        <v>2026/10/02 </v>
      </c>
      <c r="H13" s="12" t="s">
        <v>60</v>
      </c>
      <c r="I13" s="7" t="str">
        <f>IFERROR(VLOOKUP(E13,'(新)ASTRO'!$A$3:$J$44,10,0),"")</f>
        <v>2026/10/02 </v>
      </c>
      <c r="K13" s="21"/>
    </row>
    <row r="14" spans="1:11" s="19" customFormat="1" ht="13.8" thickBot="1" x14ac:dyDescent="0.2">
      <c r="A14" s="11">
        <v>13</v>
      </c>
      <c r="B14" s="7" t="str">
        <f>IFERROR(VLOOKUP(E14,'(新)ASTRO'!$A$3:$J$44,2,0),"")</f>
        <v>11月 </v>
      </c>
      <c r="C14" s="7" t="str">
        <f>IFERROR(VLOOKUP(E14,'(新)ASTRO'!$A$3:$J$44,4,0),"")</f>
        <v>EGBRBT010E </v>
      </c>
      <c r="D14" s="7" t="str">
        <f>IFERROR(VLOOKUP(E14,'(新)ASTRO'!$A$3:$J$44,5,0),"")</f>
        <v> （株）山本製作所 </v>
      </c>
      <c r="E14" s="23" t="str">
        <f>'(新)ASTRO'!A15</f>
        <v> TS10100108 </v>
      </c>
      <c r="F14" s="8" t="str">
        <f>IFERROR(VLOOKUP(E14,'(新)ASTRO'!$A$3:$J$44,8,0),"")</f>
        <v>0D9357 </v>
      </c>
      <c r="G14" s="7" t="str">
        <f>IFERROR(VLOOKUP(E14,'(旧)ASTRO'!$A$3:$K$50,10,0),"")</f>
        <v>2026/10/07 </v>
      </c>
      <c r="H14" s="12" t="s">
        <v>60</v>
      </c>
      <c r="I14" s="7" t="str">
        <f>IFERROR(VLOOKUP(E14,'(新)ASTRO'!$A$3:$J$44,10,0),"")</f>
        <v>2026/10/07 </v>
      </c>
      <c r="K14" s="21"/>
    </row>
    <row r="15" spans="1:11" s="19" customFormat="1" ht="13.8" thickBot="1" x14ac:dyDescent="0.2">
      <c r="A15" s="11">
        <v>14</v>
      </c>
      <c r="B15" s="7" t="str">
        <f>IFERROR(VLOOKUP(E15,'(新)ASTRO'!$A$3:$J$44,2,0),"")</f>
        <v>11月 </v>
      </c>
      <c r="C15" s="7" t="str">
        <f>IFERROR(VLOOKUP(E15,'(新)ASTRO'!$A$3:$J$44,4,0),"")</f>
        <v>EGBRBT010E_EXP </v>
      </c>
      <c r="D15" s="7" t="str">
        <f>IFERROR(VLOOKUP(E15,'(新)ASTRO'!$A$3:$J$44,5,0),"")</f>
        <v> 【ベトナム】Tanaka Vietnam Co., Ltd </v>
      </c>
      <c r="E15" s="23" t="str">
        <f>'(新)ASTRO'!A16</f>
        <v> TS10100117 </v>
      </c>
      <c r="F15" s="8" t="str">
        <f>IFERROR(VLOOKUP(E15,'(新)ASTRO'!$A$3:$J$44,8,0),"")</f>
        <v>0E0421 </v>
      </c>
      <c r="G15" s="7" t="str">
        <f>IFERROR(VLOOKUP(E15,'(旧)ASTRO'!$A$3:$K$50,10,0),"")</f>
        <v>2026/10/10 </v>
      </c>
      <c r="H15" s="12" t="s">
        <v>60</v>
      </c>
      <c r="I15" s="7" t="str">
        <f>IFERROR(VLOOKUP(E15,'(新)ASTRO'!$A$3:$J$44,10,0),"")</f>
        <v>2026/10/10 </v>
      </c>
      <c r="K15" s="21"/>
    </row>
    <row r="16" spans="1:11" s="19" customFormat="1" ht="13.8" thickBot="1" x14ac:dyDescent="0.2">
      <c r="A16" s="11">
        <v>15</v>
      </c>
      <c r="B16" s="7" t="str">
        <f>IFERROR(VLOOKUP(E16,'(新)ASTRO'!$A$3:$J$44,2,0),"")</f>
        <v>11月 </v>
      </c>
      <c r="C16" s="7" t="str">
        <f>IFERROR(VLOOKUP(E16,'(新)ASTRO'!$A$3:$J$44,4,0),"")</f>
        <v>EGBRBT010E_EXP </v>
      </c>
      <c r="D16" s="7" t="str">
        <f>IFERROR(VLOOKUP(E16,'(新)ASTRO'!$A$3:$J$44,5,0),"")</f>
        <v> ＡＭＡＤＡ　ＡＭＥＲＩＣＡ　ＩＮＣ． </v>
      </c>
      <c r="E16" s="23" t="str">
        <f>'(新)ASTRO'!A17</f>
        <v> TS10100116 </v>
      </c>
      <c r="F16" s="8" t="str">
        <f>IFERROR(VLOOKUP(E16,'(新)ASTRO'!$A$3:$J$44,8,0),"")</f>
        <v>0E0421 </v>
      </c>
      <c r="G16" s="7" t="str">
        <f>IFERROR(VLOOKUP(E16,'(旧)ASTRO'!$A$3:$K$50,10,0),"")</f>
        <v>2026/10/15 </v>
      </c>
      <c r="H16" s="12" t="s">
        <v>60</v>
      </c>
      <c r="I16" s="7" t="str">
        <f>IFERROR(VLOOKUP(E16,'(新)ASTRO'!$A$3:$J$44,10,0),"")</f>
        <v>2026/10/15 </v>
      </c>
      <c r="K16" s="21"/>
    </row>
    <row r="17" spans="1:11" s="19" customFormat="1" ht="13.8" thickBot="1" x14ac:dyDescent="0.2">
      <c r="A17" s="11">
        <v>16</v>
      </c>
      <c r="B17" s="7" t="str">
        <f>IFERROR(VLOOKUP(E17,'(新)ASTRO'!$A$3:$J$44,2,0),"")</f>
        <v>11月 </v>
      </c>
      <c r="C17" s="7" t="str">
        <f>IFERROR(VLOOKUP(E17,'(新)ASTRO'!$A$3:$J$44,4,0),"")</f>
        <v>EGBRBT010E_EXP </v>
      </c>
      <c r="D17" s="7" t="str">
        <f>IFERROR(VLOOKUP(E17,'(新)ASTRO'!$A$3:$J$44,5,0),"")</f>
        <v> ＡＭＡＤＡ　ＡＭＥＲＩＣＡ　ＩＮＣ． </v>
      </c>
      <c r="E17" s="23" t="str">
        <f>'(新)ASTRO'!A18</f>
        <v> TS10100118 </v>
      </c>
      <c r="F17" s="8" t="str">
        <f>IFERROR(VLOOKUP(E17,'(新)ASTRO'!$A$3:$J$44,8,0),"")</f>
        <v>0E0421 </v>
      </c>
      <c r="G17" s="7" t="str">
        <f>IFERROR(VLOOKUP(E17,'(旧)ASTRO'!$A$3:$K$50,10,0),"")</f>
        <v>2026/10/21 </v>
      </c>
      <c r="H17" s="12" t="s">
        <v>60</v>
      </c>
      <c r="I17" s="7" t="str">
        <f>IFERROR(VLOOKUP(E17,'(新)ASTRO'!$A$3:$J$44,10,0),"")</f>
        <v>2026/10/21 </v>
      </c>
      <c r="K17" s="21"/>
    </row>
    <row r="18" spans="1:11" s="19" customFormat="1" ht="13.8" thickBot="1" x14ac:dyDescent="0.2">
      <c r="A18" s="11">
        <v>17</v>
      </c>
      <c r="B18" s="7" t="str">
        <f>IFERROR(VLOOKUP(E18,'(新)ASTRO'!$A$3:$J$44,2,0),"")</f>
        <v>11月 </v>
      </c>
      <c r="C18" s="7" t="str">
        <f>IFERROR(VLOOKUP(E18,'(新)ASTRO'!$A$3:$J$44,4,0),"")</f>
        <v>EGBRBT020E.EXP </v>
      </c>
      <c r="D18" s="7" t="str">
        <f>IFERROR(VLOOKUP(E18,'(新)ASTRO'!$A$3:$J$44,5,0),"")</f>
        <v> ＡＭＡＤＡ　ＡＭＥＲＩＣＡ　ＩＮＣ． </v>
      </c>
      <c r="E18" s="23" t="str">
        <f>'(新)ASTRO'!A19</f>
        <v> 10200058 </v>
      </c>
      <c r="F18" s="8" t="str">
        <f>IFERROR(VLOOKUP(E18,'(新)ASTRO'!$A$3:$J$44,8,0),"")</f>
        <v>0E2861 </v>
      </c>
      <c r="G18" s="7" t="str">
        <f>IFERROR(VLOOKUP(E18,'(旧)ASTRO'!$A$3:$K$50,10,0),"")</f>
        <v>2026/10/27 </v>
      </c>
      <c r="H18" s="12" t="s">
        <v>60</v>
      </c>
      <c r="I18" s="7" t="str">
        <f>IFERROR(VLOOKUP(E18,'(新)ASTRO'!$A$3:$J$44,10,0),"")</f>
        <v>2026/10/27 </v>
      </c>
      <c r="K18" s="21"/>
    </row>
    <row r="19" spans="1:11" s="19" customFormat="1" ht="13.8" thickBot="1" x14ac:dyDescent="0.2">
      <c r="A19" s="11">
        <v>18</v>
      </c>
      <c r="B19" s="7" t="str">
        <f>IFERROR(VLOOKUP(E19,'(新)ASTRO'!$A$3:$J$44,2,0),"")</f>
        <v>11月 </v>
      </c>
      <c r="C19" s="7" t="str">
        <f>IFERROR(VLOOKUP(E19,'(新)ASTRO'!$A$3:$J$44,4,0),"")</f>
        <v>HGROBOT080 </v>
      </c>
      <c r="D19" s="7" t="str">
        <f>IFERROR(VLOOKUP(E19,'(新)ASTRO'!$A$3:$J$44,5,0),"")</f>
        <v> （株）徹工業 </v>
      </c>
      <c r="E19" s="23" t="str">
        <f>'(新)ASTRO'!A20</f>
        <v> 00800072 </v>
      </c>
      <c r="F19" s="8" t="str">
        <f>IFERROR(VLOOKUP(E19,'(新)ASTRO'!$A$3:$J$44,8,0),"")</f>
        <v>0G3557 </v>
      </c>
      <c r="G19" s="7" t="str">
        <f>IFERROR(VLOOKUP(E19,'(旧)ASTRO'!$A$3:$K$50,10,0),"")</f>
        <v>2026/11/04 </v>
      </c>
      <c r="H19" s="12" t="s">
        <v>60</v>
      </c>
      <c r="I19" s="7" t="str">
        <f>IFERROR(VLOOKUP(E19,'(新)ASTRO'!$A$3:$J$44,10,0),"")</f>
        <v>2026/11/04 </v>
      </c>
      <c r="K19" s="21"/>
    </row>
    <row r="20" spans="1:11" s="19" customFormat="1" ht="13.8" thickBot="1" x14ac:dyDescent="0.2">
      <c r="A20" s="11">
        <v>19</v>
      </c>
      <c r="B20" s="7" t="str">
        <f>IFERROR(VLOOKUP(E20,'(新)ASTRO'!$A$3:$J$44,2,0),"")</f>
        <v>12月 </v>
      </c>
      <c r="C20" s="7" t="str">
        <f>IFERROR(VLOOKUP(E20,'(新)ASTRO'!$A$3:$J$44,4,0),"")</f>
        <v>TBR2500 </v>
      </c>
      <c r="D20" s="7" t="str">
        <f>IFERROR(VLOOKUP(E20,'(新)ASTRO'!$A$3:$J$44,5,0),"")</f>
        <v> （株）アマダベンディング自動化ＰＪ </v>
      </c>
      <c r="E20" s="23" t="str">
        <f>'(新)ASTRO'!A21</f>
        <v> AP23251003 </v>
      </c>
      <c r="F20" s="8" t="str">
        <f>IFERROR(VLOOKUP(E20,'(新)ASTRO'!$A$3:$J$44,8,0),"")</f>
        <v>0G3511 </v>
      </c>
      <c r="G20" s="7" t="str">
        <f>IFERROR(VLOOKUP(E20,'(旧)ASTRO'!$A$3:$K$50,10,0),"")</f>
        <v>2026/10/29 </v>
      </c>
      <c r="H20" s="12" t="s">
        <v>60</v>
      </c>
      <c r="I20" s="7" t="str">
        <f>IFERROR(VLOOKUP(E20,'(新)ASTRO'!$A$3:$J$44,10,0),"")</f>
        <v>2026/10/29 </v>
      </c>
      <c r="K20" s="21"/>
    </row>
    <row r="21" spans="1:11" s="19" customFormat="1" ht="13.8" thickBot="1" x14ac:dyDescent="0.2">
      <c r="A21" s="11">
        <v>20</v>
      </c>
      <c r="B21" s="7" t="str">
        <f>IFERROR(VLOOKUP(E21,'(新)ASTRO'!$A$3:$J$44,2,0),"")</f>
        <v>12月 </v>
      </c>
      <c r="C21" s="7" t="str">
        <f>IFERROR(VLOOKUP(E21,'(新)ASTRO'!$A$3:$J$44,4,0),"")</f>
        <v>EGBRBT010E </v>
      </c>
      <c r="D21" s="7" t="str">
        <f>IFERROR(VLOOKUP(E21,'(新)ASTRO'!$A$3:$J$44,5,0),"")</f>
        <v> （株）エスイージー </v>
      </c>
      <c r="E21" s="23" t="str">
        <f>'(新)ASTRO'!A22</f>
        <v> TS10100109 </v>
      </c>
      <c r="F21" s="8" t="str">
        <f>IFERROR(VLOOKUP(E21,'(新)ASTRO'!$A$3:$J$44,8,0),"")</f>
        <v>0D9357 </v>
      </c>
      <c r="G21" s="7" t="str">
        <f>IFERROR(VLOOKUP(E21,'(旧)ASTRO'!$A$3:$K$50,10,0),"")</f>
        <v>2026/11/14 </v>
      </c>
      <c r="H21" s="12" t="s">
        <v>60</v>
      </c>
      <c r="I21" s="7" t="str">
        <f>IFERROR(VLOOKUP(E21,'(新)ASTRO'!$A$3:$J$44,10,0),"")</f>
        <v>2026/11/14 </v>
      </c>
      <c r="K21" s="21"/>
    </row>
    <row r="22" spans="1:11" s="19" customFormat="1" ht="13.8" thickBot="1" x14ac:dyDescent="0.2">
      <c r="A22" s="11">
        <v>21</v>
      </c>
      <c r="B22" s="7" t="str">
        <f>IFERROR(VLOOKUP(E22,'(新)ASTRO'!$A$3:$J$44,2,0),"")</f>
        <v>12月 </v>
      </c>
      <c r="C22" s="7" t="str">
        <f>IFERROR(VLOOKUP(E22,'(新)ASTRO'!$A$3:$J$44,4,0),"")</f>
        <v>EGBRBT010E </v>
      </c>
      <c r="D22" s="7" t="str">
        <f>IFERROR(VLOOKUP(E22,'(新)ASTRO'!$A$3:$J$44,5,0),"")</f>
        <v> （株）新生工業 </v>
      </c>
      <c r="E22" s="23" t="str">
        <f>'(新)ASTRO'!A23</f>
        <v> TS10100119 </v>
      </c>
      <c r="F22" s="8" t="str">
        <f>IFERROR(VLOOKUP(E22,'(新)ASTRO'!$A$3:$J$44,8,0),"")</f>
        <v>0D9357 </v>
      </c>
      <c r="G22" s="7" t="str">
        <f>IFERROR(VLOOKUP(E22,'(旧)ASTRO'!$A$3:$K$50,10,0),"")</f>
        <v>2026/11/21 </v>
      </c>
      <c r="H22" s="12" t="s">
        <v>60</v>
      </c>
      <c r="I22" s="7" t="str">
        <f>IFERROR(VLOOKUP(E22,'(新)ASTRO'!$A$3:$J$44,10,0),"")</f>
        <v>2026/11/21 </v>
      </c>
      <c r="K22" s="21"/>
    </row>
    <row r="23" spans="1:11" s="19" customFormat="1" ht="13.8" thickBot="1" x14ac:dyDescent="0.2">
      <c r="A23" s="11">
        <v>22</v>
      </c>
      <c r="B23" s="7" t="str">
        <f>IFERROR(VLOOKUP(E23,'(新)ASTRO'!$A$3:$J$44,2,0),"")</f>
        <v>12月 </v>
      </c>
      <c r="C23" s="7" t="str">
        <f>IFERROR(VLOOKUP(E23,'(新)ASTRO'!$A$3:$J$44,4,0),"")</f>
        <v>EGBRBT020E </v>
      </c>
      <c r="D23" s="7" t="str">
        <f>IFERROR(VLOOKUP(E23,'(新)ASTRO'!$A$3:$J$44,5,0),"")</f>
        <v> （株）ヤマイチ </v>
      </c>
      <c r="E23" s="23" t="str">
        <f>'(新)ASTRO'!A24</f>
        <v> 10200060 </v>
      </c>
      <c r="F23" s="8" t="str">
        <f>IFERROR(VLOOKUP(E23,'(新)ASTRO'!$A$3:$J$44,8,0),"")</f>
        <v>0E0422 </v>
      </c>
      <c r="G23" s="7" t="str">
        <f>IFERROR(VLOOKUP(E23,'(旧)ASTRO'!$A$3:$K$50,10,0),"")</f>
        <v>2026/11/24 </v>
      </c>
      <c r="H23" s="12" t="s">
        <v>60</v>
      </c>
      <c r="I23" s="7" t="str">
        <f>IFERROR(VLOOKUP(E23,'(新)ASTRO'!$A$3:$J$44,10,0),"")</f>
        <v>2026/11/24 </v>
      </c>
      <c r="K23" s="21"/>
    </row>
    <row r="24" spans="1:11" s="19" customFormat="1" ht="13.8" thickBot="1" x14ac:dyDescent="0.2">
      <c r="A24" s="11">
        <v>23</v>
      </c>
      <c r="B24" s="7" t="str">
        <f>IFERROR(VLOOKUP(E24,'(新)ASTRO'!$A$3:$J$44,2,0),"")</f>
        <v>12月 </v>
      </c>
      <c r="C24" s="7" t="str">
        <f>IFERROR(VLOOKUP(E24,'(新)ASTRO'!$A$3:$J$44,4,0),"")</f>
        <v>EGBRBT010E </v>
      </c>
      <c r="D24" s="7" t="str">
        <f>IFERROR(VLOOKUP(E24,'(新)ASTRO'!$A$3:$J$44,5,0),"")</f>
        <v> （株）ＳＡＮＭＡＴＳＵ </v>
      </c>
      <c r="E24" s="23" t="str">
        <f>'(新)ASTRO'!A25</f>
        <v> TS10100120 </v>
      </c>
      <c r="F24" s="8" t="str">
        <f>IFERROR(VLOOKUP(E24,'(新)ASTRO'!$A$3:$J$44,8,0),"")</f>
        <v>0D9357 </v>
      </c>
      <c r="G24" s="7" t="str">
        <f>IFERROR(VLOOKUP(E24,'(旧)ASTRO'!$A$3:$K$50,10,0),"")</f>
        <v>2026/11/28 </v>
      </c>
      <c r="H24" s="12" t="s">
        <v>60</v>
      </c>
      <c r="I24" s="7" t="str">
        <f>IFERROR(VLOOKUP(E24,'(新)ASTRO'!$A$3:$J$44,10,0),"")</f>
        <v>2026/11/28 </v>
      </c>
      <c r="K24" s="21"/>
    </row>
    <row r="25" spans="1:11" s="19" customFormat="1" ht="13.8" thickBot="1" x14ac:dyDescent="0.2">
      <c r="A25" s="11">
        <v>24</v>
      </c>
      <c r="B25" s="7" t="str">
        <f>IFERROR(VLOOKUP(E25,'(新)ASTRO'!$A$3:$J$44,2,0),"")</f>
        <v>12月 </v>
      </c>
      <c r="C25" s="7" t="str">
        <f>IFERROR(VLOOKUP(E25,'(新)ASTRO'!$A$3:$J$44,4,0),"")</f>
        <v>EGBRBT010E_EXP </v>
      </c>
      <c r="D25" s="7" t="str">
        <f>IFERROR(VLOOKUP(E25,'(新)ASTRO'!$A$3:$J$44,5,0),"")</f>
        <v> CHINA </v>
      </c>
      <c r="E25" s="23" t="str">
        <f>'(新)ASTRO'!A26</f>
        <v> TS10100121 </v>
      </c>
      <c r="F25" s="8" t="str">
        <f>IFERROR(VLOOKUP(E25,'(新)ASTRO'!$A$3:$J$44,8,0),"")</f>
        <v>0E0421 </v>
      </c>
      <c r="G25" s="7" t="str">
        <f>IFERROR(VLOOKUP(E25,'(旧)ASTRO'!$A$3:$K$50,10,0),"")</f>
        <v>2026/11/28 </v>
      </c>
      <c r="H25" s="12" t="s">
        <v>60</v>
      </c>
      <c r="I25" s="7" t="str">
        <f>IFERROR(VLOOKUP(E25,'(新)ASTRO'!$A$3:$J$44,10,0),"")</f>
        <v>2026/11/28 </v>
      </c>
      <c r="K25" s="21"/>
    </row>
    <row r="26" spans="1:11" s="19" customFormat="1" ht="13.8" thickBot="1" x14ac:dyDescent="0.2">
      <c r="A26" s="11">
        <v>25</v>
      </c>
      <c r="B26" s="7" t="str">
        <f>IFERROR(VLOOKUP(E26,'(新)ASTRO'!$A$3:$J$44,2,0),"")</f>
        <v>12月 </v>
      </c>
      <c r="C26" s="7" t="str">
        <f>IFERROR(VLOOKUP(E26,'(新)ASTRO'!$A$3:$J$44,4,0),"")</f>
        <v>EGBRBT020E.EXP </v>
      </c>
      <c r="D26" s="7" t="str">
        <f>IFERROR(VLOOKUP(E26,'(新)ASTRO'!$A$3:$J$44,5,0),"")</f>
        <v> ＡＭＡＤＡ　ＡＭＥＲＩＣＡ　ＩＮＣ． </v>
      </c>
      <c r="E26" s="23" t="str">
        <f>'(新)ASTRO'!A27</f>
        <v> 10200059 </v>
      </c>
      <c r="F26" s="8" t="str">
        <f>IFERROR(VLOOKUP(E26,'(新)ASTRO'!$A$3:$J$44,8,0),"")</f>
        <v>0E2861 </v>
      </c>
      <c r="G26" s="7" t="str">
        <f>IFERROR(VLOOKUP(E26,'(旧)ASTRO'!$A$3:$K$50,10,0),"")</f>
        <v>2026/12/01 </v>
      </c>
      <c r="H26" s="12" t="s">
        <v>60</v>
      </c>
      <c r="I26" s="7" t="str">
        <f>IFERROR(VLOOKUP(E26,'(新)ASTRO'!$A$3:$J$44,10,0),"")</f>
        <v>2026/12/01 </v>
      </c>
      <c r="K26" s="21"/>
    </row>
    <row r="27" spans="1:11" s="19" customFormat="1" ht="13.8" thickBot="1" x14ac:dyDescent="0.2">
      <c r="A27" s="11">
        <v>26</v>
      </c>
      <c r="B27" s="7" t="str">
        <f>IFERROR(VLOOKUP(E27,'(新)ASTRO'!$A$3:$J$44,2,0),"")</f>
        <v>12月 </v>
      </c>
      <c r="C27" s="7" t="str">
        <f>IFERROR(VLOOKUP(E27,'(新)ASTRO'!$A$3:$J$44,4,0),"")</f>
        <v>EGBRBT010E_EXP </v>
      </c>
      <c r="D27" s="7" t="str">
        <f>IFERROR(VLOOKUP(E27,'(新)ASTRO'!$A$3:$J$44,5,0),"")</f>
        <v> ＡＭＡＤＡ　ＣＡＮＡＤＡ　ＬＴＤ． </v>
      </c>
      <c r="E27" s="23" t="str">
        <f>'(新)ASTRO'!A28</f>
        <v> TS10100122 </v>
      </c>
      <c r="F27" s="8" t="str">
        <f>IFERROR(VLOOKUP(E27,'(新)ASTRO'!$A$3:$J$44,8,0),"")</f>
        <v>0E0421 </v>
      </c>
      <c r="G27" s="7" t="str">
        <f>IFERROR(VLOOKUP(E27,'(旧)ASTRO'!$A$3:$K$50,10,0),"")</f>
        <v>2026/12/04 </v>
      </c>
      <c r="H27" s="12" t="s">
        <v>60</v>
      </c>
      <c r="I27" s="7" t="str">
        <f>IFERROR(VLOOKUP(E27,'(新)ASTRO'!$A$3:$J$44,10,0),"")</f>
        <v>2026/12/04 </v>
      </c>
      <c r="K27" s="21"/>
    </row>
    <row r="28" spans="1:11" s="19" customFormat="1" ht="13.8" thickBot="1" x14ac:dyDescent="0.2">
      <c r="A28" s="11">
        <v>27</v>
      </c>
      <c r="B28" s="7" t="str">
        <f>IFERROR(VLOOKUP(E28,'(新)ASTRO'!$A$3:$J$44,2,0),"")</f>
        <v>01月 </v>
      </c>
      <c r="C28" s="7" t="str">
        <f>IFERROR(VLOOKUP(E28,'(新)ASTRO'!$A$3:$J$44,4,0),"")</f>
        <v>EGBRBT020E.EXP </v>
      </c>
      <c r="D28" s="7" t="str">
        <f>IFERROR(VLOOKUP(E28,'(新)ASTRO'!$A$3:$J$44,5,0),"")</f>
        <v> 【CHINA】昆山栄科 </v>
      </c>
      <c r="E28" s="23" t="str">
        <f>'(新)ASTRO'!A29</f>
        <v> 10200061 </v>
      </c>
      <c r="F28" s="8" t="str">
        <f>IFERROR(VLOOKUP(E28,'(新)ASTRO'!$A$3:$J$44,8,0),"")</f>
        <v>0E2861 </v>
      </c>
      <c r="G28" s="7" t="str">
        <f>IFERROR(VLOOKUP(E28,'(旧)ASTRO'!$A$3:$K$50,10,0),"")</f>
        <v>2026/12/22 </v>
      </c>
      <c r="H28" s="12" t="s">
        <v>60</v>
      </c>
      <c r="I28" s="7" t="str">
        <f>IFERROR(VLOOKUP(E28,'(新)ASTRO'!$A$3:$J$44,10,0),"")</f>
        <v>2026/12/11 </v>
      </c>
    </row>
    <row r="29" spans="1:11" s="19" customFormat="1" ht="13.8" thickBot="1" x14ac:dyDescent="0.2">
      <c r="A29" s="11">
        <v>28</v>
      </c>
      <c r="B29" s="7" t="str">
        <f>IFERROR(VLOOKUP(E29,'(新)ASTRO'!$A$3:$J$44,2,0),"")</f>
        <v>01月 </v>
      </c>
      <c r="C29" s="7" t="str">
        <f>IFERROR(VLOOKUP(E29,'(新)ASTRO'!$A$3:$J$44,4,0),"")</f>
        <v>EGBRBT020E.EXP </v>
      </c>
      <c r="D29" s="7" t="str">
        <f>IFERROR(VLOOKUP(E29,'(新)ASTRO'!$A$3:$J$44,5,0),"")</f>
        <v> 【CHINA】蘇州鉄拓机械 </v>
      </c>
      <c r="E29" s="23" t="str">
        <f>'(新)ASTRO'!A30</f>
        <v> 10200062 </v>
      </c>
      <c r="F29" s="8" t="str">
        <f>IFERROR(VLOOKUP(E29,'(新)ASTRO'!$A$3:$J$44,8,0),"")</f>
        <v>0E2861 </v>
      </c>
      <c r="G29" s="7" t="str">
        <f>IFERROR(VLOOKUP(E29,'(旧)ASTRO'!$A$3:$K$50,10,0),"")</f>
        <v>2027/01/09 </v>
      </c>
      <c r="H29" s="12" t="s">
        <v>60</v>
      </c>
      <c r="I29" s="7" t="str">
        <f>IFERROR(VLOOKUP(E29,'(新)ASTRO'!$A$3:$J$44,10,0),"")</f>
        <v>2026/12/19 </v>
      </c>
    </row>
    <row r="30" spans="1:11" s="19" customFormat="1" ht="13.8" thickBot="1" x14ac:dyDescent="0.2">
      <c r="A30" s="11">
        <v>29</v>
      </c>
      <c r="B30" s="7" t="str">
        <f>IFERROR(VLOOKUP(E30,'(新)ASTRO'!$A$3:$J$44,2,0),"")</f>
        <v>01月 </v>
      </c>
      <c r="C30" s="7" t="str">
        <f>IFERROR(VLOOKUP(E30,'(新)ASTRO'!$A$3:$J$44,4,0),"")</f>
        <v>EGBRBT020E </v>
      </c>
      <c r="D30" s="7" t="str">
        <f>IFERROR(VLOOKUP(E30,'(新)ASTRO'!$A$3:$J$44,5,0),"")</f>
        <v> 太洋工業（株） </v>
      </c>
      <c r="E30" s="23" t="str">
        <f>'(新)ASTRO'!A31</f>
        <v> 10200063 </v>
      </c>
      <c r="F30" s="8" t="str">
        <f>IFERROR(VLOOKUP(E30,'(新)ASTRO'!$A$3:$J$44,8,0),"")</f>
        <v>0E0422 </v>
      </c>
      <c r="G30" s="7" t="str">
        <f>IFERROR(VLOOKUP(E30,'(旧)ASTRO'!$A$3:$K$50,10,0),"")</f>
        <v>2026/12/08 </v>
      </c>
      <c r="H30" s="12" t="s">
        <v>60</v>
      </c>
      <c r="I30" s="7" t="str">
        <f>IFERROR(VLOOKUP(E30,'(新)ASTRO'!$A$3:$J$44,10,0),"")</f>
        <v>2027/01/06 </v>
      </c>
    </row>
    <row r="31" spans="1:11" s="19" customFormat="1" ht="13.8" thickBot="1" x14ac:dyDescent="0.2">
      <c r="A31" s="11">
        <v>30</v>
      </c>
      <c r="B31" s="7" t="str">
        <f>IFERROR(VLOOKUP(E31,'(新)ASTRO'!$A$3:$J$44,2,0),"")</f>
        <v>02月 </v>
      </c>
      <c r="C31" s="7" t="str">
        <f>IFERROR(VLOOKUP(E31,'(新)ASTRO'!$A$3:$J$44,4,0),"")</f>
        <v>EGBRBT080E </v>
      </c>
      <c r="D31" s="7" t="str">
        <f>IFERROR(VLOOKUP(E31,'(新)ASTRO'!$A$3:$J$44,5,0),"")</f>
        <v>  </v>
      </c>
      <c r="E31" s="23" t="str">
        <f>'(新)ASTRO'!A32</f>
        <v>  </v>
      </c>
      <c r="F31" s="8" t="str">
        <f>IFERROR(VLOOKUP(E31,'(新)ASTRO'!$A$3:$J$44,8,0),"")</f>
        <v>0G3682 </v>
      </c>
      <c r="G31" s="7" t="str">
        <f>IFERROR(VLOOKUP(E31,'(旧)ASTRO'!$A$3:$K$50,10,0),"")</f>
        <v>2026/11/01 </v>
      </c>
      <c r="H31" s="12" t="s">
        <v>60</v>
      </c>
      <c r="I31" s="7" t="str">
        <f>IFERROR(VLOOKUP(E31,'(新)ASTRO'!$A$3:$J$44,10,0),"")</f>
        <v>2027/01/12 </v>
      </c>
    </row>
    <row r="32" spans="1:11" s="19" customFormat="1" ht="13.8" thickBot="1" x14ac:dyDescent="0.2">
      <c r="A32" s="11">
        <v>31</v>
      </c>
      <c r="B32" s="7" t="str">
        <f>IFERROR(VLOOKUP(E32,'(新)ASTRO'!$A$3:$J$44,2,0),"")</f>
        <v>02月 </v>
      </c>
      <c r="C32" s="7" t="str">
        <f>IFERROR(VLOOKUP(E32,'(新)ASTRO'!$A$3:$J$44,4,0),"")</f>
        <v>EGBRBT020E </v>
      </c>
      <c r="D32" s="7" t="str">
        <f>IFERROR(VLOOKUP(E32,'(新)ASTRO'!$A$3:$J$44,5,0),"")</f>
        <v>  </v>
      </c>
      <c r="E32" s="23" t="str">
        <f>'(新)ASTRO'!A33</f>
        <v> 10200064 </v>
      </c>
      <c r="F32" s="8" t="str">
        <f>IFERROR(VLOOKUP(E32,'(新)ASTRO'!$A$3:$J$44,8,0),"")</f>
        <v>0E0422 </v>
      </c>
      <c r="G32" s="7" t="str">
        <f>IFERROR(VLOOKUP(E32,'(旧)ASTRO'!$A$3:$K$50,10,0),"")</f>
        <v>2027/01/12 </v>
      </c>
      <c r="H32" s="12" t="s">
        <v>60</v>
      </c>
      <c r="I32" s="7" t="str">
        <f>IFERROR(VLOOKUP(E32,'(新)ASTRO'!$A$3:$J$44,10,0),"")</f>
        <v>2027/01/20 </v>
      </c>
    </row>
    <row r="33" spans="1:9" s="19" customFormat="1" ht="13.8" thickBot="1" x14ac:dyDescent="0.2">
      <c r="A33" s="11">
        <v>32</v>
      </c>
      <c r="B33" s="7" t="str">
        <f>IFERROR(VLOOKUP(E33,'(新)ASTRO'!$A$3:$J$44,2,0),"")</f>
        <v>02月 </v>
      </c>
      <c r="C33" s="7" t="str">
        <f>IFERROR(VLOOKUP(E33,'(新)ASTRO'!$A$3:$J$44,4,0),"")</f>
        <v>EGBRBT020E </v>
      </c>
      <c r="D33" s="7" t="str">
        <f>IFERROR(VLOOKUP(E33,'(新)ASTRO'!$A$3:$J$44,5,0),"")</f>
        <v> （株）アスカ </v>
      </c>
      <c r="E33" s="23" t="str">
        <f>'(新)ASTRO'!A34</f>
        <v> 10200065 </v>
      </c>
      <c r="F33" s="8" t="str">
        <f>IFERROR(VLOOKUP(E33,'(新)ASTRO'!$A$3:$J$44,8,0),"")</f>
        <v>0E0422 </v>
      </c>
      <c r="G33" s="7" t="str">
        <f>IFERROR(VLOOKUP(E33,'(旧)ASTRO'!$A$3:$K$50,10,0),"")</f>
        <v>2027/01/23 </v>
      </c>
      <c r="H33" s="12" t="s">
        <v>60</v>
      </c>
      <c r="I33" s="7" t="str">
        <f>IFERROR(VLOOKUP(E33,'(新)ASTRO'!$A$3:$J$44,10,0),"")</f>
        <v>2027/01/29 </v>
      </c>
    </row>
    <row r="34" spans="1:9" s="19" customFormat="1" ht="13.8" thickBot="1" x14ac:dyDescent="0.2">
      <c r="A34" s="11">
        <v>33</v>
      </c>
      <c r="B34" s="7" t="str">
        <f>IFERROR(VLOOKUP(E34,'(新)ASTRO'!$A$3:$J$44,2,0),"")</f>
        <v>02月 </v>
      </c>
      <c r="C34" s="7" t="str">
        <f>IFERROR(VLOOKUP(E34,'(新)ASTRO'!$A$3:$J$44,4,0),"")</f>
        <v>EGBRBT020E.EXP </v>
      </c>
      <c r="D34" s="7" t="str">
        <f>IFERROR(VLOOKUP(E34,'(新)ASTRO'!$A$3:$J$44,5,0),"")</f>
        <v> アマダアメリカ </v>
      </c>
      <c r="E34" s="23" t="str">
        <f>'(新)ASTRO'!A35</f>
        <v> 10200066 </v>
      </c>
      <c r="F34" s="8" t="str">
        <f>IFERROR(VLOOKUP(E34,'(新)ASTRO'!$A$3:$J$44,8,0),"")</f>
        <v>0E2861 </v>
      </c>
      <c r="G34" s="7" t="str">
        <f>IFERROR(VLOOKUP(E34,'(旧)ASTRO'!$A$3:$K$50,10,0),"")</f>
        <v>2027/02/04 </v>
      </c>
      <c r="H34" s="12" t="s">
        <v>60</v>
      </c>
      <c r="I34" s="7" t="str">
        <f>IFERROR(VLOOKUP(E34,'(新)ASTRO'!$A$3:$J$44,10,0),"")</f>
        <v>2027/02/06 </v>
      </c>
    </row>
    <row r="35" spans="1:9" s="19" customFormat="1" ht="13.8" thickBot="1" x14ac:dyDescent="0.2">
      <c r="A35" s="11">
        <v>34</v>
      </c>
      <c r="B35" s="7" t="str">
        <f>IFERROR(VLOOKUP(E35,'(新)ASTRO'!$A$3:$J$44,2,0),"")</f>
        <v>03月 </v>
      </c>
      <c r="C35" s="7" t="str">
        <f>IFERROR(VLOOKUP(E35,'(新)ASTRO'!$A$3:$J$44,4,0),"")</f>
        <v>EGBRBT020E </v>
      </c>
      <c r="D35" s="7" t="str">
        <f>IFERROR(VLOOKUP(E35,'(新)ASTRO'!$A$3:$J$44,5,0),"")</f>
        <v>  </v>
      </c>
      <c r="E35" s="23" t="str">
        <f>'(新)ASTRO'!A36</f>
        <v> 10200067 </v>
      </c>
      <c r="F35" s="8" t="str">
        <f>IFERROR(VLOOKUP(E35,'(新)ASTRO'!$A$3:$J$44,8,0),"")</f>
        <v>0E0422 </v>
      </c>
      <c r="G35" s="7" t="str">
        <f>IFERROR(VLOOKUP(E35,'(旧)ASTRO'!$A$3:$K$50,10,0),"")</f>
        <v/>
      </c>
      <c r="H35" s="12" t="s">
        <v>60</v>
      </c>
      <c r="I35" s="7" t="str">
        <f>IFERROR(VLOOKUP(E35,'(新)ASTRO'!$A$3:$J$44,10,0),"")</f>
        <v>2027/02/09 </v>
      </c>
    </row>
    <row r="36" spans="1:9" s="19" customFormat="1" ht="13.8" thickBot="1" x14ac:dyDescent="0.2">
      <c r="A36" s="11">
        <v>35</v>
      </c>
      <c r="B36" s="7" t="str">
        <f>IFERROR(VLOOKUP(E36,'(新)ASTRO'!$A$3:$J$44,2,0),"")</f>
        <v>03月 </v>
      </c>
      <c r="C36" s="7" t="str">
        <f>IFERROR(VLOOKUP(E36,'(新)ASTRO'!$A$3:$J$44,4,0),"")</f>
        <v>EGBRBT020E.EXP </v>
      </c>
      <c r="D36" s="7" t="str">
        <f>IFERROR(VLOOKUP(E36,'(新)ASTRO'!$A$3:$J$44,5,0),"")</f>
        <v> 中国 </v>
      </c>
      <c r="E36" s="23" t="str">
        <f>'(新)ASTRO'!A37</f>
        <v> 10200069 </v>
      </c>
      <c r="F36" s="8" t="str">
        <f>IFERROR(VLOOKUP(E36,'(新)ASTRO'!$A$3:$J$44,8,0),"")</f>
        <v>0E2861 </v>
      </c>
      <c r="G36" s="7" t="str">
        <f>IFERROR(VLOOKUP(E36,'(旧)ASTRO'!$A$3:$K$50,10,0),"")</f>
        <v/>
      </c>
      <c r="H36" s="12" t="s">
        <v>60</v>
      </c>
      <c r="I36" s="7" t="str">
        <f>IFERROR(VLOOKUP(E36,'(新)ASTRO'!$A$3:$J$44,10,0),"")</f>
        <v>2027/02/26 </v>
      </c>
    </row>
    <row r="37" spans="1:9" s="19" customFormat="1" ht="13.8" thickBot="1" x14ac:dyDescent="0.2">
      <c r="A37" s="11">
        <v>36</v>
      </c>
      <c r="B37" s="7" t="str">
        <f>IFERROR(VLOOKUP(E37,'(新)ASTRO'!$A$3:$J$44,2,0),"")</f>
        <v>03月 </v>
      </c>
      <c r="C37" s="7" t="str">
        <f>IFERROR(VLOOKUP(E37,'(新)ASTRO'!$A$3:$J$44,4,0),"")</f>
        <v>EGBRBT020E </v>
      </c>
      <c r="D37" s="7" t="str">
        <f>IFERROR(VLOOKUP(E37,'(新)ASTRO'!$A$3:$J$44,5,0),"")</f>
        <v>  </v>
      </c>
      <c r="E37" s="23" t="str">
        <f>'(新)ASTRO'!A38</f>
        <v> 10200068 </v>
      </c>
      <c r="F37" s="8" t="str">
        <f>IFERROR(VLOOKUP(E37,'(新)ASTRO'!$A$3:$J$44,8,0),"")</f>
        <v>0E0422 </v>
      </c>
      <c r="G37" s="7" t="str">
        <f>IFERROR(VLOOKUP(E37,'(旧)ASTRO'!$A$3:$K$50,10,0),"")</f>
        <v/>
      </c>
      <c r="H37" s="12" t="s">
        <v>60</v>
      </c>
      <c r="I37" s="7" t="str">
        <f>IFERROR(VLOOKUP(E37,'(新)ASTRO'!$A$3:$J$44,10,0),"")</f>
        <v>2027/03/12 </v>
      </c>
    </row>
    <row r="38" spans="1:9" s="19" customFormat="1" ht="13.8" thickBot="1" x14ac:dyDescent="0.2">
      <c r="A38" s="11">
        <v>37</v>
      </c>
      <c r="B38" s="7" t="str">
        <f>IFERROR(VLOOKUP(E38,'(新)ASTRO'!$A$3:$J$44,2,0),"")</f>
        <v/>
      </c>
      <c r="C38" s="7" t="str">
        <f>IFERROR(VLOOKUP(E38,'(新)ASTRO'!$A$3:$J$44,4,0),"")</f>
        <v/>
      </c>
      <c r="D38" s="7" t="str">
        <f>IFERROR(VLOOKUP(E38,'(新)ASTRO'!$A$3:$J$44,5,0),"")</f>
        <v/>
      </c>
      <c r="E38" s="23">
        <f>'(新)ASTRO'!A39</f>
        <v>0</v>
      </c>
      <c r="F38" s="8" t="str">
        <f>IFERROR(VLOOKUP(E38,'(新)ASTRO'!$A$3:$J$44,8,0),"")</f>
        <v/>
      </c>
      <c r="G38" s="7" t="str">
        <f>IFERROR(VLOOKUP(E38,'(旧)ASTRO'!$A$3:$K$50,10,0),"")</f>
        <v/>
      </c>
      <c r="H38" s="12" t="s">
        <v>60</v>
      </c>
      <c r="I38" s="7" t="str">
        <f>IFERROR(VLOOKUP(E38,'(新)ASTRO'!$A$3:$J$44,10,0),"")</f>
        <v/>
      </c>
    </row>
    <row r="39" spans="1:9" s="19" customFormat="1" ht="13.8" thickBot="1" x14ac:dyDescent="0.2">
      <c r="A39" s="11">
        <v>38</v>
      </c>
      <c r="B39" s="7" t="str">
        <f>IFERROR(VLOOKUP(E39,'(新)ASTRO'!$A$3:$J$44,2,0),"")</f>
        <v/>
      </c>
      <c r="C39" s="7" t="str">
        <f>IFERROR(VLOOKUP(E39,'(新)ASTRO'!$A$3:$J$44,4,0),"")</f>
        <v/>
      </c>
      <c r="D39" s="7" t="str">
        <f>IFERROR(VLOOKUP(E39,'(新)ASTRO'!$A$3:$J$44,5,0),"")</f>
        <v/>
      </c>
      <c r="E39" s="23">
        <f>'(新)ASTRO'!A40</f>
        <v>0</v>
      </c>
      <c r="F39" s="8" t="str">
        <f>IFERROR(VLOOKUP(E39,'(新)ASTRO'!$A$3:$J$44,8,0),"")</f>
        <v/>
      </c>
      <c r="G39" s="7" t="str">
        <f>IFERROR(VLOOKUP(E39,'(旧)ASTRO'!$A$3:$K$50,10,0),"")</f>
        <v/>
      </c>
      <c r="H39" s="12" t="s">
        <v>60</v>
      </c>
      <c r="I39" s="7" t="str">
        <f>IFERROR(VLOOKUP(E39,'(新)ASTRO'!$A$3:$J$44,10,0),"")</f>
        <v/>
      </c>
    </row>
    <row r="40" spans="1:9" s="19" customFormat="1" ht="13.8" thickBot="1" x14ac:dyDescent="0.2">
      <c r="A40" s="11">
        <v>39</v>
      </c>
      <c r="B40" s="7" t="str">
        <f>IFERROR(VLOOKUP(E40,'(新)ASTRO'!$A$3:$J$44,2,0),"")</f>
        <v/>
      </c>
      <c r="C40" s="7" t="str">
        <f>IFERROR(VLOOKUP(E40,'(新)ASTRO'!$A$3:$J$44,4,0),"")</f>
        <v/>
      </c>
      <c r="D40" s="7" t="str">
        <f>IFERROR(VLOOKUP(E40,'(新)ASTRO'!$A$3:$J$44,5,0),"")</f>
        <v/>
      </c>
      <c r="E40" s="23">
        <f>'(新)ASTRO'!A41</f>
        <v>0</v>
      </c>
      <c r="F40" s="8" t="str">
        <f>IFERROR(VLOOKUP(E40,'(新)ASTRO'!$A$3:$J$44,8,0),"")</f>
        <v/>
      </c>
      <c r="G40" s="7" t="str">
        <f>IFERROR(VLOOKUP(E40,'(旧)ASTRO'!$A$3:$K$50,10,0),"")</f>
        <v/>
      </c>
      <c r="H40" s="12" t="s">
        <v>60</v>
      </c>
      <c r="I40" s="7" t="str">
        <f>IFERROR(VLOOKUP(E40,'(新)ASTRO'!$A$3:$J$44,10,0),"")</f>
        <v/>
      </c>
    </row>
    <row r="41" spans="1:9" s="19" customFormat="1" ht="13.8" thickBot="1" x14ac:dyDescent="0.2">
      <c r="A41" s="11">
        <v>39</v>
      </c>
      <c r="B41" s="7" t="str">
        <f>IFERROR(VLOOKUP(E41,'(新)ASTRO'!$A$3:$J$44,2,0),"")</f>
        <v/>
      </c>
      <c r="C41" s="7" t="str">
        <f>IFERROR(VLOOKUP(E41,'(新)ASTRO'!$A$3:$J$44,4,0),"")</f>
        <v/>
      </c>
      <c r="D41" s="7" t="str">
        <f>IFERROR(VLOOKUP(E41,'(新)ASTRO'!$A$3:$J$44,5,0),"")</f>
        <v/>
      </c>
      <c r="E41" s="23">
        <f>'(新)ASTRO'!A42</f>
        <v>0</v>
      </c>
      <c r="F41" s="8" t="str">
        <f>IFERROR(VLOOKUP(E41,'(新)ASTRO'!$A$3:$J$44,8,0),"")</f>
        <v/>
      </c>
      <c r="G41" s="7" t="str">
        <f>IFERROR(VLOOKUP(E41,'(旧)ASTRO'!$A$3:$K$50,10,0),"")</f>
        <v/>
      </c>
      <c r="H41" s="12" t="s">
        <v>60</v>
      </c>
      <c r="I41" s="7" t="str">
        <f>IFERROR(VLOOKUP(E41,'(新)ASTRO'!$A$3:$J$44,10,0),"")</f>
        <v/>
      </c>
    </row>
    <row r="42" spans="1:9" s="19" customFormat="1" ht="13.8" thickBot="1" x14ac:dyDescent="0.2">
      <c r="A42" s="11">
        <v>39</v>
      </c>
      <c r="B42" s="7" t="str">
        <f>IFERROR(VLOOKUP(E42,'(新)ASTRO'!$A$3:$J$44,2,0),"")</f>
        <v/>
      </c>
      <c r="C42" s="7" t="str">
        <f>IFERROR(VLOOKUP(E42,'(新)ASTRO'!$A$3:$J$44,4,0),"")</f>
        <v/>
      </c>
      <c r="D42" s="7" t="str">
        <f>IFERROR(VLOOKUP(E42,'(新)ASTRO'!$A$3:$J$44,5,0),"")</f>
        <v/>
      </c>
      <c r="E42" s="23">
        <f>'(新)ASTRO'!A43</f>
        <v>0</v>
      </c>
      <c r="F42" s="8" t="str">
        <f>IFERROR(VLOOKUP(E42,'(新)ASTRO'!$A$3:$J$44,8,0),"")</f>
        <v/>
      </c>
      <c r="G42" s="7" t="str">
        <f>IFERROR(VLOOKUP(E42,'(旧)ASTRO'!$A$3:$K$50,10,0),"")</f>
        <v/>
      </c>
      <c r="H42" s="12" t="s">
        <v>60</v>
      </c>
      <c r="I42" s="7" t="str">
        <f>IFERROR(VLOOKUP(E42,'(新)ASTRO'!$A$3:$J$44,10,0),"")</f>
        <v/>
      </c>
    </row>
    <row r="43" spans="1:9" s="19" customFormat="1" ht="13.8" thickBot="1" x14ac:dyDescent="0.2">
      <c r="A43" s="11">
        <v>39</v>
      </c>
      <c r="B43" s="7" t="str">
        <f>IFERROR(VLOOKUP(E43,'(新)ASTRO'!$A$3:$J$44,2,0),"")</f>
        <v/>
      </c>
      <c r="C43" s="7" t="str">
        <f>IFERROR(VLOOKUP(E43,'(新)ASTRO'!$A$3:$J$44,4,0),"")</f>
        <v/>
      </c>
      <c r="D43" s="7" t="str">
        <f>IFERROR(VLOOKUP(E43,'(新)ASTRO'!$A$3:$J$44,5,0),"")</f>
        <v/>
      </c>
      <c r="E43" s="23">
        <f>'(新)ASTRO'!A44</f>
        <v>0</v>
      </c>
      <c r="F43" s="8" t="str">
        <f>IFERROR(VLOOKUP(E43,'(新)ASTRO'!$A$3:$J$44,8,0),"")</f>
        <v/>
      </c>
      <c r="G43" s="7" t="str">
        <f>IFERROR(VLOOKUP(E43,'(旧)ASTRO'!$A$3:$K$50,10,0),"")</f>
        <v/>
      </c>
      <c r="H43" s="12" t="s">
        <v>60</v>
      </c>
      <c r="I43" s="7" t="str">
        <f>IFERROR(VLOOKUP(E43,'(新)ASTRO'!$A$3:$J$44,10,0),"")</f>
        <v/>
      </c>
    </row>
    <row r="44" spans="1:9" s="19" customFormat="1" ht="13.8" thickBot="1" x14ac:dyDescent="0.2">
      <c r="A44" s="11">
        <v>39</v>
      </c>
      <c r="B44" s="7" t="str">
        <f>IFERROR(VLOOKUP(E44,'(新)ASTRO'!$A$3:$J$44,2,0),"")</f>
        <v/>
      </c>
      <c r="C44" s="7" t="str">
        <f>IFERROR(VLOOKUP(E44,'(新)ASTRO'!$A$3:$J$44,4,0),"")</f>
        <v/>
      </c>
      <c r="D44" s="7" t="str">
        <f>IFERROR(VLOOKUP(E44,'(新)ASTRO'!$A$3:$J$44,5,0),"")</f>
        <v/>
      </c>
      <c r="E44" s="23">
        <f>'(新)ASTRO'!A45</f>
        <v>0</v>
      </c>
      <c r="F44" s="8" t="str">
        <f>IFERROR(VLOOKUP(E44,'(新)ASTRO'!$A$3:$J$44,8,0),"")</f>
        <v/>
      </c>
      <c r="G44" s="7" t="str">
        <f>IFERROR(VLOOKUP(E44,'(旧)ASTRO'!$A$3:$K$50,10,0),"")</f>
        <v/>
      </c>
      <c r="H44" s="12" t="s">
        <v>60</v>
      </c>
      <c r="I44" s="7" t="str">
        <f>IFERROR(VLOOKUP(E44,'(新)ASTRO'!$A$3:$J$44,10,0),"")</f>
        <v/>
      </c>
    </row>
    <row r="45" spans="1:9" s="19" customFormat="1" ht="13.8" thickBot="1" x14ac:dyDescent="0.2">
      <c r="A45" s="11">
        <v>39</v>
      </c>
      <c r="B45" s="7" t="str">
        <f>IFERROR(VLOOKUP(E45,'(新)ASTRO'!$A$3:$J$44,2,0),"")</f>
        <v/>
      </c>
      <c r="C45" s="7" t="str">
        <f>IFERROR(VLOOKUP(E45,'(新)ASTRO'!$A$3:$J$44,4,0),"")</f>
        <v/>
      </c>
      <c r="D45" s="7" t="str">
        <f>IFERROR(VLOOKUP(E45,'(新)ASTRO'!$A$3:$J$44,5,0),"")</f>
        <v/>
      </c>
      <c r="E45" s="23">
        <f>'(新)ASTRO'!A46</f>
        <v>0</v>
      </c>
      <c r="F45" s="8" t="str">
        <f>IFERROR(VLOOKUP(E45,'(新)ASTRO'!$A$3:$J$44,8,0),"")</f>
        <v/>
      </c>
      <c r="G45" s="7" t="str">
        <f>IFERROR(VLOOKUP(E45,'(旧)ASTRO'!$A$3:$K$50,10,0),"")</f>
        <v/>
      </c>
      <c r="H45" s="12" t="s">
        <v>60</v>
      </c>
      <c r="I45" s="7" t="str">
        <f>IFERROR(VLOOKUP(E45,'(新)ASTRO'!$A$3:$J$44,10,0),"")</f>
        <v/>
      </c>
    </row>
    <row r="46" spans="1:9" s="19" customFormat="1" ht="13.8" thickBot="1" x14ac:dyDescent="0.2">
      <c r="A46" s="11">
        <v>39</v>
      </c>
      <c r="B46" s="7" t="str">
        <f>IFERROR(VLOOKUP(E46,'(新)ASTRO'!$A$3:$J$44,2,0),"")</f>
        <v/>
      </c>
      <c r="C46" s="7" t="str">
        <f>IFERROR(VLOOKUP(E46,'(新)ASTRO'!$A$3:$J$44,4,0),"")</f>
        <v/>
      </c>
      <c r="D46" s="7" t="str">
        <f>IFERROR(VLOOKUP(E46,'(新)ASTRO'!$A$3:$J$44,5,0),"")</f>
        <v/>
      </c>
      <c r="E46" s="23">
        <f>'(新)ASTRO'!A47</f>
        <v>0</v>
      </c>
      <c r="F46" s="8" t="str">
        <f>IFERROR(VLOOKUP(E46,'(新)ASTRO'!$A$3:$J$44,8,0),"")</f>
        <v/>
      </c>
      <c r="G46" s="7" t="str">
        <f>IFERROR(VLOOKUP(E46,'(旧)ASTRO'!$A$3:$K$50,10,0),"")</f>
        <v/>
      </c>
      <c r="H46" s="12" t="s">
        <v>60</v>
      </c>
      <c r="I46" s="7" t="str">
        <f>IFERROR(VLOOKUP(E46,'(新)ASTRO'!$A$3:$J$44,10,0),"")</f>
        <v/>
      </c>
    </row>
    <row r="47" spans="1:9" s="19" customFormat="1" ht="13.8" thickBot="1" x14ac:dyDescent="0.2">
      <c r="A47" s="11">
        <v>46</v>
      </c>
      <c r="B47" s="7" t="str">
        <f>IFERROR(VLOOKUP(E47,'(新)ASTRO'!$A$3:$J$44,2,0),"")</f>
        <v/>
      </c>
      <c r="C47" s="7" t="str">
        <f>IFERROR(VLOOKUP(E47,'(新)ASTRO'!$A$3:$J$44,4,0),"")</f>
        <v/>
      </c>
      <c r="D47" s="7" t="str">
        <f>IFERROR(VLOOKUP(E47,'(新)ASTRO'!$A$3:$J$44,5,0),"")</f>
        <v/>
      </c>
      <c r="E47" s="23">
        <f>'(新)ASTRO'!A42</f>
        <v>0</v>
      </c>
      <c r="F47" s="8" t="str">
        <f>IFERROR(VLOOKUP(E47,'(新)ASTRO'!$A$3:$J$44,8,0),"")</f>
        <v/>
      </c>
      <c r="G47" s="7" t="str">
        <f>IFERROR(VLOOKUP(E47,'(旧)ASTRO'!$A$3:$K$50,10,0),"")</f>
        <v/>
      </c>
      <c r="H47" s="12" t="s">
        <v>60</v>
      </c>
      <c r="I47" s="7" t="str">
        <f>IFERROR(VLOOKUP(E47,'(新)ASTRO'!$A$3:$J$44,10,0),"")</f>
        <v/>
      </c>
    </row>
    <row r="48" spans="1:9" s="19" customFormat="1" ht="13.8" thickBot="1" x14ac:dyDescent="0.2">
      <c r="A48" s="11">
        <v>47</v>
      </c>
      <c r="B48" s="7" t="str">
        <f>IFERROR(VLOOKUP(E48,'(新)ASTRO'!$A$3:$J$44,2,0),"")</f>
        <v/>
      </c>
      <c r="C48" s="7" t="str">
        <f>IFERROR(VLOOKUP(E48,'(新)ASTRO'!$A$3:$J$44,4,0),"")</f>
        <v/>
      </c>
      <c r="D48" s="7" t="str">
        <f>IFERROR(VLOOKUP(E48,'(新)ASTRO'!$A$3:$J$44,5,0),"")</f>
        <v/>
      </c>
      <c r="E48" s="23">
        <f>'(新)ASTRO'!A43</f>
        <v>0</v>
      </c>
      <c r="F48" s="8" t="str">
        <f>IFERROR(VLOOKUP(E48,'(新)ASTRO'!$A$3:$J$44,8,0),"")</f>
        <v/>
      </c>
      <c r="G48" s="7" t="str">
        <f>IFERROR(VLOOKUP(E48,'(旧)ASTRO'!$A$3:$K$50,10,0),"")</f>
        <v/>
      </c>
      <c r="H48" s="12" t="s">
        <v>60</v>
      </c>
      <c r="I48" s="7" t="str">
        <f>IFERROR(VLOOKUP(E48,'(新)ASTRO'!$A$3:$J$44,10,0),"")</f>
        <v/>
      </c>
    </row>
    <row r="49" spans="1:9" s="19" customFormat="1" ht="13.8" thickBot="1" x14ac:dyDescent="0.2">
      <c r="A49" s="11">
        <v>48</v>
      </c>
      <c r="B49" s="7" t="str">
        <f>IFERROR(VLOOKUP(E49,'(新)ASTRO'!$A$3:$J$44,2,0),"")</f>
        <v/>
      </c>
      <c r="C49" s="7" t="str">
        <f>IFERROR(VLOOKUP(E49,'(新)ASTRO'!$A$3:$J$44,4,0),"")</f>
        <v/>
      </c>
      <c r="D49" s="7" t="str">
        <f>IFERROR(VLOOKUP(E49,'(新)ASTRO'!$A$3:$J$44,5,0),"")</f>
        <v/>
      </c>
      <c r="E49" s="23">
        <f>'(新)ASTRO'!A44</f>
        <v>0</v>
      </c>
      <c r="F49" s="8" t="str">
        <f>IFERROR(VLOOKUP(E49,'(新)ASTRO'!$A$3:$J$44,8,0),"")</f>
        <v/>
      </c>
      <c r="G49" s="7" t="str">
        <f>IFERROR(VLOOKUP(E49,'(旧)ASTRO'!$A$3:$K$50,10,0),"")</f>
        <v/>
      </c>
      <c r="H49" s="12" t="s">
        <v>60</v>
      </c>
      <c r="I49" s="7" t="str">
        <f>IFERROR(VLOOKUP(E49,'(新)ASTRO'!$A$3:$J$44,10,0),"")</f>
        <v/>
      </c>
    </row>
    <row r="50" spans="1:9" s="19" customFormat="1" ht="13.8" thickBot="1" x14ac:dyDescent="0.2">
      <c r="A50" s="11">
        <v>49</v>
      </c>
      <c r="B50" s="7" t="str">
        <f>IFERROR(VLOOKUP(E50,'(新)ASTRO'!$A$3:$J$44,2,0),"")</f>
        <v/>
      </c>
      <c r="C50" s="7" t="str">
        <f>IFERROR(VLOOKUP(E50,'(新)ASTRO'!$A$3:$J$44,4,0),"")</f>
        <v/>
      </c>
      <c r="D50" s="7" t="str">
        <f>IFERROR(VLOOKUP(E50,'(新)ASTRO'!$A$3:$J$44,5,0),"")</f>
        <v/>
      </c>
      <c r="E50" s="23">
        <f>'(新)ASTRO'!A45</f>
        <v>0</v>
      </c>
      <c r="F50" s="8" t="str">
        <f>IFERROR(VLOOKUP(E50,'(新)ASTRO'!$A$3:$J$44,8,0),"")</f>
        <v/>
      </c>
      <c r="G50" s="7" t="str">
        <f>IFERROR(VLOOKUP(E50,'(旧)ASTRO'!$A$3:$K$50,10,0),"")</f>
        <v/>
      </c>
      <c r="H50" s="12" t="s">
        <v>60</v>
      </c>
      <c r="I50" s="7" t="str">
        <f>IFERROR(VLOOKUP(E50,'(新)ASTRO'!$A$3:$J$44,10,0),"")</f>
        <v/>
      </c>
    </row>
    <row r="51" spans="1:9" s="19" customFormat="1" ht="13.8" thickBot="1" x14ac:dyDescent="0.2">
      <c r="A51" s="11">
        <v>50</v>
      </c>
      <c r="B51" s="7" t="str">
        <f>IFERROR(VLOOKUP(E51,'(新)ASTRO'!$A$3:$J$44,2,0),"")</f>
        <v/>
      </c>
      <c r="C51" s="7" t="str">
        <f>IFERROR(VLOOKUP(E51,'(新)ASTRO'!$A$3:$J$44,4,0),"")</f>
        <v/>
      </c>
      <c r="D51" s="7" t="str">
        <f>IFERROR(VLOOKUP(E51,'(新)ASTRO'!$A$3:$J$44,5,0),"")</f>
        <v/>
      </c>
      <c r="E51" s="23">
        <f>'(新)ASTRO'!A46</f>
        <v>0</v>
      </c>
      <c r="F51" s="8" t="str">
        <f>IFERROR(VLOOKUP(E51,'(新)ASTRO'!$A$3:$J$44,8,0),"")</f>
        <v/>
      </c>
      <c r="G51" s="7" t="str">
        <f>IFERROR(VLOOKUP(E51,'(旧)ASTRO'!$A$3:$K$50,10,0),"")</f>
        <v/>
      </c>
      <c r="H51" s="12" t="s">
        <v>60</v>
      </c>
      <c r="I51" s="7" t="str">
        <f>IFERROR(VLOOKUP(E51,'(新)ASTRO'!$A$3:$J$44,10,0),"")</f>
        <v/>
      </c>
    </row>
    <row r="52" spans="1:9" s="19" customFormat="1" ht="13.8" thickBot="1" x14ac:dyDescent="0.2">
      <c r="A52" s="11">
        <v>51</v>
      </c>
      <c r="B52" s="7" t="str">
        <f>IFERROR(VLOOKUP(E52,'(新)ASTRO'!$A$3:$J$44,2,0),"")</f>
        <v/>
      </c>
      <c r="C52" s="7" t="str">
        <f>IFERROR(VLOOKUP(E52,'(新)ASTRO'!$A$3:$J$44,4,0),"")</f>
        <v/>
      </c>
      <c r="D52" s="7" t="str">
        <f>IFERROR(VLOOKUP(E52,'(新)ASTRO'!$A$3:$J$44,5,0),"")</f>
        <v/>
      </c>
      <c r="E52" s="23">
        <f>'(新)ASTRO'!A47</f>
        <v>0</v>
      </c>
      <c r="F52" s="8" t="str">
        <f>IFERROR(VLOOKUP(E52,'(新)ASTRO'!$A$3:$J$44,8,0),"")</f>
        <v/>
      </c>
      <c r="G52" s="7" t="str">
        <f>IFERROR(VLOOKUP(E52,'(旧)ASTRO'!$A$3:$K$50,10,0),"")</f>
        <v/>
      </c>
      <c r="H52" s="12" t="s">
        <v>60</v>
      </c>
      <c r="I52" s="7" t="str">
        <f>IFERROR(VLOOKUP(E52,'(新)ASTRO'!$A$3:$J$44,10,0),"")</f>
        <v/>
      </c>
    </row>
    <row r="53" spans="1:9" s="19" customFormat="1" ht="13.8" thickBot="1" x14ac:dyDescent="0.2">
      <c r="A53" s="11">
        <v>52</v>
      </c>
      <c r="B53" s="7" t="str">
        <f>IFERROR(VLOOKUP(E53,'(新)ASTRO'!$A$3:$J$44,2,0),"")</f>
        <v/>
      </c>
      <c r="C53" s="7" t="str">
        <f>IFERROR(VLOOKUP(E53,'(新)ASTRO'!$A$3:$J$44,4,0),"")</f>
        <v/>
      </c>
      <c r="D53" s="7" t="str">
        <f>IFERROR(VLOOKUP(E53,'(新)ASTRO'!$A$3:$J$44,5,0),"")</f>
        <v/>
      </c>
      <c r="E53" s="23">
        <f>'(新)ASTRO'!A48</f>
        <v>0</v>
      </c>
      <c r="F53" s="8" t="str">
        <f>IFERROR(VLOOKUP(E53,'(新)ASTRO'!$A$3:$J$44,8,0),"")</f>
        <v/>
      </c>
      <c r="G53" s="7" t="str">
        <f>IFERROR(VLOOKUP(E53,'(旧)ASTRO'!$A$3:$K$50,10,0),"")</f>
        <v/>
      </c>
      <c r="H53" s="12" t="s">
        <v>60</v>
      </c>
      <c r="I53" s="7" t="str">
        <f>IFERROR(VLOOKUP(E53,'(新)ASTRO'!$A$3:$J$44,10,0),"")</f>
        <v/>
      </c>
    </row>
    <row r="54" spans="1:9" s="19" customFormat="1" ht="13.8" thickBot="1" x14ac:dyDescent="0.2">
      <c r="A54" s="11">
        <v>53</v>
      </c>
      <c r="B54" s="7" t="str">
        <f>IFERROR(VLOOKUP(E54,'(新)ASTRO'!$A$3:$J$44,2,0),"")</f>
        <v/>
      </c>
      <c r="C54" s="7" t="str">
        <f>IFERROR(VLOOKUP(E54,'(新)ASTRO'!$A$3:$J$44,4,0),"")</f>
        <v/>
      </c>
      <c r="D54" s="7" t="str">
        <f>IFERROR(VLOOKUP(E54,'(新)ASTRO'!$A$3:$J$44,5,0),"")</f>
        <v/>
      </c>
      <c r="E54" s="23">
        <f>'(新)ASTRO'!A49</f>
        <v>0</v>
      </c>
      <c r="F54" s="8" t="str">
        <f>IFERROR(VLOOKUP(E54,'(新)ASTRO'!$A$3:$J$44,8,0),"")</f>
        <v/>
      </c>
      <c r="G54" s="7" t="str">
        <f>IFERROR(VLOOKUP(E54,'(旧)ASTRO'!$A$3:$K$50,10,0),"")</f>
        <v/>
      </c>
      <c r="H54" s="12" t="s">
        <v>60</v>
      </c>
      <c r="I54" s="7" t="str">
        <f>IFERROR(VLOOKUP(E54,'(新)ASTRO'!$A$3:$J$44,10,0),"")</f>
        <v/>
      </c>
    </row>
    <row r="55" spans="1:9" s="19" customFormat="1" ht="13.8" thickBot="1" x14ac:dyDescent="0.2">
      <c r="A55" s="11">
        <v>54</v>
      </c>
      <c r="B55" s="7" t="str">
        <f>IFERROR(VLOOKUP(E55,'(新)ASTRO'!$A$3:$J$44,2,0),"")</f>
        <v/>
      </c>
      <c r="C55" s="7" t="str">
        <f>IFERROR(VLOOKUP(E55,'(新)ASTRO'!$A$3:$J$44,4,0),"")</f>
        <v/>
      </c>
      <c r="D55" s="7" t="str">
        <f>IFERROR(VLOOKUP(E55,'(新)ASTRO'!$A$3:$J$44,5,0),"")</f>
        <v/>
      </c>
      <c r="E55" s="23">
        <f>'(新)ASTRO'!A50</f>
        <v>0</v>
      </c>
      <c r="F55" s="8" t="str">
        <f>IFERROR(VLOOKUP(E55,'(新)ASTRO'!$A$3:$J$44,8,0),"")</f>
        <v/>
      </c>
      <c r="G55" s="7" t="str">
        <f>IFERROR(VLOOKUP(E55,'(旧)ASTRO'!$A$3:$K$50,10,0),"")</f>
        <v/>
      </c>
      <c r="H55" s="12" t="s">
        <v>60</v>
      </c>
      <c r="I55" s="7" t="str">
        <f>IFERROR(VLOOKUP(E55,'(新)ASTRO'!$A$3:$J$44,10,0),"")</f>
        <v/>
      </c>
    </row>
    <row r="56" spans="1:9" s="19" customFormat="1" ht="13.8" thickBot="1" x14ac:dyDescent="0.2">
      <c r="A56" s="11">
        <v>55</v>
      </c>
      <c r="B56" s="7" t="str">
        <f>IFERROR(VLOOKUP(E56,'(新)ASTRO'!$A$3:$J$44,2,0),"")</f>
        <v/>
      </c>
      <c r="C56" s="7" t="str">
        <f>IFERROR(VLOOKUP(E56,'(新)ASTRO'!$A$3:$J$44,4,0),"")</f>
        <v/>
      </c>
      <c r="D56" s="7" t="str">
        <f>IFERROR(VLOOKUP(E56,'(新)ASTRO'!$A$3:$J$44,5,0),"")</f>
        <v/>
      </c>
      <c r="E56" s="23">
        <f>'(新)ASTRO'!A51</f>
        <v>0</v>
      </c>
      <c r="F56" s="8" t="str">
        <f>IFERROR(VLOOKUP(E56,'(新)ASTRO'!$A$3:$J$44,8,0),"")</f>
        <v/>
      </c>
      <c r="G56" s="7" t="str">
        <f>IFERROR(VLOOKUP(E56,'(旧)ASTRO'!$A$3:$K$50,10,0),"")</f>
        <v/>
      </c>
      <c r="H56" s="12" t="s">
        <v>60</v>
      </c>
      <c r="I56" s="7" t="str">
        <f>IFERROR(VLOOKUP(E56,'(新)ASTRO'!$A$3:$J$44,10,0),"")</f>
        <v/>
      </c>
    </row>
    <row r="57" spans="1:9" s="19" customFormat="1" ht="13.8" thickBot="1" x14ac:dyDescent="0.2">
      <c r="A57" s="11">
        <v>56</v>
      </c>
      <c r="B57" s="7" t="str">
        <f>IFERROR(VLOOKUP(E57,'(新)ASTRO'!$A$3:$J$44,2,0),"")</f>
        <v/>
      </c>
      <c r="C57" s="7" t="str">
        <f>IFERROR(VLOOKUP(E57,'(新)ASTRO'!$A$3:$J$44,4,0),"")</f>
        <v/>
      </c>
      <c r="D57" s="7" t="str">
        <f>IFERROR(VLOOKUP(E57,'(新)ASTRO'!$A$3:$J$44,5,0),"")</f>
        <v/>
      </c>
      <c r="E57" s="23">
        <f>'(新)ASTRO'!A52</f>
        <v>0</v>
      </c>
      <c r="F57" s="8" t="str">
        <f>IFERROR(VLOOKUP(E57,'(新)ASTRO'!$A$3:$J$44,8,0),"")</f>
        <v/>
      </c>
      <c r="G57" s="7" t="str">
        <f>IFERROR(VLOOKUP(E57,'(旧)ASTRO'!$A$3:$K$50,10,0),"")</f>
        <v/>
      </c>
      <c r="H57" s="12" t="s">
        <v>60</v>
      </c>
      <c r="I57" s="7" t="str">
        <f>IFERROR(VLOOKUP(E57,'(新)ASTRO'!$A$3:$J$44,10,0),"")</f>
        <v/>
      </c>
    </row>
    <row r="58" spans="1:9" s="19" customFormat="1" ht="13.8" thickBot="1" x14ac:dyDescent="0.2">
      <c r="A58" s="11">
        <v>57</v>
      </c>
      <c r="B58" s="7" t="str">
        <f>IFERROR(VLOOKUP(E58,'(新)ASTRO'!$A$3:$J$44,2,0),"")</f>
        <v/>
      </c>
      <c r="C58" s="7" t="str">
        <f>IFERROR(VLOOKUP(E58,'(新)ASTRO'!$A$3:$J$44,4,0),"")</f>
        <v/>
      </c>
      <c r="D58" s="7" t="str">
        <f>IFERROR(VLOOKUP(E58,'(新)ASTRO'!$A$3:$J$44,5,0),"")</f>
        <v/>
      </c>
      <c r="E58" s="23">
        <f>'(新)ASTRO'!A53</f>
        <v>0</v>
      </c>
      <c r="F58" s="8" t="str">
        <f>IFERROR(VLOOKUP(E58,'(新)ASTRO'!$A$3:$J$44,8,0),"")</f>
        <v/>
      </c>
      <c r="G58" s="7" t="str">
        <f>IFERROR(VLOOKUP(E58,'(旧)ASTRO'!$A$3:$K$50,10,0),"")</f>
        <v/>
      </c>
      <c r="H58" s="12" t="s">
        <v>60</v>
      </c>
      <c r="I58" s="7" t="str">
        <f>IFERROR(VLOOKUP(E58,'(新)ASTRO'!$A$3:$J$44,10,0),"")</f>
        <v/>
      </c>
    </row>
    <row r="59" spans="1:9" s="19" customFormat="1" ht="13.8" thickBot="1" x14ac:dyDescent="0.2">
      <c r="A59" s="11">
        <v>58</v>
      </c>
      <c r="B59" s="7" t="str">
        <f>IFERROR(VLOOKUP(E59,'(新)ASTRO'!$A$3:$J$44,2,0),"")</f>
        <v/>
      </c>
      <c r="C59" s="7" t="str">
        <f>IFERROR(VLOOKUP(E59,'(新)ASTRO'!$A$3:$J$44,4,0),"")</f>
        <v/>
      </c>
      <c r="D59" s="7" t="str">
        <f>IFERROR(VLOOKUP(E59,'(新)ASTRO'!$A$3:$J$44,5,0),"")</f>
        <v/>
      </c>
      <c r="E59" s="23">
        <f>'(新)ASTRO'!A54</f>
        <v>0</v>
      </c>
      <c r="F59" s="8" t="str">
        <f>IFERROR(VLOOKUP(E59,'(新)ASTRO'!$A$3:$J$44,8,0),"")</f>
        <v/>
      </c>
      <c r="G59" s="7" t="str">
        <f>IFERROR(VLOOKUP(E59,'(旧)ASTRO'!$A$3:$K$50,10,0),"")</f>
        <v/>
      </c>
      <c r="H59" s="12" t="s">
        <v>60</v>
      </c>
      <c r="I59" s="7" t="str">
        <f>IFERROR(VLOOKUP(E59,'(新)ASTRO'!$A$3:$J$44,10,0),"")</f>
        <v/>
      </c>
    </row>
    <row r="60" spans="1:9" s="19" customFormat="1" ht="13.8" thickBot="1" x14ac:dyDescent="0.2">
      <c r="A60" s="11">
        <v>59</v>
      </c>
      <c r="B60" s="7" t="str">
        <f>IFERROR(VLOOKUP(E60,'(新)ASTRO'!$A$3:$J$44,2,0),"")</f>
        <v/>
      </c>
      <c r="C60" s="7" t="str">
        <f>IFERROR(VLOOKUP(E60,'(新)ASTRO'!$A$3:$J$44,4,0),"")</f>
        <v/>
      </c>
      <c r="D60" s="7" t="str">
        <f>IFERROR(VLOOKUP(E60,'(新)ASTRO'!$A$3:$J$44,5,0),"")</f>
        <v/>
      </c>
      <c r="E60" s="23">
        <f>'(新)ASTRO'!A55</f>
        <v>0</v>
      </c>
      <c r="F60" s="8" t="str">
        <f>IFERROR(VLOOKUP(E60,'(新)ASTRO'!$A$3:$J$44,8,0),"")</f>
        <v/>
      </c>
      <c r="G60" s="7" t="str">
        <f>IFERROR(VLOOKUP(E60,'(旧)ASTRO'!$A$3:$K$50,10,0),"")</f>
        <v/>
      </c>
      <c r="H60" s="12" t="s">
        <v>60</v>
      </c>
      <c r="I60" s="7" t="str">
        <f>IFERROR(VLOOKUP(E60,'(新)ASTRO'!$A$3:$J$44,10,0),"")</f>
        <v/>
      </c>
    </row>
    <row r="61" spans="1:9" s="19" customFormat="1" ht="13.8" thickBot="1" x14ac:dyDescent="0.2">
      <c r="A61" s="11">
        <v>60</v>
      </c>
      <c r="B61" s="7" t="str">
        <f>IFERROR(VLOOKUP(E61,'(新)ASTRO'!$A$3:$J$44,2,0),"")</f>
        <v/>
      </c>
      <c r="C61" s="7" t="str">
        <f>IFERROR(VLOOKUP(E61,'(新)ASTRO'!$A$3:$J$44,4,0),"")</f>
        <v/>
      </c>
      <c r="D61" s="7" t="str">
        <f>IFERROR(VLOOKUP(E61,'(新)ASTRO'!$A$3:$J$44,5,0),"")</f>
        <v/>
      </c>
      <c r="E61" s="23">
        <f>'(新)ASTRO'!A56</f>
        <v>0</v>
      </c>
      <c r="F61" s="8" t="str">
        <f>IFERROR(VLOOKUP(E61,'(新)ASTRO'!$A$3:$J$44,8,0),"")</f>
        <v/>
      </c>
      <c r="G61" s="7" t="str">
        <f>IFERROR(VLOOKUP(E61,'(旧)ASTRO'!$A$3:$K$50,10,0),"")</f>
        <v/>
      </c>
      <c r="H61" s="12" t="s">
        <v>60</v>
      </c>
      <c r="I61" s="7" t="str">
        <f>IFERROR(VLOOKUP(E61,'(新)ASTRO'!$A$3:$J$44,10,0),"")</f>
        <v/>
      </c>
    </row>
    <row r="62" spans="1:9" s="19" customFormat="1" ht="13.8" thickBot="1" x14ac:dyDescent="0.2">
      <c r="A62" s="11">
        <v>61</v>
      </c>
      <c r="B62" s="7" t="str">
        <f>IFERROR(VLOOKUP(E62,'(新)ASTRO'!$A$3:$J$44,2,0),"")</f>
        <v/>
      </c>
      <c r="C62" s="7" t="str">
        <f>IFERROR(VLOOKUP(E62,'(新)ASTRO'!$A$3:$J$44,4,0),"")</f>
        <v/>
      </c>
      <c r="D62" s="7" t="str">
        <f>IFERROR(VLOOKUP(E62,'(新)ASTRO'!$A$3:$J$44,5,0),"")</f>
        <v/>
      </c>
      <c r="E62" s="23">
        <f>'(新)ASTRO'!A57</f>
        <v>0</v>
      </c>
      <c r="F62" s="8" t="str">
        <f>IFERROR(VLOOKUP(E62,'(新)ASTRO'!$A$3:$J$44,8,0),"")</f>
        <v/>
      </c>
      <c r="G62" s="7" t="str">
        <f>IFERROR(VLOOKUP(E62,'(旧)ASTRO'!$A$3:$K$50,10,0),"")</f>
        <v/>
      </c>
      <c r="H62" s="12" t="s">
        <v>60</v>
      </c>
      <c r="I62" s="7" t="str">
        <f>IFERROR(VLOOKUP(E62,'(新)ASTRO'!$A$3:$J$44,10,0),"")</f>
        <v/>
      </c>
    </row>
    <row r="63" spans="1:9" s="19" customFormat="1" ht="13.8" thickBot="1" x14ac:dyDescent="0.2">
      <c r="A63" s="11">
        <v>62</v>
      </c>
      <c r="B63" s="7" t="str">
        <f>IFERROR(VLOOKUP(E63,'(新)ASTRO'!$A$3:$J$44,2,0),"")</f>
        <v/>
      </c>
      <c r="C63" s="7" t="str">
        <f>IFERROR(VLOOKUP(E63,'(新)ASTRO'!$A$3:$J$44,4,0),"")</f>
        <v/>
      </c>
      <c r="D63" s="7" t="str">
        <f>IFERROR(VLOOKUP(E63,'(新)ASTRO'!$A$3:$J$44,5,0),"")</f>
        <v/>
      </c>
      <c r="E63" s="23">
        <f>'(新)ASTRO'!A58</f>
        <v>0</v>
      </c>
      <c r="F63" s="8" t="str">
        <f>IFERROR(VLOOKUP(E63,'(新)ASTRO'!$A$3:$J$44,8,0),"")</f>
        <v/>
      </c>
      <c r="G63" s="7" t="str">
        <f>IFERROR(VLOOKUP(E63,'(旧)ASTRO'!$A$3:$K$50,10,0),"")</f>
        <v/>
      </c>
      <c r="H63" s="12" t="s">
        <v>60</v>
      </c>
      <c r="I63" s="7" t="str">
        <f>IFERROR(VLOOKUP(E63,'(新)ASTRO'!$A$3:$J$44,10,0),"")</f>
        <v/>
      </c>
    </row>
    <row r="64" spans="1:9" s="19" customFormat="1" ht="13.8" thickBot="1" x14ac:dyDescent="0.2">
      <c r="A64" s="11">
        <v>63</v>
      </c>
      <c r="B64" s="7" t="str">
        <f>IFERROR(VLOOKUP(E64,'(新)ASTRO'!$A$3:$J$44,2,0),"")</f>
        <v/>
      </c>
      <c r="C64" s="7" t="str">
        <f>IFERROR(VLOOKUP(E64,'(新)ASTRO'!$A$3:$J$44,4,0),"")</f>
        <v/>
      </c>
      <c r="D64" s="7" t="str">
        <f>IFERROR(VLOOKUP(E64,'(新)ASTRO'!$A$3:$J$44,5,0),"")</f>
        <v/>
      </c>
      <c r="E64" s="23">
        <f>'(新)ASTRO'!A59</f>
        <v>0</v>
      </c>
      <c r="F64" s="8" t="str">
        <f>IFERROR(VLOOKUP(E64,'(新)ASTRO'!$A$3:$J$44,8,0),"")</f>
        <v/>
      </c>
      <c r="G64" s="7" t="str">
        <f>IFERROR(VLOOKUP(E64,'(旧)ASTRO'!$A$3:$K$50,10,0),"")</f>
        <v/>
      </c>
      <c r="H64" s="12" t="s">
        <v>60</v>
      </c>
      <c r="I64" s="7" t="str">
        <f>IFERROR(VLOOKUP(E64,'(新)ASTRO'!$A$3:$J$44,10,0),"")</f>
        <v/>
      </c>
    </row>
    <row r="65" spans="1:9" s="19" customFormat="1" ht="13.8" thickBot="1" x14ac:dyDescent="0.2">
      <c r="A65" s="11">
        <v>64</v>
      </c>
      <c r="B65" s="7" t="str">
        <f>IFERROR(VLOOKUP(E65,'(新)ASTRO'!$A$3:$J$44,2,0),"")</f>
        <v/>
      </c>
      <c r="C65" s="7" t="str">
        <f>IFERROR(VLOOKUP(E65,'(新)ASTRO'!$A$3:$J$44,4,0),"")</f>
        <v/>
      </c>
      <c r="D65" s="7" t="str">
        <f>IFERROR(VLOOKUP(E65,'(新)ASTRO'!$A$3:$J$44,5,0),"")</f>
        <v/>
      </c>
      <c r="E65" s="23">
        <f>'(新)ASTRO'!A60</f>
        <v>0</v>
      </c>
      <c r="F65" s="8" t="str">
        <f>IFERROR(VLOOKUP(E65,'(新)ASTRO'!$A$3:$J$44,8,0),"")</f>
        <v/>
      </c>
      <c r="G65" s="7" t="str">
        <f>IFERROR(VLOOKUP(E65,'(旧)ASTRO'!$A$3:$K$50,10,0),"")</f>
        <v/>
      </c>
      <c r="H65" s="12" t="s">
        <v>60</v>
      </c>
      <c r="I65" s="7" t="str">
        <f>IFERROR(VLOOKUP(E65,'(新)ASTRO'!$A$3:$J$44,10,0),"")</f>
        <v/>
      </c>
    </row>
    <row r="66" spans="1:9" s="19" customFormat="1" ht="13.8" thickBot="1" x14ac:dyDescent="0.2">
      <c r="A66" s="11">
        <v>65</v>
      </c>
      <c r="B66" s="7" t="str">
        <f>IFERROR(VLOOKUP(E66,'(新)ASTRO'!$A$3:$J$44,2,0),"")</f>
        <v/>
      </c>
      <c r="C66" s="7" t="str">
        <f>IFERROR(VLOOKUP(E66,'(新)ASTRO'!$A$3:$J$44,4,0),"")</f>
        <v/>
      </c>
      <c r="D66" s="7" t="str">
        <f>IFERROR(VLOOKUP(E66,'(新)ASTRO'!$A$3:$J$44,5,0),"")</f>
        <v/>
      </c>
      <c r="E66" s="23">
        <f>'(新)ASTRO'!A61</f>
        <v>0</v>
      </c>
      <c r="F66" s="8" t="str">
        <f>IFERROR(VLOOKUP(E66,'(新)ASTRO'!$A$3:$J$44,8,0),"")</f>
        <v/>
      </c>
      <c r="G66" s="7" t="str">
        <f>IFERROR(VLOOKUP(E66,'(旧)ASTRO'!$A$3:$K$50,10,0),"")</f>
        <v/>
      </c>
      <c r="H66" s="12" t="s">
        <v>60</v>
      </c>
      <c r="I66" s="7" t="str">
        <f>IFERROR(VLOOKUP(E66,'(新)ASTRO'!$A$3:$J$44,10,0),"")</f>
        <v/>
      </c>
    </row>
    <row r="67" spans="1:9" s="19" customFormat="1" ht="13.8" thickBot="1" x14ac:dyDescent="0.2">
      <c r="A67" s="11">
        <v>66</v>
      </c>
      <c r="B67" s="7" t="str">
        <f>IFERROR(VLOOKUP(E67,'(新)ASTRO'!$A$3:$J$44,2,0),"")</f>
        <v/>
      </c>
      <c r="C67" s="7" t="str">
        <f>IFERROR(VLOOKUP(E67,'(新)ASTRO'!$A$3:$J$44,4,0),"")</f>
        <v/>
      </c>
      <c r="D67" s="7" t="str">
        <f>IFERROR(VLOOKUP(E67,'(新)ASTRO'!$A$3:$J$44,5,0),"")</f>
        <v/>
      </c>
      <c r="E67" s="23">
        <f>'(新)ASTRO'!A62</f>
        <v>0</v>
      </c>
      <c r="F67" s="8" t="str">
        <f>IFERROR(VLOOKUP(E67,'(新)ASTRO'!$A$3:$J$44,8,0),"")</f>
        <v/>
      </c>
      <c r="G67" s="7" t="str">
        <f>IFERROR(VLOOKUP(E67,'(旧)ASTRO'!$A$3:$K$50,10,0),"")</f>
        <v/>
      </c>
      <c r="H67" s="12" t="s">
        <v>60</v>
      </c>
      <c r="I67" s="7" t="str">
        <f>IFERROR(VLOOKUP(E67,'(新)ASTRO'!$A$3:$J$44,10,0),"")</f>
        <v/>
      </c>
    </row>
    <row r="68" spans="1:9" s="19" customFormat="1" ht="13.8" thickBot="1" x14ac:dyDescent="0.2">
      <c r="A68" s="11">
        <v>67</v>
      </c>
      <c r="B68" s="7" t="str">
        <f>IFERROR(VLOOKUP(E68,'(新)ASTRO'!$A$3:$J$44,2,0),"")</f>
        <v/>
      </c>
      <c r="C68" s="7" t="str">
        <f>IFERROR(VLOOKUP(E68,'(新)ASTRO'!$A$3:$J$44,4,0),"")</f>
        <v/>
      </c>
      <c r="D68" s="7" t="str">
        <f>IFERROR(VLOOKUP(E68,'(新)ASTRO'!$A$3:$J$44,5,0),"")</f>
        <v/>
      </c>
      <c r="E68" s="23">
        <f>'(新)ASTRO'!A63</f>
        <v>0</v>
      </c>
      <c r="F68" s="8" t="str">
        <f>IFERROR(VLOOKUP(E68,'(新)ASTRO'!$A$3:$J$44,8,0),"")</f>
        <v/>
      </c>
      <c r="G68" s="7" t="str">
        <f>IFERROR(VLOOKUP(E68,'(旧)ASTRO'!$A$3:$K$50,10,0),"")</f>
        <v/>
      </c>
      <c r="H68" s="12" t="s">
        <v>60</v>
      </c>
      <c r="I68" s="7" t="str">
        <f>IFERROR(VLOOKUP(E68,'(新)ASTRO'!$A$3:$J$44,10,0),"")</f>
        <v/>
      </c>
    </row>
    <row r="69" spans="1:9" s="19" customFormat="1" ht="13.8" thickBot="1" x14ac:dyDescent="0.2">
      <c r="A69" s="11">
        <v>68</v>
      </c>
      <c r="B69" s="7" t="str">
        <f>IFERROR(VLOOKUP(E69,'(新)ASTRO'!$A$3:$J$44,2,0),"")</f>
        <v/>
      </c>
      <c r="C69" s="7" t="str">
        <f>IFERROR(VLOOKUP(E69,'(新)ASTRO'!$A$3:$J$44,4,0),"")</f>
        <v/>
      </c>
      <c r="D69" s="7" t="str">
        <f>IFERROR(VLOOKUP(E69,'(新)ASTRO'!$A$3:$J$44,5,0),"")</f>
        <v/>
      </c>
      <c r="E69" s="23">
        <f>'(新)ASTRO'!A64</f>
        <v>0</v>
      </c>
      <c r="F69" s="8" t="str">
        <f>IFERROR(VLOOKUP(E69,'(新)ASTRO'!$A$3:$J$44,8,0),"")</f>
        <v/>
      </c>
      <c r="G69" s="7" t="str">
        <f>IFERROR(VLOOKUP(E69,'(旧)ASTRO'!$A$3:$K$50,10,0),"")</f>
        <v/>
      </c>
      <c r="H69" s="12" t="s">
        <v>60</v>
      </c>
      <c r="I69" s="7" t="str">
        <f>IFERROR(VLOOKUP(E69,'(新)ASTRO'!$A$3:$J$44,10,0),"")</f>
        <v/>
      </c>
    </row>
    <row r="70" spans="1:9" s="19" customFormat="1" ht="13.8" thickBot="1" x14ac:dyDescent="0.2">
      <c r="A70" s="11">
        <v>69</v>
      </c>
      <c r="B70" s="7" t="str">
        <f>IFERROR(VLOOKUP(E70,'(新)ASTRO'!$A$3:$J$44,2,0),"")</f>
        <v/>
      </c>
      <c r="C70" s="7" t="str">
        <f>IFERROR(VLOOKUP(E70,'(新)ASTRO'!$A$3:$J$44,4,0),"")</f>
        <v/>
      </c>
      <c r="D70" s="7" t="str">
        <f>IFERROR(VLOOKUP(E70,'(新)ASTRO'!$A$3:$J$44,5,0),"")</f>
        <v/>
      </c>
      <c r="E70" s="23">
        <f>'(新)ASTRO'!A65</f>
        <v>0</v>
      </c>
      <c r="F70" s="8" t="str">
        <f>IFERROR(VLOOKUP(E70,'(新)ASTRO'!$A$3:$J$44,8,0),"")</f>
        <v/>
      </c>
      <c r="G70" s="7" t="str">
        <f>IFERROR(VLOOKUP(E70,'(旧)ASTRO'!$A$3:$K$50,10,0),"")</f>
        <v/>
      </c>
      <c r="H70" s="12" t="s">
        <v>60</v>
      </c>
      <c r="I70" s="7" t="str">
        <f>IFERROR(VLOOKUP(E70,'(新)ASTRO'!$A$3:$J$44,10,0),"")</f>
        <v/>
      </c>
    </row>
    <row r="71" spans="1:9" s="19" customFormat="1" ht="13.8" thickBot="1" x14ac:dyDescent="0.2">
      <c r="A71" s="11">
        <v>70</v>
      </c>
      <c r="B71" s="7" t="str">
        <f>IFERROR(VLOOKUP(E71,'(新)ASTRO'!$A$3:$J$44,2,0),"")</f>
        <v/>
      </c>
      <c r="C71" s="7" t="str">
        <f>IFERROR(VLOOKUP(E71,'(新)ASTRO'!$A$3:$J$44,4,0),"")</f>
        <v/>
      </c>
      <c r="D71" s="7" t="str">
        <f>IFERROR(VLOOKUP(E71,'(新)ASTRO'!$A$3:$J$44,5,0),"")</f>
        <v/>
      </c>
      <c r="E71" s="23">
        <f>'(新)ASTRO'!A66</f>
        <v>0</v>
      </c>
      <c r="F71" s="8" t="str">
        <f>IFERROR(VLOOKUP(E71,'(新)ASTRO'!$A$3:$J$44,8,0),"")</f>
        <v/>
      </c>
      <c r="G71" s="7" t="str">
        <f>IFERROR(VLOOKUP(E71,'(旧)ASTRO'!$A$3:$K$50,10,0),"")</f>
        <v/>
      </c>
      <c r="H71" s="12" t="s">
        <v>60</v>
      </c>
      <c r="I71" s="7" t="str">
        <f>IFERROR(VLOOKUP(E71,'(新)ASTRO'!$A$3:$J$44,10,0),"")</f>
        <v/>
      </c>
    </row>
    <row r="72" spans="1:9" s="19" customFormat="1" ht="13.8" thickBot="1" x14ac:dyDescent="0.2">
      <c r="A72" s="11">
        <v>71</v>
      </c>
      <c r="B72" s="7" t="str">
        <f>IFERROR(VLOOKUP(E72,'(新)ASTRO'!$A$3:$J$44,2,0),"")</f>
        <v/>
      </c>
      <c r="C72" s="7" t="str">
        <f>IFERROR(VLOOKUP(E72,'(新)ASTRO'!$A$3:$J$44,4,0),"")</f>
        <v/>
      </c>
      <c r="D72" s="7" t="str">
        <f>IFERROR(VLOOKUP(E72,'(新)ASTRO'!$A$3:$J$44,5,0),"")</f>
        <v/>
      </c>
      <c r="E72" s="23">
        <f>'(新)ASTRO'!A67</f>
        <v>0</v>
      </c>
      <c r="F72" s="8" t="str">
        <f>IFERROR(VLOOKUP(E72,'(新)ASTRO'!$A$3:$J$44,8,0),"")</f>
        <v/>
      </c>
      <c r="G72" s="7" t="str">
        <f>IFERROR(VLOOKUP(E72,'(旧)ASTRO'!$A$3:$K$50,10,0),"")</f>
        <v/>
      </c>
      <c r="H72" s="12" t="s">
        <v>60</v>
      </c>
      <c r="I72" s="7" t="str">
        <f>IFERROR(VLOOKUP(E72,'(新)ASTRO'!$A$3:$J$44,10,0),"")</f>
        <v/>
      </c>
    </row>
    <row r="73" spans="1:9" s="19" customFormat="1" ht="13.8" thickBot="1" x14ac:dyDescent="0.2">
      <c r="A73" s="11">
        <v>72</v>
      </c>
      <c r="B73" s="7" t="str">
        <f>IFERROR(VLOOKUP(E73,'(新)ASTRO'!$A$3:$J$44,2,0),"")</f>
        <v/>
      </c>
      <c r="C73" s="7" t="str">
        <f>IFERROR(VLOOKUP(E73,'(新)ASTRO'!$A$3:$J$44,4,0),"")</f>
        <v/>
      </c>
      <c r="D73" s="7" t="str">
        <f>IFERROR(VLOOKUP(E73,'(新)ASTRO'!$A$3:$J$44,5,0),"")</f>
        <v/>
      </c>
      <c r="E73" s="23">
        <f>'(新)ASTRO'!A68</f>
        <v>0</v>
      </c>
      <c r="F73" s="8" t="str">
        <f>IFERROR(VLOOKUP(E73,'(新)ASTRO'!$A$3:$J$44,8,0),"")</f>
        <v/>
      </c>
      <c r="G73" s="7" t="str">
        <f>IFERROR(VLOOKUP(E73,'(旧)ASTRO'!$A$3:$K$50,10,0),"")</f>
        <v/>
      </c>
      <c r="H73" s="12" t="s">
        <v>60</v>
      </c>
      <c r="I73" s="7" t="str">
        <f>IFERROR(VLOOKUP(E73,'(新)ASTRO'!$A$3:$J$44,10,0),"")</f>
        <v/>
      </c>
    </row>
    <row r="74" spans="1:9" s="19" customFormat="1" ht="13.8" thickBot="1" x14ac:dyDescent="0.2">
      <c r="A74" s="11">
        <v>73</v>
      </c>
      <c r="B74" s="7" t="str">
        <f>IFERROR(VLOOKUP(E74,'(新)ASTRO'!$A$3:$J$44,2,0),"")</f>
        <v/>
      </c>
      <c r="C74" s="7" t="str">
        <f>IFERROR(VLOOKUP(E74,'(新)ASTRO'!$A$3:$J$44,4,0),"")</f>
        <v/>
      </c>
      <c r="D74" s="7" t="str">
        <f>IFERROR(VLOOKUP(E74,'(新)ASTRO'!$A$3:$J$44,5,0),"")</f>
        <v/>
      </c>
      <c r="E74" s="23">
        <f>'(新)ASTRO'!A69</f>
        <v>0</v>
      </c>
      <c r="F74" s="8" t="str">
        <f>IFERROR(VLOOKUP(E74,'(新)ASTRO'!$A$3:$J$44,8,0),"")</f>
        <v/>
      </c>
      <c r="G74" s="7" t="str">
        <f>IFERROR(VLOOKUP(E74,'(旧)ASTRO'!$A$3:$K$50,10,0),"")</f>
        <v/>
      </c>
      <c r="H74" s="12" t="s">
        <v>60</v>
      </c>
      <c r="I74" s="7" t="str">
        <f>IFERROR(VLOOKUP(E74,'(新)ASTRO'!$A$3:$J$44,10,0),"")</f>
        <v/>
      </c>
    </row>
    <row r="75" spans="1:9" s="19" customFormat="1" ht="13.8" thickBot="1" x14ac:dyDescent="0.2">
      <c r="A75" s="11">
        <v>74</v>
      </c>
      <c r="B75" s="7" t="str">
        <f>IFERROR(VLOOKUP(E75,'(新)ASTRO'!$A$3:$J$44,2,0),"")</f>
        <v/>
      </c>
      <c r="C75" s="7" t="str">
        <f>IFERROR(VLOOKUP(E75,'(新)ASTRO'!$A$3:$J$44,4,0),"")</f>
        <v/>
      </c>
      <c r="D75" s="7" t="str">
        <f>IFERROR(VLOOKUP(E75,'(新)ASTRO'!$A$3:$J$44,5,0),"")</f>
        <v/>
      </c>
      <c r="E75" s="23">
        <f>'(新)ASTRO'!A70</f>
        <v>0</v>
      </c>
      <c r="F75" s="8" t="str">
        <f>IFERROR(VLOOKUP(E75,'(新)ASTRO'!$A$3:$J$44,8,0),"")</f>
        <v/>
      </c>
      <c r="G75" s="7" t="str">
        <f>IFERROR(VLOOKUP(E75,'(旧)ASTRO'!$A$3:$K$50,10,0),"")</f>
        <v/>
      </c>
      <c r="H75" s="12" t="s">
        <v>60</v>
      </c>
      <c r="I75" s="7" t="str">
        <f>IFERROR(VLOOKUP(E75,'(新)ASTRO'!$A$3:$J$44,10,0),"")</f>
        <v/>
      </c>
    </row>
    <row r="76" spans="1:9" s="19" customFormat="1" ht="13.8" thickBot="1" x14ac:dyDescent="0.2">
      <c r="A76" s="11">
        <v>75</v>
      </c>
      <c r="B76" s="7" t="str">
        <f>IFERROR(VLOOKUP(E76,'(新)ASTRO'!$A$3:$J$44,2,0),"")</f>
        <v/>
      </c>
      <c r="C76" s="7" t="str">
        <f>IFERROR(VLOOKUP(E76,'(新)ASTRO'!$A$3:$J$44,4,0),"")</f>
        <v/>
      </c>
      <c r="D76" s="7" t="str">
        <f>IFERROR(VLOOKUP(E76,'(新)ASTRO'!$A$3:$J$44,5,0),"")</f>
        <v/>
      </c>
      <c r="E76" s="23">
        <f>'(新)ASTRO'!A71</f>
        <v>0</v>
      </c>
      <c r="F76" s="8" t="str">
        <f>IFERROR(VLOOKUP(E76,'(新)ASTRO'!$A$3:$J$44,8,0),"")</f>
        <v/>
      </c>
      <c r="G76" s="7" t="str">
        <f>IFERROR(VLOOKUP(E76,'(旧)ASTRO'!$A$3:$K$50,10,0),"")</f>
        <v/>
      </c>
      <c r="H76" s="12" t="s">
        <v>60</v>
      </c>
      <c r="I76" s="7" t="str">
        <f>IFERROR(VLOOKUP(E76,'(新)ASTRO'!$A$3:$J$44,10,0),"")</f>
        <v/>
      </c>
    </row>
    <row r="77" spans="1:9" s="19" customFormat="1" ht="13.8" thickBot="1" x14ac:dyDescent="0.2">
      <c r="A77" s="11">
        <v>76</v>
      </c>
      <c r="B77" s="7" t="str">
        <f>IFERROR(VLOOKUP(E77,'(新)ASTRO'!$A$3:$J$44,2,0),"")</f>
        <v/>
      </c>
      <c r="C77" s="7" t="str">
        <f>IFERROR(VLOOKUP(E77,'(新)ASTRO'!$A$3:$J$44,4,0),"")</f>
        <v/>
      </c>
      <c r="D77" s="7" t="str">
        <f>IFERROR(VLOOKUP(E77,'(新)ASTRO'!$A$3:$J$44,5,0),"")</f>
        <v/>
      </c>
      <c r="E77" s="23">
        <f>'(新)ASTRO'!A72</f>
        <v>0</v>
      </c>
      <c r="F77" s="8" t="str">
        <f>IFERROR(VLOOKUP(E77,'(新)ASTRO'!$A$3:$J$44,8,0),"")</f>
        <v/>
      </c>
      <c r="G77" s="7" t="str">
        <f>IFERROR(VLOOKUP(E77,'(旧)ASTRO'!$A$3:$K$50,10,0),"")</f>
        <v/>
      </c>
      <c r="H77" s="12" t="s">
        <v>60</v>
      </c>
      <c r="I77" s="7" t="str">
        <f>IFERROR(VLOOKUP(E77,'(新)ASTRO'!$A$3:$J$44,10,0),"")</f>
        <v/>
      </c>
    </row>
    <row r="78" spans="1:9" s="19" customFormat="1" ht="13.8" thickBot="1" x14ac:dyDescent="0.2">
      <c r="A78" s="11">
        <v>77</v>
      </c>
      <c r="B78" s="7" t="str">
        <f>IFERROR(VLOOKUP(E78,'(新)ASTRO'!$A$3:$J$44,2,0),"")</f>
        <v/>
      </c>
      <c r="C78" s="7" t="str">
        <f>IFERROR(VLOOKUP(E78,'(新)ASTRO'!$A$3:$J$44,4,0),"")</f>
        <v/>
      </c>
      <c r="D78" s="7" t="str">
        <f>IFERROR(VLOOKUP(E78,'(新)ASTRO'!$A$3:$J$44,5,0),"")</f>
        <v/>
      </c>
      <c r="E78" s="23">
        <f>'(新)ASTRO'!A73</f>
        <v>0</v>
      </c>
      <c r="F78" s="8" t="str">
        <f>IFERROR(VLOOKUP(E78,'(新)ASTRO'!$A$3:$J$44,8,0),"")</f>
        <v/>
      </c>
      <c r="G78" s="7" t="str">
        <f>IFERROR(VLOOKUP(E78,'(旧)ASTRO'!$A$3:$K$50,10,0),"")</f>
        <v/>
      </c>
      <c r="H78" s="12" t="s">
        <v>60</v>
      </c>
      <c r="I78" s="7" t="str">
        <f>IFERROR(VLOOKUP(E78,'(新)ASTRO'!$A$3:$J$44,10,0),"")</f>
        <v/>
      </c>
    </row>
    <row r="79" spans="1:9" s="19" customFormat="1" ht="13.8" thickBot="1" x14ac:dyDescent="0.2">
      <c r="A79" s="11">
        <v>78</v>
      </c>
      <c r="B79" s="7" t="str">
        <f>IFERROR(VLOOKUP(E79,'(新)ASTRO'!$A$3:$J$44,2,0),"")</f>
        <v/>
      </c>
      <c r="C79" s="7" t="str">
        <f>IFERROR(VLOOKUP(E79,'(新)ASTRO'!$A$3:$J$44,4,0),"")</f>
        <v/>
      </c>
      <c r="D79" s="7" t="str">
        <f>IFERROR(VLOOKUP(E79,'(新)ASTRO'!$A$3:$J$44,5,0),"")</f>
        <v/>
      </c>
      <c r="E79" s="23">
        <f>'(新)ASTRO'!A74</f>
        <v>0</v>
      </c>
      <c r="F79" s="8" t="str">
        <f>IFERROR(VLOOKUP(E79,'(新)ASTRO'!$A$3:$J$44,8,0),"")</f>
        <v/>
      </c>
      <c r="G79" s="7" t="str">
        <f>IFERROR(VLOOKUP(E79,'(旧)ASTRO'!$A$3:$K$50,10,0),"")</f>
        <v/>
      </c>
      <c r="H79" s="12" t="s">
        <v>60</v>
      </c>
      <c r="I79" s="7" t="str">
        <f>IFERROR(VLOOKUP(E79,'(新)ASTRO'!$A$3:$J$44,10,0),"")</f>
        <v/>
      </c>
    </row>
    <row r="80" spans="1:9" s="19" customFormat="1" ht="13.8" thickBot="1" x14ac:dyDescent="0.2">
      <c r="A80" s="11">
        <v>79</v>
      </c>
      <c r="B80" s="7" t="str">
        <f>IFERROR(VLOOKUP(E80,'(新)ASTRO'!$A$3:$J$44,2,0),"")</f>
        <v/>
      </c>
      <c r="C80" s="7" t="str">
        <f>IFERROR(VLOOKUP(E80,'(新)ASTRO'!$A$3:$J$30,4,0),"")</f>
        <v/>
      </c>
      <c r="D80" s="7" t="str">
        <f>IFERROR(VLOOKUP(E80,'(新)ASTRO'!$A$3:$J$44,5,0),"")</f>
        <v/>
      </c>
      <c r="E80" s="23">
        <f>'(新)ASTRO'!A75</f>
        <v>0</v>
      </c>
      <c r="F80" s="8" t="str">
        <f>IFERROR(VLOOKUP(E80,'(新)ASTRO'!$A$3:$J$44,8,0),"")</f>
        <v/>
      </c>
      <c r="G80" s="7" t="str">
        <f>IFERROR(VLOOKUP(E80,'(旧)ASTRO'!$A$3:$K$50,10,0),"")</f>
        <v/>
      </c>
      <c r="H80" s="12" t="s">
        <v>60</v>
      </c>
      <c r="I80" s="7" t="str">
        <f>IFERROR(VLOOKUP(E80,'(新)ASTRO'!$A$3:$J$44,10,0),"")</f>
        <v/>
      </c>
    </row>
    <row r="81" spans="1:9" s="19" customFormat="1" ht="13.8" thickBot="1" x14ac:dyDescent="0.2">
      <c r="A81" s="11">
        <v>80</v>
      </c>
      <c r="B81" s="7" t="str">
        <f>IFERROR(VLOOKUP(E81,'(新)ASTRO'!$A$3:$J$44,2,0),"")</f>
        <v/>
      </c>
      <c r="C81" s="7" t="str">
        <f>IFERROR(VLOOKUP(E81,'(新)ASTRO'!$A$3:$J$30,4,0),"")</f>
        <v/>
      </c>
      <c r="D81" s="7" t="str">
        <f>IFERROR(VLOOKUP(E81,'(新)ASTRO'!$A$3:$J$44,5,0),"")</f>
        <v/>
      </c>
      <c r="E81" s="23">
        <f>'(新)ASTRO'!A76</f>
        <v>0</v>
      </c>
      <c r="F81" s="8" t="str">
        <f>IFERROR(VLOOKUP(E81,'(新)ASTRO'!$A$3:$J$44,8,0),"")</f>
        <v/>
      </c>
      <c r="G81" s="7" t="str">
        <f>IFERROR(VLOOKUP(E81,'(旧)ASTRO'!$A$3:$K$50,10,0),"")</f>
        <v/>
      </c>
      <c r="H81" s="12" t="s">
        <v>60</v>
      </c>
      <c r="I81" s="7" t="str">
        <f>IFERROR(VLOOKUP(E81,'(新)ASTRO'!$A$3:$J$44,10,0),"")</f>
        <v/>
      </c>
    </row>
    <row r="82" spans="1:9" s="19" customFormat="1" ht="13.8" thickBot="1" x14ac:dyDescent="0.2">
      <c r="A82" s="11">
        <v>81</v>
      </c>
      <c r="B82" s="7" t="str">
        <f>IFERROR(VLOOKUP(E82,'(新)ASTRO'!$A$3:$J$44,2,0),"")</f>
        <v/>
      </c>
      <c r="C82" s="7" t="str">
        <f>IFERROR(VLOOKUP(E82,'(新)ASTRO'!$A$3:$J$30,4,0),"")</f>
        <v/>
      </c>
      <c r="D82" s="7" t="str">
        <f>IFERROR(VLOOKUP(E82,'(新)ASTRO'!$A$3:$J$44,5,0),"")</f>
        <v/>
      </c>
      <c r="E82" s="23">
        <f>'(新)ASTRO'!A77</f>
        <v>0</v>
      </c>
      <c r="F82" s="8" t="str">
        <f>IFERROR(VLOOKUP(E82,'(新)ASTRO'!$A$3:$J$44,8,0),"")</f>
        <v/>
      </c>
      <c r="G82" s="7" t="str">
        <f>IFERROR(VLOOKUP(E82,'(旧)ASTRO'!$A$3:$K$50,10,0),"")</f>
        <v/>
      </c>
      <c r="H82" s="12" t="s">
        <v>60</v>
      </c>
      <c r="I82" s="7" t="str">
        <f>IFERROR(VLOOKUP(E82,'(新)ASTRO'!$A$3:$J$44,10,0),"")</f>
        <v/>
      </c>
    </row>
    <row r="83" spans="1:9" s="19" customFormat="1" ht="13.8" thickBot="1" x14ac:dyDescent="0.2">
      <c r="A83" s="11">
        <v>82</v>
      </c>
      <c r="B83" s="7" t="str">
        <f>IFERROR(VLOOKUP(E83,'(新)ASTRO'!$A$3:$J$44,2,0),"")</f>
        <v/>
      </c>
      <c r="C83" s="7" t="str">
        <f>IFERROR(VLOOKUP(E83,'(新)ASTRO'!$A$3:$J$30,4,0),"")</f>
        <v/>
      </c>
      <c r="D83" s="7" t="str">
        <f>IFERROR(VLOOKUP(E83,'(新)ASTRO'!$A$3:$J$44,5,0),"")</f>
        <v/>
      </c>
      <c r="E83" s="23">
        <f>'(新)ASTRO'!A78</f>
        <v>0</v>
      </c>
      <c r="F83" s="8" t="str">
        <f>IFERROR(VLOOKUP(E83,'(新)ASTRO'!$A$3:$J$44,8,0),"")</f>
        <v/>
      </c>
      <c r="G83" s="7" t="str">
        <f>IFERROR(VLOOKUP(E83,'(旧)ASTRO'!$A$3:$K$50,10,0),"")</f>
        <v/>
      </c>
      <c r="H83" s="12" t="s">
        <v>60</v>
      </c>
      <c r="I83" s="7" t="str">
        <f>IFERROR(VLOOKUP(E83,'(新)ASTRO'!$A$3:$J$44,10,0),"")</f>
        <v/>
      </c>
    </row>
    <row r="84" spans="1:9" s="19" customFormat="1" ht="13.8" thickBot="1" x14ac:dyDescent="0.2">
      <c r="A84" s="11">
        <v>83</v>
      </c>
      <c r="B84" s="7" t="str">
        <f>IFERROR(VLOOKUP(E84,'(新)ASTRO'!$A$3:$J$44,2,0),"")</f>
        <v/>
      </c>
      <c r="C84" s="7" t="str">
        <f>IFERROR(VLOOKUP(E84,'(新)ASTRO'!$A$3:$J$30,4,0),"")</f>
        <v/>
      </c>
      <c r="D84" s="7" t="str">
        <f>IFERROR(VLOOKUP(E84,'(新)ASTRO'!$A$3:$J$44,5,0),"")</f>
        <v/>
      </c>
      <c r="E84" s="23">
        <f>'(新)ASTRO'!A79</f>
        <v>0</v>
      </c>
      <c r="F84" s="8" t="str">
        <f>IFERROR(VLOOKUP(E84,'(新)ASTRO'!$A$3:$J$44,8,0),"")</f>
        <v/>
      </c>
      <c r="G84" s="7" t="str">
        <f>IFERROR(VLOOKUP(E84,'(旧)ASTRO'!$A$3:$K$50,10,0),"")</f>
        <v/>
      </c>
      <c r="H84" s="12" t="s">
        <v>60</v>
      </c>
      <c r="I84" s="7" t="str">
        <f>IFERROR(VLOOKUP(E84,'(新)ASTRO'!$A$3:$J$44,10,0),"")</f>
        <v/>
      </c>
    </row>
    <row r="85" spans="1:9" s="19" customFormat="1" ht="13.8" thickBot="1" x14ac:dyDescent="0.2">
      <c r="A85" s="11">
        <v>84</v>
      </c>
      <c r="B85" s="7" t="str">
        <f>IFERROR(VLOOKUP(E85,'(新)ASTRO'!$A$3:$J$44,2,0),"")</f>
        <v/>
      </c>
      <c r="C85" s="7" t="str">
        <f>IFERROR(VLOOKUP(E85,'(新)ASTRO'!$A$3:$J$30,4,0),"")</f>
        <v/>
      </c>
      <c r="D85" s="7" t="str">
        <f>IFERROR(VLOOKUP(E85,'(新)ASTRO'!$A$3:$J$44,5,0),"")</f>
        <v/>
      </c>
      <c r="E85" s="23">
        <f>'(新)ASTRO'!A80</f>
        <v>0</v>
      </c>
      <c r="F85" s="8" t="str">
        <f>IFERROR(VLOOKUP(E85,'(新)ASTRO'!$A$3:$J$44,8,0),"")</f>
        <v/>
      </c>
      <c r="G85" s="7" t="str">
        <f>IFERROR(VLOOKUP(E85,'(旧)ASTRO'!$A$3:$K$50,10,0),"")</f>
        <v/>
      </c>
      <c r="H85" s="12" t="s">
        <v>60</v>
      </c>
      <c r="I85" s="7" t="str">
        <f>IFERROR(VLOOKUP(E85,'(新)ASTRO'!$A$3:$J$44,10,0),"")</f>
        <v/>
      </c>
    </row>
    <row r="86" spans="1:9" s="19" customFormat="1" ht="13.8" thickBot="1" x14ac:dyDescent="0.2">
      <c r="A86" s="11">
        <v>85</v>
      </c>
      <c r="B86" s="7" t="str">
        <f>IFERROR(VLOOKUP(E86,'(新)ASTRO'!$A$3:$J$44,2,0),"")</f>
        <v/>
      </c>
      <c r="C86" s="7" t="str">
        <f>IFERROR(VLOOKUP(E86,'(新)ASTRO'!$A$3:$J$30,4,0),"")</f>
        <v/>
      </c>
      <c r="D86" s="7" t="str">
        <f>IFERROR(VLOOKUP(E86,'(新)ASTRO'!$A$3:$J$44,5,0),"")</f>
        <v/>
      </c>
      <c r="E86" s="23">
        <f>'(新)ASTRO'!A81</f>
        <v>0</v>
      </c>
      <c r="F86" s="8" t="str">
        <f>IFERROR(VLOOKUP(E86,'(新)ASTRO'!$A$3:$J$44,8,0),"")</f>
        <v/>
      </c>
      <c r="G86" s="7" t="str">
        <f>IFERROR(VLOOKUP(E86,'(旧)ASTRO'!$A$3:$K$50,10,0),"")</f>
        <v/>
      </c>
      <c r="H86" s="12" t="s">
        <v>60</v>
      </c>
      <c r="I86" s="7" t="str">
        <f>IFERROR(VLOOKUP(E86,'(新)ASTRO'!$A$3:$J$44,10,0),"")</f>
        <v/>
      </c>
    </row>
    <row r="87" spans="1:9" s="19" customFormat="1" ht="13.8" thickBot="1" x14ac:dyDescent="0.2">
      <c r="A87" s="11">
        <v>86</v>
      </c>
      <c r="B87" s="7" t="str">
        <f>IFERROR(VLOOKUP(E87,'(新)ASTRO'!$A$3:$J$44,2,0),"")</f>
        <v/>
      </c>
      <c r="C87" s="7" t="str">
        <f>IFERROR(VLOOKUP(E87,'(新)ASTRO'!$A$3:$J$30,4,0),"")</f>
        <v/>
      </c>
      <c r="D87" s="7" t="str">
        <f>IFERROR(VLOOKUP(E87,'(新)ASTRO'!$A$3:$J$44,5,0),"")</f>
        <v/>
      </c>
      <c r="E87" s="23">
        <f>'(新)ASTRO'!A82</f>
        <v>0</v>
      </c>
      <c r="F87" s="8" t="str">
        <f>IFERROR(VLOOKUP(E87,'(新)ASTRO'!$A$3:$J$44,8,0),"")</f>
        <v/>
      </c>
      <c r="G87" s="7" t="str">
        <f>IFERROR(VLOOKUP(E87,'(旧)ASTRO'!$A$3:$K$50,10,0),"")</f>
        <v/>
      </c>
      <c r="H87" s="12" t="s">
        <v>60</v>
      </c>
      <c r="I87" s="7" t="str">
        <f>IFERROR(VLOOKUP(E87,'(新)ASTRO'!$A$3:$J$44,10,0),"")</f>
        <v/>
      </c>
    </row>
    <row r="88" spans="1:9" s="19" customFormat="1" ht="13.8" thickBot="1" x14ac:dyDescent="0.2">
      <c r="A88" s="11">
        <v>87</v>
      </c>
      <c r="B88" s="7" t="str">
        <f>IFERROR(VLOOKUP(E88,'(新)ASTRO'!$A$3:$J$44,2,0),"")</f>
        <v/>
      </c>
      <c r="C88" s="7" t="str">
        <f>IFERROR(VLOOKUP(E88,'(新)ASTRO'!$A$3:$J$30,4,0),"")</f>
        <v/>
      </c>
      <c r="D88" s="7" t="str">
        <f>IFERROR(VLOOKUP(E88,'(新)ASTRO'!$A$3:$J$44,5,0),"")</f>
        <v/>
      </c>
      <c r="E88" s="23">
        <f>'(新)ASTRO'!A83</f>
        <v>0</v>
      </c>
      <c r="F88" s="8" t="str">
        <f>IFERROR(VLOOKUP(E88,'(新)ASTRO'!$A$3:$J$44,8,0),"")</f>
        <v/>
      </c>
      <c r="G88" s="7" t="str">
        <f>IFERROR(VLOOKUP(E88,'(旧)ASTRO'!$A$3:$K$50,10,0),"")</f>
        <v/>
      </c>
      <c r="H88" s="12" t="s">
        <v>60</v>
      </c>
      <c r="I88" s="7" t="str">
        <f>IFERROR(VLOOKUP(E88,'(新)ASTRO'!$A$3:$J$44,10,0),"")</f>
        <v/>
      </c>
    </row>
    <row r="89" spans="1:9" s="19" customFormat="1" ht="13.8" thickBot="1" x14ac:dyDescent="0.2">
      <c r="A89" s="11">
        <v>88</v>
      </c>
      <c r="B89" s="7" t="str">
        <f>IFERROR(VLOOKUP(E89,'(新)ASTRO'!$A$3:$J$44,2,0),"")</f>
        <v/>
      </c>
      <c r="C89" s="7" t="str">
        <f>IFERROR(VLOOKUP(E89,'(新)ASTRO'!$A$3:$J$30,4,0),"")</f>
        <v/>
      </c>
      <c r="D89" s="7" t="str">
        <f>IFERROR(VLOOKUP(E89,'(新)ASTRO'!$A$3:$J$44,5,0),"")</f>
        <v/>
      </c>
      <c r="E89" s="23">
        <f>'(新)ASTRO'!A84</f>
        <v>0</v>
      </c>
      <c r="F89" s="8" t="str">
        <f>IFERROR(VLOOKUP(E89,'(新)ASTRO'!$A$3:$J$44,8,0),"")</f>
        <v/>
      </c>
      <c r="G89" s="7" t="str">
        <f>IFERROR(VLOOKUP(E89,'(旧)ASTRO'!$A$3:$K$50,10,0),"")</f>
        <v/>
      </c>
      <c r="H89" s="12" t="s">
        <v>60</v>
      </c>
      <c r="I89" s="7" t="str">
        <f>IFERROR(VLOOKUP(E89,'(新)ASTRO'!$A$3:$J$44,10,0),"")</f>
        <v/>
      </c>
    </row>
    <row r="90" spans="1:9" s="19" customFormat="1" ht="13.8" thickBot="1" x14ac:dyDescent="0.2">
      <c r="A90" s="11">
        <v>89</v>
      </c>
      <c r="B90" s="7" t="str">
        <f>IFERROR(VLOOKUP(E90,'(新)ASTRO'!$A$3:$J$44,2,0),"")</f>
        <v/>
      </c>
      <c r="C90" s="7" t="str">
        <f>IFERROR(VLOOKUP(E90,'(新)ASTRO'!$A$3:$J$30,4,0),"")</f>
        <v/>
      </c>
      <c r="D90" s="7" t="str">
        <f>IFERROR(VLOOKUP(E90,'(新)ASTRO'!$A$3:$J$44,5,0),"")</f>
        <v/>
      </c>
      <c r="E90" s="23">
        <f>'(新)ASTRO'!A85</f>
        <v>0</v>
      </c>
      <c r="F90" s="8" t="str">
        <f>IFERROR(VLOOKUP(E90,'(新)ASTRO'!$A$3:$J$44,8,0),"")</f>
        <v/>
      </c>
      <c r="G90" s="7" t="str">
        <f>IFERROR(VLOOKUP(E90,'(旧)ASTRO'!$A$3:$K$50,10,0),"")</f>
        <v/>
      </c>
      <c r="H90" s="12" t="s">
        <v>60</v>
      </c>
      <c r="I90" s="7" t="str">
        <f>IFERROR(VLOOKUP(E90,'(新)ASTRO'!$A$3:$J$44,10,0),"")</f>
        <v/>
      </c>
    </row>
    <row r="91" spans="1:9" s="19" customFormat="1" ht="13.8" thickBot="1" x14ac:dyDescent="0.2">
      <c r="A91" s="11">
        <v>90</v>
      </c>
      <c r="B91" s="7" t="str">
        <f>IFERROR(VLOOKUP(E91,'(新)ASTRO'!$A$3:$J$44,2,0),"")</f>
        <v/>
      </c>
      <c r="C91" s="7" t="str">
        <f>IFERROR(VLOOKUP(E91,'(新)ASTRO'!$A$3:$J$30,4,0),"")</f>
        <v/>
      </c>
      <c r="D91" s="7" t="str">
        <f>IFERROR(VLOOKUP(E91,'(新)ASTRO'!$A$3:$J$44,5,0),"")</f>
        <v/>
      </c>
      <c r="E91" s="23">
        <f>'(新)ASTRO'!A86</f>
        <v>0</v>
      </c>
      <c r="F91" s="8" t="str">
        <f>IFERROR(VLOOKUP(E91,'(新)ASTRO'!$A$3:$J$44,8,0),"")</f>
        <v/>
      </c>
      <c r="G91" s="7" t="str">
        <f>IFERROR(VLOOKUP(E91,'(旧)ASTRO'!$A$3:$K$50,10,0),"")</f>
        <v/>
      </c>
      <c r="H91" s="12" t="s">
        <v>60</v>
      </c>
      <c r="I91" s="7" t="str">
        <f>IFERROR(VLOOKUP(E91,'(新)ASTRO'!$A$3:$J$44,10,0),"")</f>
        <v/>
      </c>
    </row>
    <row r="92" spans="1:9" s="19" customFormat="1" ht="13.8" thickBot="1" x14ac:dyDescent="0.2">
      <c r="A92" s="11">
        <v>91</v>
      </c>
      <c r="B92" s="7" t="str">
        <f>IFERROR(VLOOKUP(E92,'(新)ASTRO'!$A$3:$J$44,2,0),"")</f>
        <v/>
      </c>
      <c r="C92" s="7" t="str">
        <f>IFERROR(VLOOKUP(E92,'(新)ASTRO'!$A$3:$J$30,4,0),"")</f>
        <v/>
      </c>
      <c r="D92" s="7" t="str">
        <f>IFERROR(VLOOKUP(E92,'(新)ASTRO'!$A$3:$J$44,5,0),"")</f>
        <v/>
      </c>
      <c r="E92" s="23">
        <f>'(新)ASTRO'!A87</f>
        <v>0</v>
      </c>
      <c r="F92" s="8" t="str">
        <f>IFERROR(VLOOKUP(E92,'(新)ASTRO'!$A$3:$J$44,8,0),"")</f>
        <v/>
      </c>
      <c r="G92" s="7" t="str">
        <f>IFERROR(VLOOKUP(E92,'(旧)ASTRO'!$A$3:$K$50,10,0),"")</f>
        <v/>
      </c>
      <c r="H92" s="12" t="s">
        <v>60</v>
      </c>
      <c r="I92" s="7" t="str">
        <f>IFERROR(VLOOKUP(E92,'(新)ASTRO'!$A$3:$J$44,10,0),"")</f>
        <v/>
      </c>
    </row>
    <row r="93" spans="1:9" s="19" customFormat="1" ht="13.8" thickBot="1" x14ac:dyDescent="0.2">
      <c r="A93" s="11">
        <v>92</v>
      </c>
      <c r="B93" s="7" t="str">
        <f>IFERROR(VLOOKUP(E93,'(新)ASTRO'!$A$3:$J$44,2,0),"")</f>
        <v/>
      </c>
      <c r="C93" s="7" t="str">
        <f>IFERROR(VLOOKUP(E93,'(新)ASTRO'!$A$3:$J$30,4,0),"")</f>
        <v/>
      </c>
      <c r="D93" s="7" t="str">
        <f>IFERROR(VLOOKUP(E93,'(新)ASTRO'!$A$3:$J$44,5,0),"")</f>
        <v/>
      </c>
      <c r="E93" s="23">
        <f>'(新)ASTRO'!A88</f>
        <v>0</v>
      </c>
      <c r="F93" s="8" t="str">
        <f>IFERROR(VLOOKUP(E93,'(新)ASTRO'!$A$3:$J$44,8,0),"")</f>
        <v/>
      </c>
      <c r="G93" s="7" t="str">
        <f>IFERROR(VLOOKUP(E93,'(旧)ASTRO'!$A$3:$K$50,10,0),"")</f>
        <v/>
      </c>
      <c r="H93" s="12" t="s">
        <v>60</v>
      </c>
      <c r="I93" s="7" t="str">
        <f>IFERROR(VLOOKUP(E93,'(新)ASTRO'!$A$3:$J$44,10,0),"")</f>
        <v/>
      </c>
    </row>
    <row r="94" spans="1:9" s="19" customFormat="1" ht="13.8" thickBot="1" x14ac:dyDescent="0.2">
      <c r="A94" s="11">
        <v>93</v>
      </c>
      <c r="B94" s="7" t="str">
        <f>IFERROR(VLOOKUP(E94,'(新)ASTRO'!$A$3:$J$44,2,0),"")</f>
        <v/>
      </c>
      <c r="C94" s="7" t="str">
        <f>IFERROR(VLOOKUP(E94,'(新)ASTRO'!$A$3:$J$30,4,0),"")</f>
        <v/>
      </c>
      <c r="D94" s="7" t="str">
        <f>IFERROR(VLOOKUP(E94,'(新)ASTRO'!$A$3:$J$44,5,0),"")</f>
        <v/>
      </c>
      <c r="E94" s="23">
        <f>'(新)ASTRO'!A89</f>
        <v>0</v>
      </c>
      <c r="F94" s="8" t="str">
        <f>IFERROR(VLOOKUP(E94,'(新)ASTRO'!$A$3:$J$44,8,0),"")</f>
        <v/>
      </c>
      <c r="G94" s="7" t="str">
        <f>IFERROR(VLOOKUP(E94,'(旧)ASTRO'!$A$3:$K$50,10,0),"")</f>
        <v/>
      </c>
      <c r="H94" s="12" t="s">
        <v>60</v>
      </c>
      <c r="I94" s="7" t="str">
        <f>IFERROR(VLOOKUP(E94,'(新)ASTRO'!$A$3:$J$44,10,0),"")</f>
        <v/>
      </c>
    </row>
    <row r="95" spans="1:9" s="19" customFormat="1" ht="13.8" thickBot="1" x14ac:dyDescent="0.2">
      <c r="A95" s="11">
        <v>94</v>
      </c>
      <c r="B95" s="7" t="str">
        <f>IFERROR(VLOOKUP(E95,'(新)ASTRO'!$A$3:$J$44,2,0),"")</f>
        <v/>
      </c>
      <c r="C95" s="7" t="str">
        <f>IFERROR(VLOOKUP(E95,'(新)ASTRO'!$A$3:$J$30,4,0),"")</f>
        <v/>
      </c>
      <c r="D95" s="7" t="str">
        <f>IFERROR(VLOOKUP(E95,'(新)ASTRO'!$A$3:$J$44,5,0),"")</f>
        <v/>
      </c>
      <c r="E95" s="23">
        <f>'(新)ASTRO'!A90</f>
        <v>0</v>
      </c>
      <c r="F95" s="8" t="str">
        <f>IFERROR(VLOOKUP(E95,'(新)ASTRO'!$A$3:$J$44,8,0),"")</f>
        <v/>
      </c>
      <c r="G95" s="7" t="str">
        <f>IFERROR(VLOOKUP(E95,'(旧)ASTRO'!$A$3:$K$50,10,0),"")</f>
        <v/>
      </c>
      <c r="H95" s="12" t="s">
        <v>60</v>
      </c>
      <c r="I95" s="7" t="str">
        <f>IFERROR(VLOOKUP(E95,'(新)ASTRO'!$A$3:$J$44,10,0),"")</f>
        <v/>
      </c>
    </row>
    <row r="96" spans="1:9" s="19" customFormat="1" ht="13.8" thickBot="1" x14ac:dyDescent="0.2">
      <c r="A96" s="11">
        <v>95</v>
      </c>
      <c r="B96" s="7" t="str">
        <f>IFERROR(VLOOKUP(E96,'(新)ASTRO'!$A$3:$J$44,2,0),"")</f>
        <v/>
      </c>
      <c r="C96" s="7" t="str">
        <f>IFERROR(VLOOKUP(E96,'(新)ASTRO'!$A$3:$J$30,4,0),"")</f>
        <v/>
      </c>
      <c r="D96" s="7" t="str">
        <f>IFERROR(VLOOKUP(E96,'(新)ASTRO'!$A$3:$J$44,5,0),"")</f>
        <v/>
      </c>
      <c r="E96" s="23">
        <f>'(新)ASTRO'!A91</f>
        <v>0</v>
      </c>
      <c r="F96" s="8" t="str">
        <f>IFERROR(VLOOKUP(E96,'(新)ASTRO'!$A$3:$J$44,8,0),"")</f>
        <v/>
      </c>
      <c r="G96" s="7" t="str">
        <f>IFERROR(VLOOKUP(E96,'(旧)ASTRO'!$A$3:$K$50,10,0),"")</f>
        <v/>
      </c>
      <c r="H96" s="12" t="s">
        <v>60</v>
      </c>
      <c r="I96" s="7" t="str">
        <f>IFERROR(VLOOKUP(E96,'(新)ASTRO'!$A$3:$J$44,10,0),"")</f>
        <v/>
      </c>
    </row>
    <row r="97" spans="1:9" s="19" customFormat="1" ht="13.8" thickBot="1" x14ac:dyDescent="0.2">
      <c r="A97" s="11">
        <v>96</v>
      </c>
      <c r="B97" s="7" t="str">
        <f>IFERROR(VLOOKUP(E97,'(新)ASTRO'!$A$3:$J$44,2,0),"")</f>
        <v/>
      </c>
      <c r="C97" s="7" t="str">
        <f>IFERROR(VLOOKUP(E97,'(新)ASTRO'!$A$3:$J$30,4,0),"")</f>
        <v/>
      </c>
      <c r="D97" s="7" t="str">
        <f>IFERROR(VLOOKUP(E97,'(新)ASTRO'!$A$3:$J$44,5,0),"")</f>
        <v/>
      </c>
      <c r="E97" s="23">
        <f>'(新)ASTRO'!A92</f>
        <v>0</v>
      </c>
      <c r="F97" s="8" t="str">
        <f>IFERROR(VLOOKUP(E97,'(新)ASTRO'!$A$3:$J$44,8,0),"")</f>
        <v/>
      </c>
      <c r="G97" s="7" t="str">
        <f>IFERROR(VLOOKUP(E97,'(旧)ASTRO'!$A$3:$K$50,10,0),"")</f>
        <v/>
      </c>
      <c r="H97" s="12" t="s">
        <v>60</v>
      </c>
      <c r="I97" s="7" t="str">
        <f>IFERROR(VLOOKUP(E97,'(新)ASTRO'!$A$3:$J$44,10,0),"")</f>
        <v/>
      </c>
    </row>
    <row r="98" spans="1:9" s="19" customFormat="1" ht="13.8" thickBot="1" x14ac:dyDescent="0.2">
      <c r="A98" s="11">
        <v>97</v>
      </c>
      <c r="B98" s="7" t="str">
        <f>IFERROR(VLOOKUP(E98,'(新)ASTRO'!$A$3:$J$44,2,0),"")</f>
        <v/>
      </c>
      <c r="C98" s="7" t="str">
        <f>IFERROR(VLOOKUP(E98,'(新)ASTRO'!$A$3:$J$30,4,0),"")</f>
        <v/>
      </c>
      <c r="D98" s="7" t="str">
        <f>IFERROR(VLOOKUP(E98,'(新)ASTRO'!$A$3:$J$44,5,0),"")</f>
        <v/>
      </c>
      <c r="E98" s="23">
        <f>'(新)ASTRO'!A93</f>
        <v>0</v>
      </c>
      <c r="F98" s="8" t="str">
        <f>IFERROR(VLOOKUP(E98,'(新)ASTRO'!$A$3:$J$44,8,0),"")</f>
        <v/>
      </c>
      <c r="G98" s="7" t="str">
        <f>IFERROR(VLOOKUP(E98,'(旧)ASTRO'!$A$3:$K$50,10,0),"")</f>
        <v/>
      </c>
      <c r="H98" s="12" t="s">
        <v>60</v>
      </c>
      <c r="I98" s="7" t="str">
        <f>IFERROR(VLOOKUP(E98,'(新)ASTRO'!$A$3:$J$44,10,0),"")</f>
        <v/>
      </c>
    </row>
    <row r="99" spans="1:9" s="19" customFormat="1" ht="13.8" thickBot="1" x14ac:dyDescent="0.2">
      <c r="A99" s="11">
        <v>98</v>
      </c>
      <c r="B99" s="7" t="str">
        <f>IFERROR(VLOOKUP(E99,'(新)ASTRO'!$A$3:$J$44,2,0),"")</f>
        <v/>
      </c>
      <c r="C99" s="7" t="str">
        <f>IFERROR(VLOOKUP(E99,'(新)ASTRO'!$A$3:$J$30,4,0),"")</f>
        <v/>
      </c>
      <c r="D99" s="7" t="str">
        <f>IFERROR(VLOOKUP(E99,'(新)ASTRO'!$A$3:$J$44,5,0),"")</f>
        <v/>
      </c>
      <c r="E99" s="23">
        <f>'(新)ASTRO'!A94</f>
        <v>0</v>
      </c>
      <c r="F99" s="8" t="str">
        <f>IFERROR(VLOOKUP(E99,'(新)ASTRO'!$A$3:$J$44,8,0),"")</f>
        <v/>
      </c>
      <c r="G99" s="7" t="str">
        <f>IFERROR(VLOOKUP(E99,'(旧)ASTRO'!$A$3:$K$50,10,0),"")</f>
        <v/>
      </c>
      <c r="H99" s="12" t="s">
        <v>60</v>
      </c>
      <c r="I99" s="7" t="str">
        <f>IFERROR(VLOOKUP(E99,'(新)ASTRO'!$A$3:$J$44,10,0),"")</f>
        <v/>
      </c>
    </row>
    <row r="100" spans="1:9" s="19" customFormat="1" ht="13.8" thickBot="1" x14ac:dyDescent="0.2">
      <c r="A100" s="11">
        <v>99</v>
      </c>
      <c r="B100" s="7" t="str">
        <f>IFERROR(VLOOKUP(E100,'(新)ASTRO'!$A$3:$J$44,2,0),"")</f>
        <v/>
      </c>
      <c r="C100" s="7" t="str">
        <f>IFERROR(VLOOKUP(E100,'(新)ASTRO'!$A$3:$J$30,4,0),"")</f>
        <v/>
      </c>
      <c r="D100" s="7" t="str">
        <f>IFERROR(VLOOKUP(E100,'(新)ASTRO'!$A$3:$J$44,5,0),"")</f>
        <v/>
      </c>
      <c r="E100" s="23">
        <f>'(新)ASTRO'!A95</f>
        <v>0</v>
      </c>
      <c r="F100" s="8" t="str">
        <f>IFERROR(VLOOKUP(E100,'(新)ASTRO'!$A$3:$J$44,8,0),"")</f>
        <v/>
      </c>
      <c r="G100" s="7" t="str">
        <f>IFERROR(VLOOKUP(E100,'(旧)ASTRO'!$A$3:$K$50,10,0),"")</f>
        <v/>
      </c>
      <c r="H100" s="12" t="s">
        <v>60</v>
      </c>
      <c r="I100" s="7" t="str">
        <f>IFERROR(VLOOKUP(E100,'(新)ASTRO'!$A$3:$J$44,10,0),"")</f>
        <v/>
      </c>
    </row>
    <row r="101" spans="1:9" s="19" customFormat="1" ht="13.8" thickBot="1" x14ac:dyDescent="0.2">
      <c r="A101" s="11">
        <v>100</v>
      </c>
      <c r="B101" s="7" t="str">
        <f>IFERROR(VLOOKUP(E101,'(新)ASTRO'!$A$3:$J$44,2,0),"")</f>
        <v/>
      </c>
      <c r="C101" s="7" t="str">
        <f>IFERROR(VLOOKUP(E101,'(新)ASTRO'!$A$3:$J$30,4,0),"")</f>
        <v/>
      </c>
      <c r="D101" s="7" t="str">
        <f>IFERROR(VLOOKUP(E101,'(新)ASTRO'!$A$3:$J$44,5,0),"")</f>
        <v/>
      </c>
      <c r="E101" s="23">
        <f>'(新)ASTRO'!A96</f>
        <v>0</v>
      </c>
      <c r="F101" s="8" t="str">
        <f>IFERROR(VLOOKUP(E101,'(新)ASTRO'!$A$3:$J$44,8,0),"")</f>
        <v/>
      </c>
      <c r="G101" s="7" t="str">
        <f>IFERROR(VLOOKUP(E101,'(旧)ASTRO'!$A$3:$K$50,10,0),"")</f>
        <v/>
      </c>
      <c r="H101" s="12" t="s">
        <v>60</v>
      </c>
      <c r="I101" s="7" t="str">
        <f>IFERROR(VLOOKUP(E101,'(新)ASTRO'!$A$3:$J$44,10,0),"")</f>
        <v/>
      </c>
    </row>
    <row r="102" spans="1:9" s="19" customFormat="1" ht="13.8" thickBot="1" x14ac:dyDescent="0.2">
      <c r="A102" s="11">
        <v>101</v>
      </c>
      <c r="B102" s="7" t="str">
        <f>IFERROR(VLOOKUP(E102,'(新)ASTRO'!$A$3:$J$44,2,0),"")</f>
        <v/>
      </c>
      <c r="C102" s="7" t="str">
        <f>IFERROR(VLOOKUP(E102,'(新)ASTRO'!$A$3:$J$30,4,0),"")</f>
        <v/>
      </c>
      <c r="D102" s="7" t="str">
        <f>IFERROR(VLOOKUP(E102,'(新)ASTRO'!$A$3:$J$44,5,0),"")</f>
        <v/>
      </c>
      <c r="E102" s="23">
        <f>'(新)ASTRO'!A97</f>
        <v>0</v>
      </c>
      <c r="F102" s="8" t="str">
        <f>IFERROR(VLOOKUP(E102,'(新)ASTRO'!$A$3:$J$44,8,0),"")</f>
        <v/>
      </c>
      <c r="G102" s="7" t="str">
        <f>IFERROR(VLOOKUP(E102,'(旧)ASTRO'!$A$3:$K$50,10,0),"")</f>
        <v/>
      </c>
      <c r="H102" s="12" t="s">
        <v>60</v>
      </c>
      <c r="I102" s="7" t="str">
        <f>IFERROR(VLOOKUP(E102,'(新)ASTRO'!$A$3:$J$44,10,0),"")</f>
        <v/>
      </c>
    </row>
    <row r="103" spans="1:9" s="19" customFormat="1" ht="13.8" thickBot="1" x14ac:dyDescent="0.2">
      <c r="A103" s="11">
        <v>102</v>
      </c>
      <c r="B103" s="7" t="str">
        <f>IFERROR(VLOOKUP(E103,'(新)ASTRO'!$A$3:$J$44,2,0),"")</f>
        <v/>
      </c>
      <c r="C103" s="7" t="str">
        <f>IFERROR(VLOOKUP(E103,'(新)ASTRO'!$A$3:$J$30,4,0),"")</f>
        <v/>
      </c>
      <c r="D103" s="7" t="str">
        <f>IFERROR(VLOOKUP(E103,'(新)ASTRO'!$A$3:$J$44,5,0),"")</f>
        <v/>
      </c>
      <c r="E103" s="23">
        <f>'(新)ASTRO'!A98</f>
        <v>0</v>
      </c>
      <c r="F103" s="8" t="str">
        <f>IFERROR(VLOOKUP(E103,'(新)ASTRO'!$A$3:$J$44,8,0),"")</f>
        <v/>
      </c>
      <c r="G103" s="7" t="str">
        <f>IFERROR(VLOOKUP(E103,'(旧)ASTRO'!$A$3:$K$50,10,0),"")</f>
        <v/>
      </c>
      <c r="H103" s="12" t="s">
        <v>60</v>
      </c>
      <c r="I103" s="7" t="str">
        <f>IFERROR(VLOOKUP(E103,'(新)ASTRO'!$A$3:$J$44,10,0),"")</f>
        <v/>
      </c>
    </row>
    <row r="104" spans="1:9" s="19" customFormat="1" ht="13.8" thickBot="1" x14ac:dyDescent="0.2">
      <c r="A104" s="11">
        <v>103</v>
      </c>
      <c r="B104" s="7" t="str">
        <f>IFERROR(VLOOKUP(E104,'(新)ASTRO'!$A$3:$J$44,2,0),"")</f>
        <v/>
      </c>
      <c r="C104" s="7" t="str">
        <f>IFERROR(VLOOKUP(E104,'(新)ASTRO'!$A$3:$J$30,4,0),"")</f>
        <v/>
      </c>
      <c r="D104" s="7" t="str">
        <f>IFERROR(VLOOKUP(E104,'(新)ASTRO'!$A$3:$J$44,5,0),"")</f>
        <v/>
      </c>
      <c r="E104" s="23">
        <f>'(新)ASTRO'!A99</f>
        <v>0</v>
      </c>
      <c r="F104" s="8" t="str">
        <f>IFERROR(VLOOKUP(E104,'(新)ASTRO'!$A$3:$J$44,8,0),"")</f>
        <v/>
      </c>
      <c r="G104" s="7" t="str">
        <f>IFERROR(VLOOKUP(E104,'(旧)ASTRO'!$A$3:$K$50,10,0),"")</f>
        <v/>
      </c>
      <c r="H104" s="12" t="s">
        <v>60</v>
      </c>
      <c r="I104" s="7" t="str">
        <f>IFERROR(VLOOKUP(E104,'(新)ASTRO'!$A$3:$J$44,10,0),"")</f>
        <v/>
      </c>
    </row>
    <row r="105" spans="1:9" s="19" customFormat="1" ht="13.8" thickBot="1" x14ac:dyDescent="0.2">
      <c r="A105" s="11">
        <v>104</v>
      </c>
      <c r="B105" s="7" t="str">
        <f>IFERROR(VLOOKUP(E105,'(新)ASTRO'!$A$3:$J$44,2,0),"")</f>
        <v/>
      </c>
      <c r="C105" s="7" t="str">
        <f>IFERROR(VLOOKUP(E105,'(新)ASTRO'!$A$3:$J$30,4,0),"")</f>
        <v/>
      </c>
      <c r="D105" s="7" t="str">
        <f>IFERROR(VLOOKUP(E105,'(新)ASTRO'!$A$3:$J$44,5,0),"")</f>
        <v/>
      </c>
      <c r="E105" s="23">
        <f>'(新)ASTRO'!A100</f>
        <v>0</v>
      </c>
      <c r="F105" s="8" t="str">
        <f>IFERROR(VLOOKUP(E105,'(新)ASTRO'!$A$3:$J$44,8,0),"")</f>
        <v/>
      </c>
      <c r="G105" s="7" t="str">
        <f>IFERROR(VLOOKUP(E105,'(旧)ASTRO'!$A$3:$K$50,10,0),"")</f>
        <v/>
      </c>
      <c r="H105" s="12" t="s">
        <v>60</v>
      </c>
      <c r="I105" s="7" t="str">
        <f>IFERROR(VLOOKUP(E105,'(新)ASTRO'!$A$3:$J$44,10,0),"")</f>
        <v/>
      </c>
    </row>
    <row r="106" spans="1:9" s="19" customFormat="1" ht="13.8" thickBot="1" x14ac:dyDescent="0.2">
      <c r="A106" s="11">
        <v>105</v>
      </c>
      <c r="B106" s="7" t="str">
        <f>IFERROR(VLOOKUP(E106,'(新)ASTRO'!$A$3:$J$44,2,0),"")</f>
        <v/>
      </c>
      <c r="C106" s="7" t="str">
        <f>IFERROR(VLOOKUP(E106,'(新)ASTRO'!$A$3:$J$30,4,0),"")</f>
        <v/>
      </c>
      <c r="D106" s="7" t="str">
        <f>IFERROR(VLOOKUP(E106,'(新)ASTRO'!$A$3:$J$44,5,0),"")</f>
        <v/>
      </c>
      <c r="E106" s="23">
        <f>'(新)ASTRO'!A101</f>
        <v>0</v>
      </c>
      <c r="F106" s="8" t="str">
        <f>IFERROR(VLOOKUP(E106,'(新)ASTRO'!$A$3:$J$44,8,0),"")</f>
        <v/>
      </c>
      <c r="G106" s="7" t="str">
        <f>IFERROR(VLOOKUP(E106,'(旧)ASTRO'!$A$3:$K$50,10,0),"")</f>
        <v/>
      </c>
      <c r="H106" s="12" t="s">
        <v>60</v>
      </c>
      <c r="I106" s="7" t="str">
        <f>IFERROR(VLOOKUP(E106,'(新)ASTRO'!$A$3:$J$44,10,0),"")</f>
        <v/>
      </c>
    </row>
    <row r="107" spans="1:9" s="19" customFormat="1" ht="13.8" thickBot="1" x14ac:dyDescent="0.2">
      <c r="A107" s="11">
        <v>106</v>
      </c>
      <c r="B107" s="7" t="str">
        <f>IFERROR(VLOOKUP(E107,'(新)ASTRO'!$A$3:$J$44,2,0),"")</f>
        <v/>
      </c>
      <c r="C107" s="7" t="str">
        <f>IFERROR(VLOOKUP(E107,'(新)ASTRO'!$A$3:$J$30,4,0),"")</f>
        <v/>
      </c>
      <c r="D107" s="7" t="str">
        <f>IFERROR(VLOOKUP(E107,'(新)ASTRO'!$A$3:$J$44,5,0),"")</f>
        <v/>
      </c>
      <c r="E107" s="23">
        <f>'(新)ASTRO'!A102</f>
        <v>0</v>
      </c>
      <c r="F107" s="8" t="str">
        <f>IFERROR(VLOOKUP(E107,'(新)ASTRO'!$A$3:$J$30,8,0),"")</f>
        <v/>
      </c>
      <c r="G107" s="7" t="str">
        <f>IFERROR(VLOOKUP(E107,'(旧)ASTRO'!$A$3:$K$50,10,0),"")</f>
        <v/>
      </c>
      <c r="H107" s="12" t="s">
        <v>60</v>
      </c>
      <c r="I107" s="7" t="str">
        <f>IFERROR(VLOOKUP(E107,'(新)ASTRO'!$A$3:$J$44,10,0),"")</f>
        <v/>
      </c>
    </row>
    <row r="108" spans="1:9" s="19" customFormat="1" ht="13.8" thickBot="1" x14ac:dyDescent="0.2">
      <c r="A108" s="11">
        <v>107</v>
      </c>
      <c r="B108" s="7" t="str">
        <f>IFERROR(VLOOKUP(E108,'(新)ASTRO'!$A$3:$J$44,2,0),"")</f>
        <v/>
      </c>
      <c r="C108" s="7" t="str">
        <f>IFERROR(VLOOKUP(E108,'(新)ASTRO'!$A$3:$J$30,4,0),"")</f>
        <v/>
      </c>
      <c r="D108" s="7" t="str">
        <f>IFERROR(VLOOKUP(E108,'(新)ASTRO'!$A$3:$J$44,5,0),"")</f>
        <v/>
      </c>
      <c r="E108" s="23">
        <f>'(新)ASTRO'!A103</f>
        <v>0</v>
      </c>
      <c r="F108" s="8" t="str">
        <f>IFERROR(VLOOKUP(E108,'(新)ASTRO'!$A$3:$J$30,8,0),"")</f>
        <v/>
      </c>
      <c r="G108" s="7" t="str">
        <f>IFERROR(VLOOKUP(E108,'(旧)ASTRO'!$A$3:$K$50,10,0),"")</f>
        <v/>
      </c>
      <c r="H108" s="12" t="s">
        <v>60</v>
      </c>
      <c r="I108" s="7" t="str">
        <f>IFERROR(VLOOKUP(E108,'(新)ASTRO'!$A$3:$J$44,10,0),"")</f>
        <v/>
      </c>
    </row>
    <row r="109" spans="1:9" s="19" customFormat="1" ht="13.8" thickBot="1" x14ac:dyDescent="0.2">
      <c r="A109" s="11">
        <v>108</v>
      </c>
      <c r="B109" s="7" t="str">
        <f>IFERROR(VLOOKUP(E109,'(新)ASTRO'!$A$3:$J$44,2,0),"")</f>
        <v/>
      </c>
      <c r="C109" s="7" t="str">
        <f>IFERROR(VLOOKUP(E109,'(新)ASTRO'!$A$3:$J$30,4,0),"")</f>
        <v/>
      </c>
      <c r="D109" s="7" t="str">
        <f>IFERROR(VLOOKUP(E109,'(新)ASTRO'!$A$3:$J$30,5,0),"")</f>
        <v/>
      </c>
      <c r="E109" s="23">
        <f>'(新)ASTRO'!A104</f>
        <v>0</v>
      </c>
      <c r="F109" s="8" t="str">
        <f>IFERROR(VLOOKUP(E109,'(新)ASTRO'!$A$3:$J$30,8,0),"")</f>
        <v/>
      </c>
      <c r="G109" s="7" t="str">
        <f>IFERROR(VLOOKUP(E109,'(旧)ASTRO'!$A$3:$K$50,10,0),"")</f>
        <v/>
      </c>
      <c r="H109" s="12" t="s">
        <v>60</v>
      </c>
      <c r="I109" s="7" t="str">
        <f>IFERROR(VLOOKUP(E109,'(新)ASTRO'!$A$3:$J$44,10,0),"")</f>
        <v/>
      </c>
    </row>
    <row r="110" spans="1:9" s="19" customFormat="1" ht="13.8" thickBot="1" x14ac:dyDescent="0.2">
      <c r="A110" s="11">
        <v>109</v>
      </c>
      <c r="B110" s="7" t="str">
        <f>IFERROR(VLOOKUP(E110,'(新)ASTRO'!$A$3:$J$44,2,0),"")</f>
        <v/>
      </c>
      <c r="C110" s="7" t="str">
        <f>IFERROR(VLOOKUP(E110,'(新)ASTRO'!$A$3:$J$30,4,0),"")</f>
        <v/>
      </c>
      <c r="D110" s="7" t="str">
        <f>IFERROR(VLOOKUP(E110,'(新)ASTRO'!$A$3:$J$30,5,0),"")</f>
        <v/>
      </c>
      <c r="E110" s="23">
        <f>'(新)ASTRO'!A105</f>
        <v>0</v>
      </c>
      <c r="F110" s="8" t="str">
        <f>IFERROR(VLOOKUP(E110,'(新)ASTRO'!$A$3:$J$30,8,0),"")</f>
        <v/>
      </c>
      <c r="G110" s="7" t="str">
        <f>IFERROR(VLOOKUP(E110,'(旧)ASTRO'!$A$3:$K$50,10,0),"")</f>
        <v/>
      </c>
      <c r="H110" s="12" t="s">
        <v>60</v>
      </c>
      <c r="I110" s="7" t="str">
        <f>IFERROR(VLOOKUP(E110,'(新)ASTRO'!$A$3:$J$44,10,0),"")</f>
        <v/>
      </c>
    </row>
    <row r="111" spans="1:9" s="19" customFormat="1" ht="13.8" thickBot="1" x14ac:dyDescent="0.2">
      <c r="A111" s="11">
        <v>110</v>
      </c>
      <c r="B111" s="7" t="str">
        <f>IFERROR(VLOOKUP(E111,'(新)ASTRO'!$A$3:$J$30,2,0),"")</f>
        <v/>
      </c>
      <c r="C111" s="7" t="str">
        <f>IFERROR(VLOOKUP(E111,'(新)ASTRO'!$A$3:$J$30,4,0),"")</f>
        <v/>
      </c>
      <c r="D111" s="7" t="str">
        <f>IFERROR(VLOOKUP(E111,'(新)ASTRO'!$A$3:$J$30,5,0),"")</f>
        <v/>
      </c>
      <c r="E111" s="23">
        <f>'(新)ASTRO'!A106</f>
        <v>0</v>
      </c>
      <c r="F111" s="8" t="str">
        <f>IFERROR(VLOOKUP(E111,'(新)ASTRO'!$A$3:$J$30,8,0),"")</f>
        <v/>
      </c>
      <c r="G111" s="7" t="str">
        <f>IFERROR(VLOOKUP(E111,'(旧)ASTRO'!$A$3:$K$50,10,0),"")</f>
        <v/>
      </c>
      <c r="H111" s="12" t="s">
        <v>60</v>
      </c>
      <c r="I111" s="7" t="str">
        <f>IFERROR(VLOOKUP(E111,'(新)ASTRO'!$A$3:$J$30,10,0),"")</f>
        <v/>
      </c>
    </row>
    <row r="112" spans="1:9" s="19" customFormat="1" ht="13.8" thickBot="1" x14ac:dyDescent="0.2">
      <c r="A112" s="11">
        <v>111</v>
      </c>
      <c r="B112" s="7" t="str">
        <f>IFERROR(VLOOKUP(E112,'(新)ASTRO'!$A$3:$J$30,2,0),"")</f>
        <v/>
      </c>
      <c r="C112" s="7" t="str">
        <f>IFERROR(VLOOKUP(E112,'(新)ASTRO'!$A$3:$J$30,4,0),"")</f>
        <v/>
      </c>
      <c r="D112" s="7" t="str">
        <f>IFERROR(VLOOKUP(E112,'(新)ASTRO'!$A$3:$J$30,5,0),"")</f>
        <v/>
      </c>
      <c r="E112" s="23">
        <f>'(新)ASTRO'!A107</f>
        <v>0</v>
      </c>
      <c r="F112" s="8" t="str">
        <f>IFERROR(VLOOKUP(E112,'(新)ASTRO'!$A$3:$J$30,8,0),"")</f>
        <v/>
      </c>
      <c r="G112" s="7" t="str">
        <f>IFERROR(VLOOKUP(E112,'(旧)ASTRO'!$A$3:$K$50,10,0),"")</f>
        <v/>
      </c>
      <c r="H112" s="12" t="s">
        <v>60</v>
      </c>
      <c r="I112" s="7" t="str">
        <f>IFERROR(VLOOKUP(E112,'(新)ASTRO'!$A$3:$J$30,10,0),"")</f>
        <v/>
      </c>
    </row>
    <row r="113" spans="1:9" s="19" customFormat="1" ht="13.8" thickBot="1" x14ac:dyDescent="0.2">
      <c r="A113" s="11">
        <v>112</v>
      </c>
      <c r="B113" s="7" t="str">
        <f>IFERROR(VLOOKUP(E113,'(新)ASTRO'!$A$3:$J$30,2,0),"")</f>
        <v/>
      </c>
      <c r="C113" s="7" t="str">
        <f>IFERROR(VLOOKUP(E113,'(新)ASTRO'!$A$3:$J$30,4,0),"")</f>
        <v/>
      </c>
      <c r="D113" s="7" t="str">
        <f>IFERROR(VLOOKUP(E113,'(新)ASTRO'!$A$3:$J$30,5,0),"")</f>
        <v/>
      </c>
      <c r="E113" s="23">
        <f>'(新)ASTRO'!A108</f>
        <v>0</v>
      </c>
      <c r="F113" s="8" t="str">
        <f>IFERROR(VLOOKUP(E113,'(新)ASTRO'!$A$3:$J$30,8,0),"")</f>
        <v/>
      </c>
      <c r="G113" s="7" t="str">
        <f>IFERROR(VLOOKUP(E113,'(旧)ASTRO'!$A$3:$K$40,10,0),"")</f>
        <v/>
      </c>
      <c r="H113" s="12" t="s">
        <v>60</v>
      </c>
      <c r="I113" s="7" t="str">
        <f>IFERROR(VLOOKUP(E113,'(新)ASTRO'!$A$3:$J$30,10,0),"")</f>
        <v/>
      </c>
    </row>
    <row r="114" spans="1:9" s="19" customFormat="1" ht="13.8" thickBot="1" x14ac:dyDescent="0.2">
      <c r="A114" s="11">
        <v>113</v>
      </c>
      <c r="B114" s="7" t="str">
        <f>IFERROR(VLOOKUP(E114,'(新)ASTRO'!$A$3:$J$30,2,0),"")</f>
        <v/>
      </c>
      <c r="C114" s="7" t="str">
        <f>IFERROR(VLOOKUP(E114,'(新)ASTRO'!$A$3:$J$30,4,0),"")</f>
        <v/>
      </c>
      <c r="D114" s="7" t="str">
        <f>IFERROR(VLOOKUP(E114,'(新)ASTRO'!$A$3:$J$30,5,0),"")</f>
        <v/>
      </c>
      <c r="E114" s="23">
        <f>'(新)ASTRO'!A109</f>
        <v>0</v>
      </c>
      <c r="F114" s="8" t="str">
        <f>IFERROR(VLOOKUP(E114,'(新)ASTRO'!$A$3:$J$30,8,0),"")</f>
        <v/>
      </c>
      <c r="G114" s="7" t="str">
        <f>IFERROR(VLOOKUP(E114,'(旧)ASTRO'!$A$3:$K$40,10,0),"")</f>
        <v/>
      </c>
      <c r="H114" s="12" t="s">
        <v>60</v>
      </c>
      <c r="I114" s="7" t="str">
        <f>IFERROR(VLOOKUP(E114,'(新)ASTRO'!$A$3:$J$30,10,0),"")</f>
        <v/>
      </c>
    </row>
    <row r="115" spans="1:9" s="19" customFormat="1" ht="13.8" thickBot="1" x14ac:dyDescent="0.2">
      <c r="A115" s="11">
        <v>114</v>
      </c>
      <c r="B115" s="7" t="str">
        <f>IFERROR(VLOOKUP(E115,'(新)ASTRO'!$A$3:$J$30,2,0),"")</f>
        <v/>
      </c>
      <c r="C115" s="7" t="str">
        <f>IFERROR(VLOOKUP(E115,'(新)ASTRO'!$A$3:$J$30,4,0),"")</f>
        <v/>
      </c>
      <c r="D115" s="7" t="str">
        <f>IFERROR(VLOOKUP(E115,'(新)ASTRO'!$A$3:$J$30,5,0),"")</f>
        <v/>
      </c>
      <c r="E115" s="23">
        <f>'(新)ASTRO'!A110</f>
        <v>0</v>
      </c>
      <c r="F115" s="8" t="str">
        <f>IFERROR(VLOOKUP(E115,'(新)ASTRO'!$A$3:$J$30,8,0),"")</f>
        <v/>
      </c>
      <c r="G115" s="7" t="str">
        <f>IFERROR(VLOOKUP(E115,'(旧)ASTRO'!$A$3:$K$40,10,0),"")</f>
        <v/>
      </c>
      <c r="H115" s="12" t="s">
        <v>60</v>
      </c>
      <c r="I115" s="7" t="str">
        <f>IFERROR(VLOOKUP(E115,'(新)ASTRO'!$A$3:$J$30,10,0),"")</f>
        <v/>
      </c>
    </row>
    <row r="116" spans="1:9" s="19" customFormat="1" ht="13.8" thickBot="1" x14ac:dyDescent="0.2">
      <c r="A116" s="11">
        <v>115</v>
      </c>
      <c r="B116" s="7" t="str">
        <f>IFERROR(VLOOKUP(E116,'(新)ASTRO'!$A$3:$J$30,2,0),"")</f>
        <v/>
      </c>
      <c r="C116" s="7" t="str">
        <f>IFERROR(VLOOKUP(E116,'(新)ASTRO'!$A$3:$J$30,4,0),"")</f>
        <v/>
      </c>
      <c r="D116" s="7" t="str">
        <f>IFERROR(VLOOKUP(E116,'(新)ASTRO'!$A$3:$J$30,5,0),"")</f>
        <v/>
      </c>
      <c r="E116" s="23">
        <f>'(新)ASTRO'!A111</f>
        <v>0</v>
      </c>
      <c r="F116" s="8" t="str">
        <f>IFERROR(VLOOKUP(E116,'(新)ASTRO'!$A$3:$J$30,8,0),"")</f>
        <v/>
      </c>
      <c r="G116" s="7" t="str">
        <f>IFERROR(VLOOKUP(E116,'(旧)ASTRO'!$A$3:$K$40,10,0),"")</f>
        <v/>
      </c>
      <c r="H116" s="12" t="s">
        <v>60</v>
      </c>
      <c r="I116" s="7" t="str">
        <f>IFERROR(VLOOKUP(E116,'(新)ASTRO'!$A$3:$J$30,10,0),"")</f>
        <v/>
      </c>
    </row>
    <row r="117" spans="1:9" s="19" customFormat="1" x14ac:dyDescent="0.2">
      <c r="E117"/>
    </row>
    <row r="118" spans="1:9" s="19" customFormat="1" x14ac:dyDescent="0.2">
      <c r="E118"/>
    </row>
    <row r="119" spans="1:9" s="19" customFormat="1" x14ac:dyDescent="0.2">
      <c r="E119"/>
    </row>
    <row r="120" spans="1:9" s="19" customFormat="1" x14ac:dyDescent="0.2">
      <c r="E120"/>
    </row>
    <row r="121" spans="1:9" s="19" customFormat="1" x14ac:dyDescent="0.2">
      <c r="E121"/>
    </row>
    <row r="122" spans="1:9" s="19" customFormat="1" x14ac:dyDescent="0.2">
      <c r="E122"/>
    </row>
    <row r="123" spans="1:9" s="19" customFormat="1" x14ac:dyDescent="0.2">
      <c r="E123"/>
    </row>
    <row r="124" spans="1:9" s="19" customFormat="1" x14ac:dyDescent="0.2">
      <c r="E124"/>
    </row>
    <row r="125" spans="1:9" s="19" customFormat="1" x14ac:dyDescent="0.2">
      <c r="E125"/>
    </row>
    <row r="126" spans="1:9" s="19" customFormat="1" x14ac:dyDescent="0.2">
      <c r="E126"/>
    </row>
    <row r="127" spans="1:9" s="19" customFormat="1" x14ac:dyDescent="0.2">
      <c r="E127"/>
    </row>
    <row r="128" spans="1:9" s="19" customFormat="1" x14ac:dyDescent="0.2">
      <c r="E128"/>
    </row>
    <row r="129" spans="5:5" s="19" customFormat="1" x14ac:dyDescent="0.2">
      <c r="E129"/>
    </row>
    <row r="130" spans="5:5" s="19" customFormat="1" x14ac:dyDescent="0.2">
      <c r="E130"/>
    </row>
    <row r="131" spans="5:5" s="19" customFormat="1" x14ac:dyDescent="0.2">
      <c r="E131"/>
    </row>
    <row r="132" spans="5:5" s="19" customFormat="1" x14ac:dyDescent="0.2">
      <c r="E132"/>
    </row>
    <row r="133" spans="5:5" s="19" customFormat="1" x14ac:dyDescent="0.2">
      <c r="E133"/>
    </row>
    <row r="134" spans="5:5" s="19" customFormat="1" x14ac:dyDescent="0.2">
      <c r="E134"/>
    </row>
    <row r="135" spans="5:5" s="19" customFormat="1" x14ac:dyDescent="0.2">
      <c r="E135"/>
    </row>
    <row r="136" spans="5:5" s="19" customFormat="1" x14ac:dyDescent="0.2">
      <c r="E136"/>
    </row>
    <row r="137" spans="5:5" s="19" customFormat="1" x14ac:dyDescent="0.2">
      <c r="E137"/>
    </row>
    <row r="138" spans="5:5" s="19" customFormat="1" x14ac:dyDescent="0.2">
      <c r="E138"/>
    </row>
    <row r="139" spans="5:5" s="19" customFormat="1" x14ac:dyDescent="0.2">
      <c r="E139"/>
    </row>
    <row r="140" spans="5:5" s="19" customFormat="1" x14ac:dyDescent="0.2">
      <c r="E140"/>
    </row>
    <row r="141" spans="5:5" s="19" customFormat="1" x14ac:dyDescent="0.2">
      <c r="E141"/>
    </row>
    <row r="142" spans="5:5" s="19" customFormat="1" x14ac:dyDescent="0.2">
      <c r="E142"/>
    </row>
    <row r="143" spans="5:5" s="19" customFormat="1" x14ac:dyDescent="0.2">
      <c r="E143"/>
    </row>
    <row r="144" spans="5:5" s="19" customFormat="1" x14ac:dyDescent="0.2">
      <c r="E144"/>
    </row>
    <row r="145" spans="5:5" s="19" customFormat="1" x14ac:dyDescent="0.2">
      <c r="E145"/>
    </row>
    <row r="146" spans="5:5" s="19" customFormat="1" x14ac:dyDescent="0.2">
      <c r="E146"/>
    </row>
    <row r="147" spans="5:5" s="19" customFormat="1" x14ac:dyDescent="0.2">
      <c r="E147"/>
    </row>
    <row r="148" spans="5:5" s="19" customFormat="1" x14ac:dyDescent="0.2">
      <c r="E148"/>
    </row>
    <row r="149" spans="5:5" s="19" customFormat="1" x14ac:dyDescent="0.2">
      <c r="E149"/>
    </row>
    <row r="150" spans="5:5" s="19" customFormat="1" x14ac:dyDescent="0.2">
      <c r="E150"/>
    </row>
    <row r="151" spans="5:5" s="19" customFormat="1" x14ac:dyDescent="0.2">
      <c r="E151"/>
    </row>
    <row r="152" spans="5:5" s="19" customFormat="1" x14ac:dyDescent="0.2">
      <c r="E152"/>
    </row>
    <row r="153" spans="5:5" s="19" customFormat="1" x14ac:dyDescent="0.2">
      <c r="E153"/>
    </row>
    <row r="154" spans="5:5" s="19" customFormat="1" x14ac:dyDescent="0.2">
      <c r="E154"/>
    </row>
    <row r="155" spans="5:5" s="19" customFormat="1" x14ac:dyDescent="0.2">
      <c r="E155"/>
    </row>
    <row r="156" spans="5:5" s="19" customFormat="1" x14ac:dyDescent="0.2">
      <c r="E156"/>
    </row>
    <row r="157" spans="5:5" s="19" customFormat="1" x14ac:dyDescent="0.2">
      <c r="E157"/>
    </row>
    <row r="158" spans="5:5" s="19" customFormat="1" x14ac:dyDescent="0.2">
      <c r="E158"/>
    </row>
    <row r="159" spans="5:5" s="19" customFormat="1" x14ac:dyDescent="0.2">
      <c r="E159"/>
    </row>
    <row r="160" spans="5:5" s="19" customFormat="1" x14ac:dyDescent="0.2">
      <c r="E160"/>
    </row>
    <row r="161" spans="5:5" s="19" customFormat="1" x14ac:dyDescent="0.2">
      <c r="E161"/>
    </row>
    <row r="162" spans="5:5" s="19" customFormat="1" x14ac:dyDescent="0.2">
      <c r="E162"/>
    </row>
    <row r="163" spans="5:5" s="19" customFormat="1" x14ac:dyDescent="0.2">
      <c r="E163"/>
    </row>
    <row r="164" spans="5:5" s="19" customFormat="1" x14ac:dyDescent="0.2">
      <c r="E164"/>
    </row>
    <row r="165" spans="5:5" s="19" customFormat="1" x14ac:dyDescent="0.2">
      <c r="E165"/>
    </row>
    <row r="166" spans="5:5" s="19" customFormat="1" x14ac:dyDescent="0.2">
      <c r="E166"/>
    </row>
    <row r="167" spans="5:5" s="19" customFormat="1" x14ac:dyDescent="0.2">
      <c r="E167"/>
    </row>
    <row r="168" spans="5:5" s="19" customFormat="1" x14ac:dyDescent="0.2">
      <c r="E168"/>
    </row>
    <row r="169" spans="5:5" s="19" customFormat="1" x14ac:dyDescent="0.2">
      <c r="E169"/>
    </row>
    <row r="170" spans="5:5" s="19" customFormat="1" x14ac:dyDescent="0.2">
      <c r="E170"/>
    </row>
    <row r="171" spans="5:5" s="19" customFormat="1" x14ac:dyDescent="0.2">
      <c r="E171"/>
    </row>
    <row r="172" spans="5:5" s="19" customFormat="1" x14ac:dyDescent="0.2">
      <c r="E172"/>
    </row>
    <row r="173" spans="5:5" s="19" customFormat="1" x14ac:dyDescent="0.2">
      <c r="E173"/>
    </row>
    <row r="174" spans="5:5" s="19" customFormat="1" x14ac:dyDescent="0.2">
      <c r="E174"/>
    </row>
    <row r="175" spans="5:5" s="19" customFormat="1" x14ac:dyDescent="0.2">
      <c r="E175"/>
    </row>
    <row r="176" spans="5:5" s="19" customFormat="1" x14ac:dyDescent="0.2">
      <c r="E176"/>
    </row>
    <row r="177" spans="5:5" s="19" customFormat="1" x14ac:dyDescent="0.2">
      <c r="E177"/>
    </row>
    <row r="178" spans="5:5" s="19" customFormat="1" x14ac:dyDescent="0.2">
      <c r="E178"/>
    </row>
    <row r="179" spans="5:5" s="19" customFormat="1" x14ac:dyDescent="0.2">
      <c r="E179"/>
    </row>
    <row r="180" spans="5:5" s="19" customFormat="1" x14ac:dyDescent="0.2">
      <c r="E180"/>
    </row>
    <row r="181" spans="5:5" s="19" customFormat="1" x14ac:dyDescent="0.2">
      <c r="E181"/>
    </row>
    <row r="182" spans="5:5" s="19" customFormat="1" x14ac:dyDescent="0.2">
      <c r="E182"/>
    </row>
    <row r="183" spans="5:5" s="19" customFormat="1" x14ac:dyDescent="0.2">
      <c r="E183"/>
    </row>
    <row r="184" spans="5:5" s="19" customFormat="1" x14ac:dyDescent="0.2">
      <c r="E184"/>
    </row>
    <row r="185" spans="5:5" s="19" customFormat="1" x14ac:dyDescent="0.2">
      <c r="E185"/>
    </row>
    <row r="186" spans="5:5" s="19" customFormat="1" x14ac:dyDescent="0.2">
      <c r="E186"/>
    </row>
    <row r="187" spans="5:5" s="19" customFormat="1" x14ac:dyDescent="0.2">
      <c r="E187"/>
    </row>
    <row r="188" spans="5:5" s="19" customFormat="1" x14ac:dyDescent="0.2">
      <c r="E188"/>
    </row>
    <row r="189" spans="5:5" s="19" customFormat="1" x14ac:dyDescent="0.2">
      <c r="E189"/>
    </row>
    <row r="190" spans="5:5" s="19" customFormat="1" x14ac:dyDescent="0.2">
      <c r="E190"/>
    </row>
    <row r="191" spans="5:5" s="19" customFormat="1" x14ac:dyDescent="0.2">
      <c r="E191"/>
    </row>
    <row r="192" spans="5:5" s="19" customFormat="1" x14ac:dyDescent="0.2">
      <c r="E192"/>
    </row>
    <row r="193" spans="5:5" s="19" customFormat="1" x14ac:dyDescent="0.2">
      <c r="E193"/>
    </row>
    <row r="194" spans="5:5" s="19" customFormat="1" x14ac:dyDescent="0.2">
      <c r="E194"/>
    </row>
    <row r="195" spans="5:5" s="19" customFormat="1" x14ac:dyDescent="0.2">
      <c r="E195"/>
    </row>
    <row r="196" spans="5:5" s="19" customFormat="1" x14ac:dyDescent="0.2">
      <c r="E196"/>
    </row>
    <row r="197" spans="5:5" s="19" customFormat="1" x14ac:dyDescent="0.2">
      <c r="E197"/>
    </row>
    <row r="198" spans="5:5" s="19" customFormat="1" x14ac:dyDescent="0.2">
      <c r="E198"/>
    </row>
    <row r="199" spans="5:5" s="19" customFormat="1" x14ac:dyDescent="0.2">
      <c r="E199"/>
    </row>
    <row r="200" spans="5:5" s="19" customFormat="1" x14ac:dyDescent="0.2">
      <c r="E200"/>
    </row>
    <row r="201" spans="5:5" s="19" customFormat="1" x14ac:dyDescent="0.2">
      <c r="E201"/>
    </row>
    <row r="202" spans="5:5" s="19" customFormat="1" x14ac:dyDescent="0.2">
      <c r="E202"/>
    </row>
    <row r="203" spans="5:5" s="19" customFormat="1" x14ac:dyDescent="0.2">
      <c r="E203"/>
    </row>
    <row r="204" spans="5:5" s="19" customFormat="1" x14ac:dyDescent="0.2">
      <c r="E204"/>
    </row>
    <row r="205" spans="5:5" s="19" customFormat="1" x14ac:dyDescent="0.2">
      <c r="E205"/>
    </row>
    <row r="206" spans="5:5" s="19" customFormat="1" x14ac:dyDescent="0.2">
      <c r="E206"/>
    </row>
    <row r="207" spans="5:5" s="19" customFormat="1" x14ac:dyDescent="0.2">
      <c r="E207"/>
    </row>
    <row r="208" spans="5:5" s="19" customFormat="1" x14ac:dyDescent="0.2">
      <c r="E208"/>
    </row>
    <row r="209" spans="5:5" s="19" customFormat="1" x14ac:dyDescent="0.2">
      <c r="E209"/>
    </row>
    <row r="210" spans="5:5" s="19" customFormat="1" x14ac:dyDescent="0.2">
      <c r="E210"/>
    </row>
    <row r="211" spans="5:5" s="19" customFormat="1" x14ac:dyDescent="0.2">
      <c r="E211"/>
    </row>
    <row r="212" spans="5:5" s="19" customFormat="1" x14ac:dyDescent="0.2">
      <c r="E212"/>
    </row>
    <row r="213" spans="5:5" s="19" customFormat="1" x14ac:dyDescent="0.2">
      <c r="E213"/>
    </row>
    <row r="214" spans="5:5" s="19" customFormat="1" x14ac:dyDescent="0.2">
      <c r="E214"/>
    </row>
    <row r="215" spans="5:5" s="19" customFormat="1" x14ac:dyDescent="0.2">
      <c r="E215"/>
    </row>
    <row r="216" spans="5:5" s="19" customFormat="1" x14ac:dyDescent="0.2">
      <c r="E216"/>
    </row>
    <row r="217" spans="5:5" s="19" customFormat="1" x14ac:dyDescent="0.2">
      <c r="E217"/>
    </row>
    <row r="218" spans="5:5" s="19" customFormat="1" x14ac:dyDescent="0.2">
      <c r="E218"/>
    </row>
    <row r="219" spans="5:5" s="19" customFormat="1" x14ac:dyDescent="0.2">
      <c r="E219"/>
    </row>
    <row r="220" spans="5:5" s="19" customFormat="1" x14ac:dyDescent="0.2">
      <c r="E220"/>
    </row>
    <row r="221" spans="5:5" s="19" customFormat="1" x14ac:dyDescent="0.2">
      <c r="E221"/>
    </row>
    <row r="222" spans="5:5" s="19" customFormat="1" x14ac:dyDescent="0.2">
      <c r="E222"/>
    </row>
    <row r="223" spans="5:5" s="19" customFormat="1" x14ac:dyDescent="0.2">
      <c r="E223"/>
    </row>
    <row r="224" spans="5:5" s="19" customFormat="1" x14ac:dyDescent="0.2">
      <c r="E224"/>
    </row>
    <row r="225" spans="5:5" s="19" customFormat="1" x14ac:dyDescent="0.2">
      <c r="E225"/>
    </row>
    <row r="226" spans="5:5" s="19" customFormat="1" x14ac:dyDescent="0.2">
      <c r="E226"/>
    </row>
    <row r="227" spans="5:5" s="19" customFormat="1" x14ac:dyDescent="0.2">
      <c r="E227"/>
    </row>
    <row r="228" spans="5:5" s="19" customFormat="1" x14ac:dyDescent="0.2">
      <c r="E228"/>
    </row>
    <row r="229" spans="5:5" s="19" customFormat="1" x14ac:dyDescent="0.2">
      <c r="E229"/>
    </row>
    <row r="230" spans="5:5" s="19" customFormat="1" x14ac:dyDescent="0.2">
      <c r="E230"/>
    </row>
    <row r="231" spans="5:5" s="19" customFormat="1" x14ac:dyDescent="0.2">
      <c r="E231"/>
    </row>
    <row r="232" spans="5:5" s="19" customFormat="1" x14ac:dyDescent="0.2">
      <c r="E232"/>
    </row>
    <row r="233" spans="5:5" s="19" customFormat="1" x14ac:dyDescent="0.2">
      <c r="E233"/>
    </row>
    <row r="234" spans="5:5" s="19" customFormat="1" x14ac:dyDescent="0.2"/>
    <row r="235" spans="5:5" s="19" customFormat="1" x14ac:dyDescent="0.2"/>
    <row r="236" spans="5:5" s="19" customFormat="1" x14ac:dyDescent="0.2"/>
    <row r="237" spans="5:5" s="19" customFormat="1" x14ac:dyDescent="0.2"/>
    <row r="238" spans="5:5" s="19" customFormat="1" x14ac:dyDescent="0.2"/>
    <row r="239" spans="5:5" s="19" customFormat="1" x14ac:dyDescent="0.2"/>
    <row r="240" spans="5:5" s="19" customFormat="1" x14ac:dyDescent="0.2"/>
    <row r="241" s="19" customFormat="1" x14ac:dyDescent="0.2"/>
    <row r="242" s="19" customFormat="1" x14ac:dyDescent="0.2"/>
    <row r="243" s="19" customFormat="1" x14ac:dyDescent="0.2"/>
    <row r="244" s="19" customFormat="1" x14ac:dyDescent="0.2"/>
    <row r="245" s="19" customFormat="1" x14ac:dyDescent="0.2"/>
    <row r="246" s="19" customFormat="1" x14ac:dyDescent="0.2"/>
    <row r="247" s="19" customFormat="1" x14ac:dyDescent="0.2"/>
    <row r="248" s="19" customFormat="1" x14ac:dyDescent="0.2"/>
    <row r="249" s="19" customFormat="1" x14ac:dyDescent="0.2"/>
    <row r="250" s="19" customFormat="1" x14ac:dyDescent="0.2"/>
    <row r="251" s="19" customFormat="1" x14ac:dyDescent="0.2"/>
    <row r="252" s="19" customFormat="1" x14ac:dyDescent="0.2"/>
    <row r="253" s="19" customFormat="1" x14ac:dyDescent="0.2"/>
    <row r="254" s="19" customFormat="1" x14ac:dyDescent="0.2"/>
    <row r="255" s="19" customFormat="1" x14ac:dyDescent="0.2"/>
    <row r="256" s="19" customFormat="1" x14ac:dyDescent="0.2"/>
    <row r="257" s="19" customFormat="1" x14ac:dyDescent="0.2"/>
    <row r="258" s="19" customFormat="1" x14ac:dyDescent="0.2"/>
    <row r="259" s="19" customFormat="1" x14ac:dyDescent="0.2"/>
    <row r="260" s="19" customFormat="1" x14ac:dyDescent="0.2"/>
    <row r="261" s="19" customFormat="1" x14ac:dyDescent="0.2"/>
    <row r="262" s="19" customFormat="1" x14ac:dyDescent="0.2"/>
    <row r="263" s="19" customFormat="1" x14ac:dyDescent="0.2"/>
    <row r="264" s="19" customFormat="1" x14ac:dyDescent="0.2"/>
    <row r="265" s="19" customFormat="1" x14ac:dyDescent="0.2"/>
    <row r="266" s="19" customFormat="1" x14ac:dyDescent="0.2"/>
    <row r="267" s="19" customFormat="1" x14ac:dyDescent="0.2"/>
    <row r="268" s="19" customFormat="1" x14ac:dyDescent="0.2"/>
    <row r="269" s="19" customFormat="1" x14ac:dyDescent="0.2"/>
    <row r="270" s="19" customFormat="1" x14ac:dyDescent="0.2"/>
    <row r="271" s="19" customFormat="1" x14ac:dyDescent="0.2"/>
    <row r="272" s="19" customFormat="1" x14ac:dyDescent="0.2"/>
    <row r="273" s="19" customFormat="1" x14ac:dyDescent="0.2"/>
    <row r="274" s="19" customFormat="1" x14ac:dyDescent="0.2"/>
    <row r="275" s="19" customFormat="1" x14ac:dyDescent="0.2"/>
    <row r="276" s="19" customFormat="1" x14ac:dyDescent="0.2"/>
    <row r="277" s="19" customFormat="1" x14ac:dyDescent="0.2"/>
    <row r="278" s="19" customFormat="1" x14ac:dyDescent="0.2"/>
    <row r="279" s="19" customFormat="1" x14ac:dyDescent="0.2"/>
    <row r="280" s="19" customFormat="1" x14ac:dyDescent="0.2"/>
    <row r="281" s="19" customFormat="1" x14ac:dyDescent="0.2"/>
    <row r="282" s="19" customFormat="1" x14ac:dyDescent="0.2"/>
    <row r="283" s="19" customFormat="1" x14ac:dyDescent="0.2"/>
    <row r="284" s="19" customFormat="1" x14ac:dyDescent="0.2"/>
    <row r="285" s="19" customFormat="1" x14ac:dyDescent="0.2"/>
    <row r="286" s="19" customFormat="1" x14ac:dyDescent="0.2"/>
  </sheetData>
  <autoFilter ref="A1:I116"/>
  <phoneticPr fontId="2"/>
  <conditionalFormatting sqref="G2:G116 I2:I116">
    <cfRule type="expression" dxfId="2" priority="2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86"/>
  <sheetViews>
    <sheetView zoomScale="110" zoomScaleNormal="110" workbookViewId="0">
      <pane ySplit="2" topLeftCell="A3" activePane="bottomLeft" state="frozen"/>
      <selection activeCell="L269" sqref="L269"/>
      <selection pane="bottomLeft" activeCell="D74" sqref="D74"/>
    </sheetView>
  </sheetViews>
  <sheetFormatPr defaultRowHeight="13.2" x14ac:dyDescent="0.2"/>
  <sheetData>
    <row r="1" spans="1:11" x14ac:dyDescent="0.2">
      <c r="A1" s="31" t="s">
        <v>3</v>
      </c>
      <c r="B1" s="31" t="s">
        <v>0</v>
      </c>
      <c r="C1" s="31" t="s">
        <v>1</v>
      </c>
      <c r="D1" s="31" t="s">
        <v>2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</row>
    <row r="2" spans="1:11" ht="13.8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3.8" thickBot="1" x14ac:dyDescent="0.25">
      <c r="A3" s="27" t="s">
        <v>196</v>
      </c>
      <c r="B3" s="27" t="s">
        <v>256</v>
      </c>
      <c r="C3" s="27" t="s">
        <v>11</v>
      </c>
      <c r="D3" s="28" t="s">
        <v>134</v>
      </c>
      <c r="E3" s="28" t="s">
        <v>197</v>
      </c>
      <c r="F3" s="28" t="s">
        <v>135</v>
      </c>
      <c r="G3" s="28" t="s">
        <v>30</v>
      </c>
      <c r="H3" s="28" t="s">
        <v>136</v>
      </c>
      <c r="I3" s="28" t="s">
        <v>198</v>
      </c>
      <c r="J3" s="27" t="s">
        <v>180</v>
      </c>
      <c r="K3" s="27" t="s">
        <v>179</v>
      </c>
    </row>
    <row r="4" spans="1:11" ht="13.8" thickBot="1" x14ac:dyDescent="0.25">
      <c r="A4" s="27" t="s">
        <v>228</v>
      </c>
      <c r="B4" s="27" t="s">
        <v>256</v>
      </c>
      <c r="C4" s="27" t="s">
        <v>14</v>
      </c>
      <c r="D4" s="28" t="s">
        <v>115</v>
      </c>
      <c r="E4" s="28" t="s">
        <v>33</v>
      </c>
      <c r="F4" s="28" t="s">
        <v>116</v>
      </c>
      <c r="G4" s="28" t="s">
        <v>13</v>
      </c>
      <c r="H4" s="28" t="s">
        <v>144</v>
      </c>
      <c r="I4" s="28"/>
      <c r="J4" s="27" t="s">
        <v>201</v>
      </c>
      <c r="K4" s="27" t="s">
        <v>213</v>
      </c>
    </row>
    <row r="5" spans="1:11" ht="13.8" thickBot="1" x14ac:dyDescent="0.25">
      <c r="A5" s="27" t="s">
        <v>226</v>
      </c>
      <c r="B5" s="27" t="s">
        <v>256</v>
      </c>
      <c r="C5" s="27" t="s">
        <v>15</v>
      </c>
      <c r="D5" s="28" t="s">
        <v>88</v>
      </c>
      <c r="E5" s="28" t="s">
        <v>397</v>
      </c>
      <c r="F5" s="28" t="s">
        <v>89</v>
      </c>
      <c r="G5" s="28" t="s">
        <v>13</v>
      </c>
      <c r="H5" s="28" t="s">
        <v>125</v>
      </c>
      <c r="I5" s="28" t="s">
        <v>398</v>
      </c>
      <c r="J5" s="27" t="s">
        <v>207</v>
      </c>
      <c r="K5" s="27" t="s">
        <v>222</v>
      </c>
    </row>
    <row r="6" spans="1:11" ht="13.8" thickBot="1" x14ac:dyDescent="0.25">
      <c r="A6" s="27" t="s">
        <v>350</v>
      </c>
      <c r="B6" s="27" t="s">
        <v>256</v>
      </c>
      <c r="C6" s="27" t="s">
        <v>16</v>
      </c>
      <c r="D6" s="28" t="s">
        <v>137</v>
      </c>
      <c r="E6" s="28" t="s">
        <v>12</v>
      </c>
      <c r="F6" s="28" t="s">
        <v>138</v>
      </c>
      <c r="G6" s="28" t="s">
        <v>30</v>
      </c>
      <c r="H6" s="28" t="s">
        <v>139</v>
      </c>
      <c r="I6" s="28" t="s">
        <v>393</v>
      </c>
      <c r="J6" s="27" t="s">
        <v>210</v>
      </c>
      <c r="K6" s="27" t="s">
        <v>219</v>
      </c>
    </row>
    <row r="7" spans="1:11" ht="13.8" thickBot="1" x14ac:dyDescent="0.25">
      <c r="A7" s="27" t="s">
        <v>351</v>
      </c>
      <c r="B7" s="27" t="s">
        <v>256</v>
      </c>
      <c r="C7" s="27" t="s">
        <v>17</v>
      </c>
      <c r="D7" s="28" t="s">
        <v>137</v>
      </c>
      <c r="E7" s="28" t="s">
        <v>12</v>
      </c>
      <c r="F7" s="28" t="s">
        <v>138</v>
      </c>
      <c r="G7" s="28" t="s">
        <v>30</v>
      </c>
      <c r="H7" s="28" t="s">
        <v>139</v>
      </c>
      <c r="I7" s="28" t="s">
        <v>394</v>
      </c>
      <c r="J7" s="27" t="s">
        <v>211</v>
      </c>
      <c r="K7" s="27" t="s">
        <v>220</v>
      </c>
    </row>
    <row r="8" spans="1:11" ht="13.8" thickBot="1" x14ac:dyDescent="0.25">
      <c r="A8" s="27" t="s">
        <v>349</v>
      </c>
      <c r="B8" s="27" t="s">
        <v>256</v>
      </c>
      <c r="C8" s="27" t="s">
        <v>18</v>
      </c>
      <c r="D8" s="28" t="s">
        <v>142</v>
      </c>
      <c r="E8" s="28" t="s">
        <v>152</v>
      </c>
      <c r="F8" s="28" t="s">
        <v>117</v>
      </c>
      <c r="G8" s="28" t="s">
        <v>37</v>
      </c>
      <c r="H8" s="28" t="s">
        <v>143</v>
      </c>
      <c r="I8" s="28" t="s">
        <v>461</v>
      </c>
      <c r="J8" s="27" t="s">
        <v>212</v>
      </c>
      <c r="K8" s="27" t="s">
        <v>222</v>
      </c>
    </row>
    <row r="9" spans="1:11" ht="13.8" thickBot="1" x14ac:dyDescent="0.25">
      <c r="A9" s="27" t="s">
        <v>227</v>
      </c>
      <c r="B9" s="27" t="s">
        <v>256</v>
      </c>
      <c r="C9" s="27" t="s">
        <v>19</v>
      </c>
      <c r="D9" s="28" t="s">
        <v>115</v>
      </c>
      <c r="E9" s="28" t="s">
        <v>1201</v>
      </c>
      <c r="F9" s="28" t="s">
        <v>116</v>
      </c>
      <c r="G9" s="28" t="s">
        <v>13</v>
      </c>
      <c r="H9" s="28" t="s">
        <v>144</v>
      </c>
      <c r="I9" s="28" t="s">
        <v>1202</v>
      </c>
      <c r="J9" s="27" t="s">
        <v>213</v>
      </c>
      <c r="K9" s="27" t="s">
        <v>221</v>
      </c>
    </row>
    <row r="10" spans="1:11" ht="13.8" thickBot="1" x14ac:dyDescent="0.25">
      <c r="A10" s="27" t="s">
        <v>352</v>
      </c>
      <c r="B10" s="27" t="s">
        <v>256</v>
      </c>
      <c r="C10" s="27" t="s">
        <v>20</v>
      </c>
      <c r="D10" s="28" t="s">
        <v>115</v>
      </c>
      <c r="E10" s="28" t="s">
        <v>469</v>
      </c>
      <c r="F10" s="28" t="s">
        <v>116</v>
      </c>
      <c r="G10" s="28" t="s">
        <v>13</v>
      </c>
      <c r="H10" s="28" t="s">
        <v>144</v>
      </c>
      <c r="I10" s="28" t="s">
        <v>514</v>
      </c>
      <c r="J10" s="27" t="s">
        <v>214</v>
      </c>
      <c r="K10" s="27" t="s">
        <v>222</v>
      </c>
    </row>
    <row r="11" spans="1:11" ht="13.8" thickBot="1" x14ac:dyDescent="0.25">
      <c r="A11" s="27" t="s">
        <v>353</v>
      </c>
      <c r="B11" s="27" t="s">
        <v>256</v>
      </c>
      <c r="C11" s="27" t="s">
        <v>21</v>
      </c>
      <c r="D11" s="28" t="s">
        <v>134</v>
      </c>
      <c r="E11" s="28" t="s">
        <v>866</v>
      </c>
      <c r="F11" s="28" t="s">
        <v>135</v>
      </c>
      <c r="G11" s="28" t="s">
        <v>37</v>
      </c>
      <c r="H11" s="28" t="s">
        <v>136</v>
      </c>
      <c r="I11" s="28" t="s">
        <v>1111</v>
      </c>
      <c r="J11" s="27" t="s">
        <v>215</v>
      </c>
      <c r="K11" s="27" t="s">
        <v>260</v>
      </c>
    </row>
    <row r="12" spans="1:11" ht="13.8" thickBot="1" x14ac:dyDescent="0.25">
      <c r="A12" s="27" t="s">
        <v>354</v>
      </c>
      <c r="B12" s="27" t="s">
        <v>256</v>
      </c>
      <c r="C12" s="27" t="s">
        <v>22</v>
      </c>
      <c r="D12" s="28" t="s">
        <v>137</v>
      </c>
      <c r="E12" s="28" t="s">
        <v>462</v>
      </c>
      <c r="F12" s="28" t="s">
        <v>138</v>
      </c>
      <c r="G12" s="28" t="s">
        <v>30</v>
      </c>
      <c r="H12" s="28" t="s">
        <v>139</v>
      </c>
      <c r="I12" s="28" t="s">
        <v>463</v>
      </c>
      <c r="J12" s="27" t="s">
        <v>216</v>
      </c>
      <c r="K12" s="27" t="s">
        <v>260</v>
      </c>
    </row>
    <row r="13" spans="1:11" ht="13.8" thickBot="1" x14ac:dyDescent="0.25">
      <c r="A13" s="27" t="s">
        <v>355</v>
      </c>
      <c r="B13" s="27" t="s">
        <v>256</v>
      </c>
      <c r="C13" s="27" t="s">
        <v>23</v>
      </c>
      <c r="D13" s="28" t="s">
        <v>134</v>
      </c>
      <c r="E13" s="28" t="s">
        <v>1203</v>
      </c>
      <c r="F13" s="28" t="s">
        <v>135</v>
      </c>
      <c r="G13" s="28" t="s">
        <v>37</v>
      </c>
      <c r="H13" s="28" t="s">
        <v>136</v>
      </c>
      <c r="I13" s="28" t="s">
        <v>1204</v>
      </c>
      <c r="J13" s="27" t="s">
        <v>217</v>
      </c>
      <c r="K13" s="27" t="s">
        <v>262</v>
      </c>
    </row>
    <row r="14" spans="1:11" ht="13.8" thickBot="1" x14ac:dyDescent="0.25">
      <c r="A14" s="27" t="s">
        <v>356</v>
      </c>
      <c r="B14" s="27" t="s">
        <v>256</v>
      </c>
      <c r="C14" s="27" t="s">
        <v>24</v>
      </c>
      <c r="D14" s="28" t="s">
        <v>134</v>
      </c>
      <c r="E14" s="28" t="s">
        <v>1205</v>
      </c>
      <c r="F14" s="28" t="s">
        <v>135</v>
      </c>
      <c r="G14" s="28" t="s">
        <v>37</v>
      </c>
      <c r="H14" s="28" t="s">
        <v>136</v>
      </c>
      <c r="I14" s="28" t="s">
        <v>1206</v>
      </c>
      <c r="J14" s="27" t="s">
        <v>218</v>
      </c>
      <c r="K14" s="27" t="s">
        <v>257</v>
      </c>
    </row>
    <row r="15" spans="1:11" ht="13.8" thickBot="1" x14ac:dyDescent="0.25">
      <c r="A15" s="27" t="s">
        <v>369</v>
      </c>
      <c r="B15" s="27" t="s">
        <v>256</v>
      </c>
      <c r="C15" s="27" t="s">
        <v>25</v>
      </c>
      <c r="D15" s="28" t="s">
        <v>115</v>
      </c>
      <c r="E15" s="28" t="s">
        <v>33</v>
      </c>
      <c r="F15" s="28" t="s">
        <v>116</v>
      </c>
      <c r="G15" s="28" t="s">
        <v>13</v>
      </c>
      <c r="H15" s="28" t="s">
        <v>144</v>
      </c>
      <c r="I15" s="28"/>
      <c r="J15" s="27" t="s">
        <v>219</v>
      </c>
      <c r="K15" s="27" t="s">
        <v>257</v>
      </c>
    </row>
    <row r="16" spans="1:11" ht="13.8" thickBot="1" x14ac:dyDescent="0.25">
      <c r="A16" s="27" t="s">
        <v>358</v>
      </c>
      <c r="B16" s="27" t="s">
        <v>256</v>
      </c>
      <c r="C16" s="27" t="s">
        <v>26</v>
      </c>
      <c r="D16" s="28" t="s">
        <v>115</v>
      </c>
      <c r="E16" s="28" t="s">
        <v>642</v>
      </c>
      <c r="F16" s="28" t="s">
        <v>116</v>
      </c>
      <c r="G16" s="28" t="s">
        <v>13</v>
      </c>
      <c r="H16" s="28" t="s">
        <v>144</v>
      </c>
      <c r="I16" s="28" t="s">
        <v>643</v>
      </c>
      <c r="J16" s="27" t="s">
        <v>220</v>
      </c>
      <c r="K16" s="27" t="s">
        <v>257</v>
      </c>
    </row>
    <row r="17" spans="1:11" ht="13.8" thickBot="1" x14ac:dyDescent="0.25">
      <c r="A17" s="27" t="s">
        <v>361</v>
      </c>
      <c r="B17" s="27" t="s">
        <v>256</v>
      </c>
      <c r="C17" s="27" t="s">
        <v>27</v>
      </c>
      <c r="D17" s="28" t="s">
        <v>115</v>
      </c>
      <c r="E17" s="28" t="s">
        <v>469</v>
      </c>
      <c r="F17" s="28" t="s">
        <v>116</v>
      </c>
      <c r="G17" s="28" t="s">
        <v>13</v>
      </c>
      <c r="H17" s="28" t="s">
        <v>144</v>
      </c>
      <c r="I17" s="28" t="s">
        <v>515</v>
      </c>
      <c r="J17" s="27" t="s">
        <v>221</v>
      </c>
      <c r="K17" s="27" t="s">
        <v>270</v>
      </c>
    </row>
    <row r="18" spans="1:11" ht="13.8" thickBot="1" x14ac:dyDescent="0.25">
      <c r="A18" s="27" t="s">
        <v>360</v>
      </c>
      <c r="B18" s="27" t="s">
        <v>256</v>
      </c>
      <c r="C18" s="27" t="s">
        <v>28</v>
      </c>
      <c r="D18" s="28" t="s">
        <v>88</v>
      </c>
      <c r="E18" s="28" t="s">
        <v>320</v>
      </c>
      <c r="F18" s="28" t="s">
        <v>89</v>
      </c>
      <c r="G18" s="28" t="s">
        <v>13</v>
      </c>
      <c r="H18" s="28" t="s">
        <v>125</v>
      </c>
      <c r="I18" s="28" t="s">
        <v>345</v>
      </c>
      <c r="J18" s="27" t="s">
        <v>222</v>
      </c>
      <c r="K18" s="27" t="s">
        <v>296</v>
      </c>
    </row>
    <row r="19" spans="1:11" ht="13.8" thickBot="1" x14ac:dyDescent="0.25">
      <c r="A19" s="27" t="s">
        <v>359</v>
      </c>
      <c r="B19" s="27" t="s">
        <v>256</v>
      </c>
      <c r="C19" s="27" t="s">
        <v>29</v>
      </c>
      <c r="D19" s="28" t="s">
        <v>115</v>
      </c>
      <c r="E19" s="28" t="s">
        <v>948</v>
      </c>
      <c r="F19" s="28" t="s">
        <v>116</v>
      </c>
      <c r="G19" s="28" t="s">
        <v>13</v>
      </c>
      <c r="H19" s="28" t="s">
        <v>144</v>
      </c>
      <c r="I19" s="28" t="s">
        <v>1112</v>
      </c>
      <c r="J19" s="27" t="s">
        <v>291</v>
      </c>
      <c r="K19" s="27" t="s">
        <v>284</v>
      </c>
    </row>
    <row r="20" spans="1:11" ht="13.8" thickBot="1" x14ac:dyDescent="0.25">
      <c r="A20" s="27" t="s">
        <v>371</v>
      </c>
      <c r="B20" s="27" t="s">
        <v>256</v>
      </c>
      <c r="C20" s="27" t="s">
        <v>31</v>
      </c>
      <c r="D20" s="28" t="s">
        <v>115</v>
      </c>
      <c r="E20" s="28" t="s">
        <v>1201</v>
      </c>
      <c r="F20" s="28" t="s">
        <v>116</v>
      </c>
      <c r="G20" s="28" t="s">
        <v>13</v>
      </c>
      <c r="H20" s="28" t="s">
        <v>144</v>
      </c>
      <c r="I20" s="28" t="s">
        <v>1207</v>
      </c>
      <c r="J20" s="27" t="s">
        <v>258</v>
      </c>
      <c r="K20" s="27" t="s">
        <v>278</v>
      </c>
    </row>
    <row r="21" spans="1:11" ht="13.8" thickBot="1" x14ac:dyDescent="0.25">
      <c r="A21" s="27" t="s">
        <v>363</v>
      </c>
      <c r="B21" s="27" t="s">
        <v>256</v>
      </c>
      <c r="C21" s="27" t="s">
        <v>32</v>
      </c>
      <c r="D21" s="28" t="s">
        <v>88</v>
      </c>
      <c r="E21" s="28" t="s">
        <v>320</v>
      </c>
      <c r="F21" s="28" t="s">
        <v>89</v>
      </c>
      <c r="G21" s="28" t="s">
        <v>13</v>
      </c>
      <c r="H21" s="28" t="s">
        <v>125</v>
      </c>
      <c r="I21" s="28" t="s">
        <v>348</v>
      </c>
      <c r="J21" s="27" t="s">
        <v>262</v>
      </c>
      <c r="K21" s="27" t="s">
        <v>330</v>
      </c>
    </row>
    <row r="22" spans="1:11" ht="13.8" thickBot="1" x14ac:dyDescent="0.25">
      <c r="A22" s="27" t="s">
        <v>370</v>
      </c>
      <c r="B22" s="27" t="s">
        <v>256</v>
      </c>
      <c r="C22" s="27" t="s">
        <v>34</v>
      </c>
      <c r="D22" s="28" t="s">
        <v>115</v>
      </c>
      <c r="E22" s="28" t="s">
        <v>1201</v>
      </c>
      <c r="F22" s="28" t="s">
        <v>116</v>
      </c>
      <c r="G22" s="28" t="s">
        <v>13</v>
      </c>
      <c r="H22" s="28" t="s">
        <v>144</v>
      </c>
      <c r="I22" s="28" t="s">
        <v>1208</v>
      </c>
      <c r="J22" s="27" t="s">
        <v>262</v>
      </c>
      <c r="K22" s="27" t="s">
        <v>323</v>
      </c>
    </row>
    <row r="23" spans="1:11" ht="13.8" thickBot="1" x14ac:dyDescent="0.25">
      <c r="A23" s="27" t="s">
        <v>365</v>
      </c>
      <c r="B23" s="27" t="s">
        <v>256</v>
      </c>
      <c r="C23" s="27" t="s">
        <v>35</v>
      </c>
      <c r="D23" s="28" t="s">
        <v>134</v>
      </c>
      <c r="E23" s="28" t="s">
        <v>1390</v>
      </c>
      <c r="F23" s="28" t="s">
        <v>135</v>
      </c>
      <c r="G23" s="28" t="s">
        <v>37</v>
      </c>
      <c r="H23" s="28" t="s">
        <v>136</v>
      </c>
      <c r="I23" s="28" t="s">
        <v>1391</v>
      </c>
      <c r="J23" s="27" t="s">
        <v>257</v>
      </c>
      <c r="K23" s="27" t="s">
        <v>294</v>
      </c>
    </row>
    <row r="24" spans="1:11" ht="13.8" thickBot="1" x14ac:dyDescent="0.25">
      <c r="A24" s="27" t="s">
        <v>366</v>
      </c>
      <c r="B24" s="27" t="s">
        <v>256</v>
      </c>
      <c r="C24" s="27" t="s">
        <v>36</v>
      </c>
      <c r="D24" s="28" t="s">
        <v>137</v>
      </c>
      <c r="E24" s="28" t="s">
        <v>12</v>
      </c>
      <c r="F24" s="28" t="s">
        <v>138</v>
      </c>
      <c r="G24" s="28" t="s">
        <v>30</v>
      </c>
      <c r="H24" s="28" t="s">
        <v>139</v>
      </c>
      <c r="I24" s="28" t="s">
        <v>516</v>
      </c>
      <c r="J24" s="27" t="s">
        <v>270</v>
      </c>
      <c r="K24" s="27" t="s">
        <v>294</v>
      </c>
    </row>
    <row r="25" spans="1:11" ht="13.8" thickBot="1" x14ac:dyDescent="0.25">
      <c r="A25" s="27" t="s">
        <v>367</v>
      </c>
      <c r="B25" s="27" t="s">
        <v>256</v>
      </c>
      <c r="C25" s="27" t="s">
        <v>38</v>
      </c>
      <c r="D25" s="28" t="s">
        <v>142</v>
      </c>
      <c r="E25" s="28" t="s">
        <v>372</v>
      </c>
      <c r="F25" s="28" t="s">
        <v>117</v>
      </c>
      <c r="G25" s="28" t="s">
        <v>37</v>
      </c>
      <c r="H25" s="28" t="s">
        <v>143</v>
      </c>
      <c r="I25" s="28" t="s">
        <v>517</v>
      </c>
      <c r="J25" s="27" t="s">
        <v>274</v>
      </c>
      <c r="K25" s="27" t="s">
        <v>298</v>
      </c>
    </row>
    <row r="26" spans="1:11" ht="13.8" thickBot="1" x14ac:dyDescent="0.25">
      <c r="A26" s="27" t="s">
        <v>368</v>
      </c>
      <c r="B26" s="27" t="s">
        <v>256</v>
      </c>
      <c r="C26" s="27" t="s">
        <v>39</v>
      </c>
      <c r="D26" s="28" t="s">
        <v>137</v>
      </c>
      <c r="E26" s="28" t="s">
        <v>12</v>
      </c>
      <c r="F26" s="28" t="s">
        <v>138</v>
      </c>
      <c r="G26" s="28" t="s">
        <v>30</v>
      </c>
      <c r="H26" s="28" t="s">
        <v>139</v>
      </c>
      <c r="I26" s="28" t="s">
        <v>518</v>
      </c>
      <c r="J26" s="27" t="s">
        <v>274</v>
      </c>
      <c r="K26" s="27" t="s">
        <v>300</v>
      </c>
    </row>
    <row r="27" spans="1:11" ht="13.8" thickBot="1" x14ac:dyDescent="0.25">
      <c r="A27" s="27" t="s">
        <v>357</v>
      </c>
      <c r="B27" s="27" t="s">
        <v>256</v>
      </c>
      <c r="C27" s="27" t="s">
        <v>40</v>
      </c>
      <c r="D27" s="28" t="s">
        <v>142</v>
      </c>
      <c r="E27" s="28" t="s">
        <v>372</v>
      </c>
      <c r="F27" s="28" t="s">
        <v>117</v>
      </c>
      <c r="G27" s="28" t="s">
        <v>37</v>
      </c>
      <c r="H27" s="28" t="s">
        <v>143</v>
      </c>
      <c r="I27" s="28" t="s">
        <v>519</v>
      </c>
      <c r="J27" s="27" t="s">
        <v>284</v>
      </c>
      <c r="K27" s="27" t="s">
        <v>330</v>
      </c>
    </row>
    <row r="28" spans="1:11" ht="13.8" thickBot="1" x14ac:dyDescent="0.25">
      <c r="A28" s="27" t="s">
        <v>362</v>
      </c>
      <c r="B28" s="27" t="s">
        <v>256</v>
      </c>
      <c r="C28" s="27" t="s">
        <v>41</v>
      </c>
      <c r="D28" s="28" t="s">
        <v>137</v>
      </c>
      <c r="E28" s="28" t="s">
        <v>194</v>
      </c>
      <c r="F28" s="28" t="s">
        <v>138</v>
      </c>
      <c r="G28" s="28" t="s">
        <v>37</v>
      </c>
      <c r="H28" s="28" t="s">
        <v>139</v>
      </c>
      <c r="I28" s="28" t="s">
        <v>872</v>
      </c>
      <c r="J28" s="27" t="s">
        <v>278</v>
      </c>
      <c r="K28" s="27" t="s">
        <v>400</v>
      </c>
    </row>
    <row r="29" spans="1:11" ht="13.8" thickBot="1" x14ac:dyDescent="0.25">
      <c r="A29" s="27" t="s">
        <v>364</v>
      </c>
      <c r="B29" s="27" t="s">
        <v>256</v>
      </c>
      <c r="C29" s="27" t="s">
        <v>65</v>
      </c>
      <c r="D29" s="28" t="s">
        <v>137</v>
      </c>
      <c r="E29" s="28" t="s">
        <v>78</v>
      </c>
      <c r="F29" s="28" t="s">
        <v>138</v>
      </c>
      <c r="G29" s="28" t="s">
        <v>37</v>
      </c>
      <c r="H29" s="28" t="s">
        <v>139</v>
      </c>
      <c r="I29" s="28" t="s">
        <v>644</v>
      </c>
      <c r="J29" s="27" t="s">
        <v>278</v>
      </c>
      <c r="K29" s="27" t="s">
        <v>400</v>
      </c>
    </row>
    <row r="30" spans="1:11" ht="13.8" thickBot="1" x14ac:dyDescent="0.25">
      <c r="A30" s="27" t="s">
        <v>645</v>
      </c>
      <c r="B30" s="27" t="s">
        <v>396</v>
      </c>
      <c r="C30" s="27" t="s">
        <v>11</v>
      </c>
      <c r="D30" s="28" t="s">
        <v>134</v>
      </c>
      <c r="E30" s="28" t="s">
        <v>33</v>
      </c>
      <c r="F30" s="28" t="s">
        <v>135</v>
      </c>
      <c r="G30" s="28" t="s">
        <v>37</v>
      </c>
      <c r="H30" s="28" t="s">
        <v>136</v>
      </c>
      <c r="I30" s="28"/>
      <c r="J30" s="27" t="s">
        <v>258</v>
      </c>
      <c r="K30" s="27" t="s">
        <v>288</v>
      </c>
    </row>
    <row r="31" spans="1:11" ht="13.8" thickBot="1" x14ac:dyDescent="0.25">
      <c r="A31" s="27" t="s">
        <v>648</v>
      </c>
      <c r="B31" s="27" t="s">
        <v>396</v>
      </c>
      <c r="C31" s="27" t="s">
        <v>14</v>
      </c>
      <c r="D31" s="28" t="s">
        <v>134</v>
      </c>
      <c r="E31" s="28" t="s">
        <v>33</v>
      </c>
      <c r="F31" s="28" t="s">
        <v>135</v>
      </c>
      <c r="G31" s="28" t="s">
        <v>37</v>
      </c>
      <c r="H31" s="28" t="s">
        <v>136</v>
      </c>
      <c r="I31" s="28"/>
      <c r="J31" s="27" t="s">
        <v>258</v>
      </c>
      <c r="K31" s="27" t="s">
        <v>288</v>
      </c>
    </row>
    <row r="32" spans="1:11" ht="13.8" thickBot="1" x14ac:dyDescent="0.25">
      <c r="A32" s="27" t="s">
        <v>401</v>
      </c>
      <c r="B32" s="27" t="s">
        <v>396</v>
      </c>
      <c r="C32" s="27" t="s">
        <v>15</v>
      </c>
      <c r="D32" s="28" t="s">
        <v>88</v>
      </c>
      <c r="E32" s="28" t="s">
        <v>1385</v>
      </c>
      <c r="F32" s="28" t="s">
        <v>89</v>
      </c>
      <c r="G32" s="28" t="s">
        <v>13</v>
      </c>
      <c r="H32" s="28" t="s">
        <v>125</v>
      </c>
      <c r="I32" s="28" t="s">
        <v>1386</v>
      </c>
      <c r="J32" s="27" t="s">
        <v>258</v>
      </c>
      <c r="K32" s="27" t="s">
        <v>296</v>
      </c>
    </row>
    <row r="33" spans="1:11" ht="13.8" thickBot="1" x14ac:dyDescent="0.25">
      <c r="A33" s="27" t="s">
        <v>649</v>
      </c>
      <c r="B33" s="27" t="s">
        <v>396</v>
      </c>
      <c r="C33" s="27" t="s">
        <v>16</v>
      </c>
      <c r="D33" s="28" t="s">
        <v>130</v>
      </c>
      <c r="E33" s="28" t="s">
        <v>194</v>
      </c>
      <c r="F33" s="28" t="s">
        <v>93</v>
      </c>
      <c r="G33" s="28" t="s">
        <v>13</v>
      </c>
      <c r="H33" s="28" t="s">
        <v>131</v>
      </c>
      <c r="I33" s="28" t="s">
        <v>852</v>
      </c>
      <c r="J33" s="27" t="s">
        <v>258</v>
      </c>
      <c r="K33" s="27" t="s">
        <v>296</v>
      </c>
    </row>
    <row r="34" spans="1:11" ht="13.8" thickBot="1" x14ac:dyDescent="0.25">
      <c r="A34" s="27" t="s">
        <v>395</v>
      </c>
      <c r="B34" s="27" t="s">
        <v>396</v>
      </c>
      <c r="C34" s="27" t="s">
        <v>17</v>
      </c>
      <c r="D34" s="28" t="s">
        <v>88</v>
      </c>
      <c r="E34" s="28" t="s">
        <v>146</v>
      </c>
      <c r="F34" s="28" t="s">
        <v>89</v>
      </c>
      <c r="G34" s="28" t="s">
        <v>13</v>
      </c>
      <c r="H34" s="28" t="s">
        <v>125</v>
      </c>
      <c r="I34" s="28"/>
      <c r="J34" s="27" t="s">
        <v>270</v>
      </c>
      <c r="K34" s="27" t="s">
        <v>330</v>
      </c>
    </row>
    <row r="35" spans="1:11" ht="13.8" thickBot="1" x14ac:dyDescent="0.25">
      <c r="A35" s="27" t="s">
        <v>413</v>
      </c>
      <c r="B35" s="27" t="s">
        <v>396</v>
      </c>
      <c r="C35" s="27" t="s">
        <v>18</v>
      </c>
      <c r="D35" s="28" t="s">
        <v>137</v>
      </c>
      <c r="E35" s="28" t="s">
        <v>414</v>
      </c>
      <c r="F35" s="28" t="s">
        <v>138</v>
      </c>
      <c r="G35" s="28" t="s">
        <v>30</v>
      </c>
      <c r="H35" s="28" t="s">
        <v>139</v>
      </c>
      <c r="I35" s="28" t="s">
        <v>415</v>
      </c>
      <c r="J35" s="27" t="s">
        <v>270</v>
      </c>
      <c r="K35" s="27" t="s">
        <v>289</v>
      </c>
    </row>
    <row r="36" spans="1:11" ht="13.8" thickBot="1" x14ac:dyDescent="0.25">
      <c r="A36" s="27" t="s">
        <v>416</v>
      </c>
      <c r="B36" s="27" t="s">
        <v>396</v>
      </c>
      <c r="C36" s="27" t="s">
        <v>19</v>
      </c>
      <c r="D36" s="28" t="s">
        <v>137</v>
      </c>
      <c r="E36" s="28" t="s">
        <v>414</v>
      </c>
      <c r="F36" s="28" t="s">
        <v>138</v>
      </c>
      <c r="G36" s="28" t="s">
        <v>30</v>
      </c>
      <c r="H36" s="28" t="s">
        <v>139</v>
      </c>
      <c r="I36" s="28" t="s">
        <v>417</v>
      </c>
      <c r="J36" s="27" t="s">
        <v>270</v>
      </c>
      <c r="K36" s="27" t="s">
        <v>289</v>
      </c>
    </row>
    <row r="37" spans="1:11" ht="13.8" thickBot="1" x14ac:dyDescent="0.25">
      <c r="A37" s="27" t="s">
        <v>650</v>
      </c>
      <c r="B37" s="27" t="s">
        <v>396</v>
      </c>
      <c r="C37" s="27" t="s">
        <v>20</v>
      </c>
      <c r="D37" s="28" t="s">
        <v>115</v>
      </c>
      <c r="E37" s="28" t="s">
        <v>875</v>
      </c>
      <c r="F37" s="28" t="s">
        <v>116</v>
      </c>
      <c r="G37" s="28" t="s">
        <v>13</v>
      </c>
      <c r="H37" s="28" t="s">
        <v>144</v>
      </c>
      <c r="I37" s="28" t="s">
        <v>876</v>
      </c>
      <c r="J37" s="27" t="s">
        <v>278</v>
      </c>
      <c r="K37" s="27" t="s">
        <v>288</v>
      </c>
    </row>
    <row r="38" spans="1:11" ht="13.8" thickBot="1" x14ac:dyDescent="0.25">
      <c r="A38" s="27" t="s">
        <v>403</v>
      </c>
      <c r="B38" s="27" t="s">
        <v>396</v>
      </c>
      <c r="C38" s="27" t="s">
        <v>21</v>
      </c>
      <c r="D38" s="28" t="s">
        <v>88</v>
      </c>
      <c r="E38" s="28" t="s">
        <v>404</v>
      </c>
      <c r="F38" s="28" t="s">
        <v>89</v>
      </c>
      <c r="G38" s="28" t="s">
        <v>13</v>
      </c>
      <c r="H38" s="28" t="s">
        <v>125</v>
      </c>
      <c r="I38" s="28" t="s">
        <v>405</v>
      </c>
      <c r="J38" s="27" t="s">
        <v>278</v>
      </c>
      <c r="K38" s="27" t="s">
        <v>288</v>
      </c>
    </row>
    <row r="39" spans="1:11" ht="13.8" thickBot="1" x14ac:dyDescent="0.25">
      <c r="A39" s="27" t="s">
        <v>407</v>
      </c>
      <c r="B39" s="27" t="s">
        <v>396</v>
      </c>
      <c r="C39" s="27" t="s">
        <v>22</v>
      </c>
      <c r="D39" s="28" t="s">
        <v>142</v>
      </c>
      <c r="E39" s="28" t="s">
        <v>12</v>
      </c>
      <c r="F39" s="28" t="s">
        <v>117</v>
      </c>
      <c r="G39" s="28" t="s">
        <v>37</v>
      </c>
      <c r="H39" s="28" t="s">
        <v>143</v>
      </c>
      <c r="I39" s="28" t="s">
        <v>873</v>
      </c>
      <c r="J39" s="27" t="s">
        <v>278</v>
      </c>
      <c r="K39" s="27" t="s">
        <v>288</v>
      </c>
    </row>
    <row r="40" spans="1:11" ht="13.8" thickBot="1" x14ac:dyDescent="0.25">
      <c r="A40" s="27" t="s">
        <v>409</v>
      </c>
      <c r="B40" s="27" t="s">
        <v>396</v>
      </c>
      <c r="C40" s="27" t="s">
        <v>23</v>
      </c>
      <c r="D40" s="28" t="s">
        <v>142</v>
      </c>
      <c r="E40" s="28" t="s">
        <v>12</v>
      </c>
      <c r="F40" s="28" t="s">
        <v>117</v>
      </c>
      <c r="G40" s="28" t="s">
        <v>37</v>
      </c>
      <c r="H40" s="28" t="s">
        <v>143</v>
      </c>
      <c r="I40" s="28" t="s">
        <v>874</v>
      </c>
      <c r="J40" s="27" t="s">
        <v>278</v>
      </c>
      <c r="K40" s="27" t="s">
        <v>288</v>
      </c>
    </row>
    <row r="41" spans="1:11" ht="13.8" thickBot="1" x14ac:dyDescent="0.25">
      <c r="A41" s="27" t="s">
        <v>646</v>
      </c>
      <c r="B41" s="27" t="s">
        <v>396</v>
      </c>
      <c r="C41" s="27" t="s">
        <v>24</v>
      </c>
      <c r="D41" s="28" t="s">
        <v>142</v>
      </c>
      <c r="E41" s="28" t="s">
        <v>140</v>
      </c>
      <c r="F41" s="28" t="s">
        <v>117</v>
      </c>
      <c r="G41" s="28" t="s">
        <v>37</v>
      </c>
      <c r="H41" s="28" t="s">
        <v>143</v>
      </c>
      <c r="I41" s="28" t="s">
        <v>1113</v>
      </c>
      <c r="J41" s="27" t="s">
        <v>278</v>
      </c>
      <c r="K41" s="27" t="s">
        <v>288</v>
      </c>
    </row>
    <row r="42" spans="1:11" ht="13.8" thickBot="1" x14ac:dyDescent="0.25">
      <c r="A42" s="27" t="s">
        <v>651</v>
      </c>
      <c r="B42" s="27" t="s">
        <v>396</v>
      </c>
      <c r="C42" s="27" t="s">
        <v>25</v>
      </c>
      <c r="D42" s="28" t="s">
        <v>115</v>
      </c>
      <c r="E42" s="28" t="s">
        <v>33</v>
      </c>
      <c r="F42" s="28" t="s">
        <v>116</v>
      </c>
      <c r="G42" s="28" t="s">
        <v>13</v>
      </c>
      <c r="H42" s="28" t="s">
        <v>144</v>
      </c>
      <c r="I42" s="28"/>
      <c r="J42" s="27" t="s">
        <v>289</v>
      </c>
      <c r="K42" s="27" t="s">
        <v>300</v>
      </c>
    </row>
    <row r="43" spans="1:11" ht="13.8" thickBot="1" x14ac:dyDescent="0.25">
      <c r="A43" s="27" t="s">
        <v>647</v>
      </c>
      <c r="B43" s="27" t="s">
        <v>396</v>
      </c>
      <c r="C43" s="27" t="s">
        <v>26</v>
      </c>
      <c r="D43" s="28" t="s">
        <v>130</v>
      </c>
      <c r="E43" s="28" t="s">
        <v>12</v>
      </c>
      <c r="F43" s="28" t="s">
        <v>93</v>
      </c>
      <c r="G43" s="28" t="s">
        <v>13</v>
      </c>
      <c r="H43" s="28" t="s">
        <v>131</v>
      </c>
      <c r="I43" s="28" t="s">
        <v>851</v>
      </c>
      <c r="J43" s="27" t="s">
        <v>289</v>
      </c>
      <c r="K43" s="27" t="s">
        <v>294</v>
      </c>
    </row>
    <row r="44" spans="1:11" ht="13.8" thickBot="1" x14ac:dyDescent="0.25">
      <c r="A44" s="27" t="s">
        <v>654</v>
      </c>
      <c r="B44" s="27" t="s">
        <v>396</v>
      </c>
      <c r="C44" s="27" t="s">
        <v>27</v>
      </c>
      <c r="D44" s="28" t="s">
        <v>134</v>
      </c>
      <c r="E44" s="28" t="s">
        <v>33</v>
      </c>
      <c r="F44" s="28" t="s">
        <v>135</v>
      </c>
      <c r="G44" s="28" t="s">
        <v>37</v>
      </c>
      <c r="H44" s="28" t="s">
        <v>136</v>
      </c>
      <c r="I44" s="28"/>
      <c r="J44" s="27" t="s">
        <v>289</v>
      </c>
      <c r="K44" s="27" t="s">
        <v>300</v>
      </c>
    </row>
    <row r="45" spans="1:11" ht="13.8" thickBot="1" x14ac:dyDescent="0.25">
      <c r="A45" s="27" t="s">
        <v>652</v>
      </c>
      <c r="B45" s="27" t="s">
        <v>396</v>
      </c>
      <c r="C45" s="27" t="s">
        <v>28</v>
      </c>
      <c r="D45" s="28" t="s">
        <v>142</v>
      </c>
      <c r="E45" s="28" t="s">
        <v>12</v>
      </c>
      <c r="F45" s="28" t="s">
        <v>117</v>
      </c>
      <c r="G45" s="28" t="s">
        <v>37</v>
      </c>
      <c r="H45" s="28" t="s">
        <v>143</v>
      </c>
      <c r="I45" s="28" t="s">
        <v>877</v>
      </c>
      <c r="J45" s="27" t="s">
        <v>289</v>
      </c>
      <c r="K45" s="27" t="s">
        <v>300</v>
      </c>
    </row>
    <row r="46" spans="1:11" ht="13.8" thickBot="1" x14ac:dyDescent="0.25">
      <c r="A46" s="27" t="s">
        <v>653</v>
      </c>
      <c r="B46" s="27" t="s">
        <v>396</v>
      </c>
      <c r="C46" s="27" t="s">
        <v>29</v>
      </c>
      <c r="D46" s="28" t="s">
        <v>142</v>
      </c>
      <c r="E46" s="28" t="s">
        <v>12</v>
      </c>
      <c r="F46" s="28" t="s">
        <v>117</v>
      </c>
      <c r="G46" s="28" t="s">
        <v>37</v>
      </c>
      <c r="H46" s="28" t="s">
        <v>143</v>
      </c>
      <c r="I46" s="28" t="s">
        <v>878</v>
      </c>
      <c r="J46" s="27" t="s">
        <v>289</v>
      </c>
      <c r="K46" s="27" t="s">
        <v>300</v>
      </c>
    </row>
    <row r="47" spans="1:11" ht="13.8" thickBot="1" x14ac:dyDescent="0.25">
      <c r="A47" s="27" t="s">
        <v>655</v>
      </c>
      <c r="B47" s="27" t="s">
        <v>396</v>
      </c>
      <c r="C47" s="27" t="s">
        <v>31</v>
      </c>
      <c r="D47" s="28" t="s">
        <v>115</v>
      </c>
      <c r="E47" s="28" t="s">
        <v>33</v>
      </c>
      <c r="F47" s="28" t="s">
        <v>116</v>
      </c>
      <c r="G47" s="28" t="s">
        <v>13</v>
      </c>
      <c r="H47" s="28" t="s">
        <v>144</v>
      </c>
      <c r="I47" s="28"/>
      <c r="J47" s="27" t="s">
        <v>400</v>
      </c>
      <c r="K47" s="27" t="s">
        <v>408</v>
      </c>
    </row>
    <row r="48" spans="1:11" ht="13.8" thickBot="1" x14ac:dyDescent="0.25">
      <c r="A48" s="27" t="s">
        <v>656</v>
      </c>
      <c r="B48" s="27" t="s">
        <v>396</v>
      </c>
      <c r="C48" s="27" t="s">
        <v>32</v>
      </c>
      <c r="D48" s="28" t="s">
        <v>137</v>
      </c>
      <c r="E48" s="28" t="s">
        <v>12</v>
      </c>
      <c r="F48" s="28" t="s">
        <v>138</v>
      </c>
      <c r="G48" s="28" t="s">
        <v>30</v>
      </c>
      <c r="H48" s="28" t="s">
        <v>139</v>
      </c>
      <c r="I48" s="28" t="s">
        <v>879</v>
      </c>
      <c r="J48" s="27" t="s">
        <v>400</v>
      </c>
      <c r="K48" s="27" t="s">
        <v>408</v>
      </c>
    </row>
    <row r="49" spans="1:11" ht="13.8" thickBot="1" x14ac:dyDescent="0.25">
      <c r="A49" s="27" t="s">
        <v>657</v>
      </c>
      <c r="B49" s="27" t="s">
        <v>396</v>
      </c>
      <c r="C49" s="27" t="s">
        <v>34</v>
      </c>
      <c r="D49" s="28" t="s">
        <v>137</v>
      </c>
      <c r="E49" s="28" t="s">
        <v>12</v>
      </c>
      <c r="F49" s="28" t="s">
        <v>138</v>
      </c>
      <c r="G49" s="28" t="s">
        <v>30</v>
      </c>
      <c r="H49" s="28" t="s">
        <v>139</v>
      </c>
      <c r="I49" s="28" t="s">
        <v>880</v>
      </c>
      <c r="J49" s="27" t="s">
        <v>400</v>
      </c>
      <c r="K49" s="27" t="s">
        <v>408</v>
      </c>
    </row>
    <row r="50" spans="1:11" ht="13.8" thickBot="1" x14ac:dyDescent="0.25">
      <c r="A50" s="27" t="s">
        <v>885</v>
      </c>
      <c r="B50" s="27" t="s">
        <v>574</v>
      </c>
      <c r="C50" s="27" t="s">
        <v>11</v>
      </c>
      <c r="D50" s="28" t="s">
        <v>88</v>
      </c>
      <c r="E50" s="28" t="s">
        <v>146</v>
      </c>
      <c r="F50" s="28" t="s">
        <v>89</v>
      </c>
      <c r="G50" s="28" t="s">
        <v>13</v>
      </c>
      <c r="H50" s="28" t="s">
        <v>125</v>
      </c>
      <c r="I50" s="28"/>
      <c r="J50" s="27" t="s">
        <v>289</v>
      </c>
      <c r="K50" s="27" t="s">
        <v>294</v>
      </c>
    </row>
    <row r="51" spans="1:11" ht="13.8" thickBot="1" x14ac:dyDescent="0.25">
      <c r="A51" s="27" t="s">
        <v>883</v>
      </c>
      <c r="B51" s="27" t="s">
        <v>574</v>
      </c>
      <c r="C51" s="27" t="s">
        <v>14</v>
      </c>
      <c r="D51" s="28" t="s">
        <v>88</v>
      </c>
      <c r="E51" s="28" t="s">
        <v>854</v>
      </c>
      <c r="F51" s="28" t="s">
        <v>89</v>
      </c>
      <c r="G51" s="28" t="s">
        <v>13</v>
      </c>
      <c r="H51" s="28" t="s">
        <v>125</v>
      </c>
      <c r="I51" s="28" t="s">
        <v>855</v>
      </c>
      <c r="J51" s="27" t="s">
        <v>400</v>
      </c>
      <c r="K51" s="27" t="s">
        <v>399</v>
      </c>
    </row>
    <row r="52" spans="1:11" ht="13.8" thickBot="1" x14ac:dyDescent="0.25">
      <c r="A52" s="27" t="s">
        <v>889</v>
      </c>
      <c r="B52" s="27" t="s">
        <v>574</v>
      </c>
      <c r="C52" s="27" t="s">
        <v>15</v>
      </c>
      <c r="D52" s="28" t="s">
        <v>115</v>
      </c>
      <c r="E52" s="28" t="s">
        <v>33</v>
      </c>
      <c r="F52" s="28" t="s">
        <v>116</v>
      </c>
      <c r="G52" s="28" t="s">
        <v>13</v>
      </c>
      <c r="H52" s="28" t="s">
        <v>144</v>
      </c>
      <c r="I52" s="28"/>
      <c r="J52" s="27" t="s">
        <v>411</v>
      </c>
      <c r="K52" s="27" t="s">
        <v>406</v>
      </c>
    </row>
    <row r="53" spans="1:11" ht="13.8" thickBot="1" x14ac:dyDescent="0.25">
      <c r="A53" s="27" t="s">
        <v>658</v>
      </c>
      <c r="B53" s="27" t="s">
        <v>574</v>
      </c>
      <c r="C53" s="27" t="s">
        <v>16</v>
      </c>
      <c r="D53" s="28" t="s">
        <v>88</v>
      </c>
      <c r="E53" s="28" t="s">
        <v>636</v>
      </c>
      <c r="F53" s="28" t="s">
        <v>89</v>
      </c>
      <c r="G53" s="28" t="s">
        <v>13</v>
      </c>
      <c r="H53" s="28" t="s">
        <v>125</v>
      </c>
      <c r="I53" s="28" t="s">
        <v>637</v>
      </c>
      <c r="J53" s="27" t="s">
        <v>411</v>
      </c>
      <c r="K53" s="27" t="s">
        <v>402</v>
      </c>
    </row>
    <row r="54" spans="1:11" ht="13.8" thickBot="1" x14ac:dyDescent="0.25">
      <c r="A54" s="27" t="s">
        <v>884</v>
      </c>
      <c r="B54" s="27" t="s">
        <v>574</v>
      </c>
      <c r="C54" s="27" t="s">
        <v>17</v>
      </c>
      <c r="D54" s="28" t="s">
        <v>142</v>
      </c>
      <c r="E54" s="28" t="s">
        <v>12</v>
      </c>
      <c r="F54" s="28" t="s">
        <v>117</v>
      </c>
      <c r="G54" s="28" t="s">
        <v>37</v>
      </c>
      <c r="H54" s="28" t="s">
        <v>143</v>
      </c>
      <c r="I54" s="28" t="s">
        <v>1114</v>
      </c>
      <c r="J54" s="27" t="s">
        <v>411</v>
      </c>
      <c r="K54" s="27" t="s">
        <v>406</v>
      </c>
    </row>
    <row r="55" spans="1:11" ht="13.8" thickBot="1" x14ac:dyDescent="0.25">
      <c r="A55" s="27" t="s">
        <v>895</v>
      </c>
      <c r="B55" s="27" t="s">
        <v>574</v>
      </c>
      <c r="C55" s="27" t="s">
        <v>18</v>
      </c>
      <c r="D55" s="28" t="s">
        <v>142</v>
      </c>
      <c r="E55" s="28" t="s">
        <v>1115</v>
      </c>
      <c r="F55" s="28" t="s">
        <v>117</v>
      </c>
      <c r="G55" s="28" t="s">
        <v>37</v>
      </c>
      <c r="H55" s="28" t="s">
        <v>143</v>
      </c>
      <c r="I55" s="28" t="s">
        <v>1116</v>
      </c>
      <c r="J55" s="27" t="s">
        <v>411</v>
      </c>
      <c r="K55" s="27" t="s">
        <v>406</v>
      </c>
    </row>
    <row r="56" spans="1:11" ht="13.8" thickBot="1" x14ac:dyDescent="0.25">
      <c r="A56" s="27" t="s">
        <v>892</v>
      </c>
      <c r="B56" s="27" t="s">
        <v>574</v>
      </c>
      <c r="C56" s="27" t="s">
        <v>19</v>
      </c>
      <c r="D56" s="28" t="s">
        <v>130</v>
      </c>
      <c r="E56" s="28" t="s">
        <v>1105</v>
      </c>
      <c r="F56" s="28" t="s">
        <v>93</v>
      </c>
      <c r="G56" s="28" t="s">
        <v>13</v>
      </c>
      <c r="H56" s="28" t="s">
        <v>131</v>
      </c>
      <c r="I56" s="28" t="s">
        <v>978</v>
      </c>
      <c r="J56" s="27" t="s">
        <v>411</v>
      </c>
      <c r="K56" s="27" t="s">
        <v>402</v>
      </c>
    </row>
    <row r="57" spans="1:11" ht="13.8" thickBot="1" x14ac:dyDescent="0.25">
      <c r="A57" s="27" t="s">
        <v>890</v>
      </c>
      <c r="B57" s="27" t="s">
        <v>574</v>
      </c>
      <c r="C57" s="27" t="s">
        <v>20</v>
      </c>
      <c r="D57" s="28" t="s">
        <v>115</v>
      </c>
      <c r="E57" s="28" t="s">
        <v>33</v>
      </c>
      <c r="F57" s="28" t="s">
        <v>116</v>
      </c>
      <c r="G57" s="28" t="s">
        <v>13</v>
      </c>
      <c r="H57" s="28" t="s">
        <v>144</v>
      </c>
      <c r="I57" s="28"/>
      <c r="J57" s="27" t="s">
        <v>428</v>
      </c>
      <c r="K57" s="27" t="s">
        <v>429</v>
      </c>
    </row>
    <row r="58" spans="1:11" ht="13.8" thickBot="1" x14ac:dyDescent="0.25">
      <c r="A58" s="27" t="s">
        <v>891</v>
      </c>
      <c r="B58" s="27" t="s">
        <v>574</v>
      </c>
      <c r="C58" s="27" t="s">
        <v>21</v>
      </c>
      <c r="D58" s="28" t="s">
        <v>115</v>
      </c>
      <c r="E58" s="28" t="s">
        <v>33</v>
      </c>
      <c r="F58" s="28" t="s">
        <v>116</v>
      </c>
      <c r="G58" s="28" t="s">
        <v>13</v>
      </c>
      <c r="H58" s="28" t="s">
        <v>144</v>
      </c>
      <c r="I58" s="28"/>
      <c r="J58" s="27" t="s">
        <v>428</v>
      </c>
      <c r="K58" s="27" t="s">
        <v>429</v>
      </c>
    </row>
    <row r="59" spans="1:11" ht="13.8" thickBot="1" x14ac:dyDescent="0.25">
      <c r="A59" s="27" t="s">
        <v>887</v>
      </c>
      <c r="B59" s="27" t="s">
        <v>574</v>
      </c>
      <c r="C59" s="27" t="s">
        <v>22</v>
      </c>
      <c r="D59" s="28" t="s">
        <v>137</v>
      </c>
      <c r="E59" s="28" t="s">
        <v>12</v>
      </c>
      <c r="F59" s="28" t="s">
        <v>138</v>
      </c>
      <c r="G59" s="28" t="s">
        <v>30</v>
      </c>
      <c r="H59" s="28" t="s">
        <v>139</v>
      </c>
      <c r="I59" s="28" t="s">
        <v>1117</v>
      </c>
      <c r="J59" s="27" t="s">
        <v>428</v>
      </c>
      <c r="K59" s="27" t="s">
        <v>429</v>
      </c>
    </row>
    <row r="60" spans="1:11" ht="13.8" thickBot="1" x14ac:dyDescent="0.25">
      <c r="A60" s="27" t="s">
        <v>888</v>
      </c>
      <c r="B60" s="27" t="s">
        <v>574</v>
      </c>
      <c r="C60" s="27" t="s">
        <v>23</v>
      </c>
      <c r="D60" s="28" t="s">
        <v>130</v>
      </c>
      <c r="E60" s="28" t="s">
        <v>12</v>
      </c>
      <c r="F60" s="28" t="s">
        <v>93</v>
      </c>
      <c r="G60" s="28" t="s">
        <v>13</v>
      </c>
      <c r="H60" s="28" t="s">
        <v>131</v>
      </c>
      <c r="I60" s="28" t="s">
        <v>946</v>
      </c>
      <c r="J60" s="27" t="s">
        <v>428</v>
      </c>
      <c r="K60" s="27" t="s">
        <v>418</v>
      </c>
    </row>
    <row r="61" spans="1:11" ht="13.8" thickBot="1" x14ac:dyDescent="0.25">
      <c r="A61" s="27" t="s">
        <v>893</v>
      </c>
      <c r="B61" s="27" t="s">
        <v>574</v>
      </c>
      <c r="C61" s="27" t="s">
        <v>24</v>
      </c>
      <c r="D61" s="28" t="s">
        <v>130</v>
      </c>
      <c r="E61" s="28" t="s">
        <v>12</v>
      </c>
      <c r="F61" s="28" t="s">
        <v>93</v>
      </c>
      <c r="G61" s="28" t="s">
        <v>13</v>
      </c>
      <c r="H61" s="28" t="s">
        <v>131</v>
      </c>
      <c r="I61" s="28" t="s">
        <v>947</v>
      </c>
      <c r="J61" s="27" t="s">
        <v>428</v>
      </c>
      <c r="K61" s="27" t="s">
        <v>418</v>
      </c>
    </row>
    <row r="62" spans="1:11" ht="13.8" thickBot="1" x14ac:dyDescent="0.25">
      <c r="A62" s="27" t="s">
        <v>882</v>
      </c>
      <c r="B62" s="27" t="s">
        <v>574</v>
      </c>
      <c r="C62" s="27" t="s">
        <v>25</v>
      </c>
      <c r="D62" s="28" t="s">
        <v>134</v>
      </c>
      <c r="E62" s="28" t="s">
        <v>1209</v>
      </c>
      <c r="F62" s="28" t="s">
        <v>135</v>
      </c>
      <c r="G62" s="28" t="s">
        <v>37</v>
      </c>
      <c r="H62" s="28" t="s">
        <v>136</v>
      </c>
      <c r="I62" s="28" t="s">
        <v>1210</v>
      </c>
      <c r="J62" s="27" t="s">
        <v>546</v>
      </c>
      <c r="K62" s="27" t="s">
        <v>505</v>
      </c>
    </row>
    <row r="63" spans="1:11" ht="13.8" thickBot="1" x14ac:dyDescent="0.25">
      <c r="A63" s="27" t="s">
        <v>886</v>
      </c>
      <c r="B63" s="27" t="s">
        <v>574</v>
      </c>
      <c r="C63" s="27" t="s">
        <v>26</v>
      </c>
      <c r="D63" s="28" t="s">
        <v>137</v>
      </c>
      <c r="E63" s="28" t="s">
        <v>78</v>
      </c>
      <c r="F63" s="28" t="s">
        <v>138</v>
      </c>
      <c r="G63" s="28" t="s">
        <v>30</v>
      </c>
      <c r="H63" s="28" t="s">
        <v>139</v>
      </c>
      <c r="I63" s="28" t="s">
        <v>1211</v>
      </c>
      <c r="J63" s="27" t="s">
        <v>546</v>
      </c>
      <c r="K63" s="27" t="s">
        <v>505</v>
      </c>
    </row>
    <row r="64" spans="1:11" ht="13.8" thickBot="1" x14ac:dyDescent="0.25">
      <c r="A64" s="27" t="s">
        <v>896</v>
      </c>
      <c r="B64" s="27" t="s">
        <v>574</v>
      </c>
      <c r="C64" s="27" t="s">
        <v>27</v>
      </c>
      <c r="D64" s="28" t="s">
        <v>137</v>
      </c>
      <c r="E64" s="28" t="s">
        <v>12</v>
      </c>
      <c r="F64" s="28" t="s">
        <v>138</v>
      </c>
      <c r="G64" s="28" t="s">
        <v>30</v>
      </c>
      <c r="H64" s="28" t="s">
        <v>139</v>
      </c>
      <c r="I64" s="28" t="s">
        <v>1119</v>
      </c>
      <c r="J64" s="27" t="s">
        <v>546</v>
      </c>
      <c r="K64" s="27" t="s">
        <v>505</v>
      </c>
    </row>
    <row r="65" spans="1:11" ht="13.8" thickBot="1" x14ac:dyDescent="0.25">
      <c r="A65" s="27" t="s">
        <v>897</v>
      </c>
      <c r="B65" s="27" t="s">
        <v>574</v>
      </c>
      <c r="C65" s="27" t="s">
        <v>28</v>
      </c>
      <c r="D65" s="28" t="s">
        <v>142</v>
      </c>
      <c r="E65" s="28" t="s">
        <v>140</v>
      </c>
      <c r="F65" s="28" t="s">
        <v>117</v>
      </c>
      <c r="G65" s="28" t="s">
        <v>37</v>
      </c>
      <c r="H65" s="28" t="s">
        <v>143</v>
      </c>
      <c r="I65" s="28" t="s">
        <v>1118</v>
      </c>
      <c r="J65" s="27" t="s">
        <v>546</v>
      </c>
      <c r="K65" s="27" t="s">
        <v>505</v>
      </c>
    </row>
    <row r="66" spans="1:11" ht="13.8" thickBot="1" x14ac:dyDescent="0.25">
      <c r="A66" s="27" t="s">
        <v>881</v>
      </c>
      <c r="B66" s="27" t="s">
        <v>574</v>
      </c>
      <c r="C66" s="27" t="s">
        <v>29</v>
      </c>
      <c r="D66" s="28" t="s">
        <v>134</v>
      </c>
      <c r="E66" s="28" t="s">
        <v>33</v>
      </c>
      <c r="F66" s="28" t="s">
        <v>135</v>
      </c>
      <c r="G66" s="28" t="s">
        <v>37</v>
      </c>
      <c r="H66" s="28" t="s">
        <v>136</v>
      </c>
      <c r="I66" s="28"/>
      <c r="J66" s="27" t="s">
        <v>508</v>
      </c>
      <c r="K66" s="27" t="s">
        <v>510</v>
      </c>
    </row>
    <row r="67" spans="1:11" ht="13.8" thickBot="1" x14ac:dyDescent="0.25">
      <c r="A67" s="27" t="s">
        <v>894</v>
      </c>
      <c r="B67" s="27" t="s">
        <v>574</v>
      </c>
      <c r="C67" s="27" t="s">
        <v>31</v>
      </c>
      <c r="D67" s="28" t="s">
        <v>134</v>
      </c>
      <c r="E67" s="28" t="s">
        <v>33</v>
      </c>
      <c r="F67" s="28" t="s">
        <v>135</v>
      </c>
      <c r="G67" s="28" t="s">
        <v>37</v>
      </c>
      <c r="H67" s="28" t="s">
        <v>136</v>
      </c>
      <c r="I67" s="28"/>
      <c r="J67" s="27" t="s">
        <v>508</v>
      </c>
      <c r="K67" s="27" t="s">
        <v>510</v>
      </c>
    </row>
    <row r="68" spans="1:11" ht="13.8" thickBot="1" x14ac:dyDescent="0.25">
      <c r="A68" s="27" t="s">
        <v>899</v>
      </c>
      <c r="B68" s="27" t="s">
        <v>746</v>
      </c>
      <c r="C68" s="27" t="s">
        <v>11</v>
      </c>
      <c r="D68" s="28" t="s">
        <v>134</v>
      </c>
      <c r="E68" s="28" t="s">
        <v>1392</v>
      </c>
      <c r="F68" s="28" t="s">
        <v>135</v>
      </c>
      <c r="G68" s="28" t="s">
        <v>37</v>
      </c>
      <c r="H68" s="28" t="s">
        <v>136</v>
      </c>
      <c r="I68" s="28" t="s">
        <v>1393</v>
      </c>
      <c r="J68" s="27" t="s">
        <v>596</v>
      </c>
      <c r="K68" s="27" t="s">
        <v>668</v>
      </c>
    </row>
    <row r="69" spans="1:11" ht="13.8" thickBot="1" x14ac:dyDescent="0.25">
      <c r="A69" s="27" t="s">
        <v>900</v>
      </c>
      <c r="B69" s="27" t="s">
        <v>746</v>
      </c>
      <c r="C69" s="27" t="s">
        <v>14</v>
      </c>
      <c r="D69" s="28" t="s">
        <v>134</v>
      </c>
      <c r="E69" s="28" t="s">
        <v>949</v>
      </c>
      <c r="F69" s="28" t="s">
        <v>135</v>
      </c>
      <c r="G69" s="28" t="s">
        <v>37</v>
      </c>
      <c r="H69" s="28" t="s">
        <v>136</v>
      </c>
      <c r="I69" s="28" t="s">
        <v>950</v>
      </c>
      <c r="J69" s="27" t="s">
        <v>597</v>
      </c>
      <c r="K69" s="27" t="s">
        <v>751</v>
      </c>
    </row>
    <row r="70" spans="1:11" ht="13.8" thickBot="1" x14ac:dyDescent="0.25">
      <c r="A70" s="27" t="s">
        <v>898</v>
      </c>
      <c r="B70" s="27" t="s">
        <v>746</v>
      </c>
      <c r="C70" s="27" t="s">
        <v>15</v>
      </c>
      <c r="D70" s="28" t="s">
        <v>88</v>
      </c>
      <c r="E70" s="28" t="s">
        <v>866</v>
      </c>
      <c r="F70" s="28" t="s">
        <v>89</v>
      </c>
      <c r="G70" s="28" t="s">
        <v>13</v>
      </c>
      <c r="H70" s="28" t="s">
        <v>125</v>
      </c>
      <c r="I70" s="28" t="s">
        <v>867</v>
      </c>
      <c r="J70" s="27" t="s">
        <v>597</v>
      </c>
      <c r="K70" s="27" t="s">
        <v>756</v>
      </c>
    </row>
    <row r="71" spans="1:11" ht="13.8" thickBot="1" x14ac:dyDescent="0.25">
      <c r="A71" s="27" t="s">
        <v>901</v>
      </c>
      <c r="B71" s="27" t="s">
        <v>746</v>
      </c>
      <c r="C71" s="27" t="s">
        <v>16</v>
      </c>
      <c r="D71" s="28" t="s">
        <v>137</v>
      </c>
      <c r="E71" s="28" t="s">
        <v>1394</v>
      </c>
      <c r="F71" s="28" t="s">
        <v>138</v>
      </c>
      <c r="G71" s="28" t="s">
        <v>30</v>
      </c>
      <c r="H71" s="28" t="s">
        <v>139</v>
      </c>
      <c r="I71" s="28" t="s">
        <v>1395</v>
      </c>
      <c r="J71" s="27" t="s">
        <v>598</v>
      </c>
      <c r="K71" s="27" t="s">
        <v>751</v>
      </c>
    </row>
    <row r="72" spans="1:11" ht="13.8" thickBot="1" x14ac:dyDescent="0.25">
      <c r="A72" s="27" t="s">
        <v>903</v>
      </c>
      <c r="B72" s="27" t="s">
        <v>746</v>
      </c>
      <c r="C72" s="27" t="s">
        <v>17</v>
      </c>
      <c r="D72" s="28" t="s">
        <v>134</v>
      </c>
      <c r="E72" s="28" t="s">
        <v>145</v>
      </c>
      <c r="F72" s="28" t="s">
        <v>135</v>
      </c>
      <c r="G72" s="28" t="s">
        <v>37</v>
      </c>
      <c r="H72" s="28" t="s">
        <v>136</v>
      </c>
      <c r="I72" s="28"/>
      <c r="J72" s="27" t="s">
        <v>620</v>
      </c>
      <c r="K72" s="27" t="s">
        <v>756</v>
      </c>
    </row>
    <row r="73" spans="1:11" ht="13.8" thickBot="1" x14ac:dyDescent="0.25">
      <c r="A73" s="27" t="s">
        <v>904</v>
      </c>
      <c r="B73" s="27" t="s">
        <v>746</v>
      </c>
      <c r="C73" s="27" t="s">
        <v>18</v>
      </c>
      <c r="D73" s="28" t="s">
        <v>88</v>
      </c>
      <c r="E73" s="28" t="s">
        <v>1196</v>
      </c>
      <c r="F73" s="28" t="s">
        <v>89</v>
      </c>
      <c r="G73" s="28" t="s">
        <v>13</v>
      </c>
      <c r="H73" s="28" t="s">
        <v>125</v>
      </c>
      <c r="I73" s="28" t="s">
        <v>1197</v>
      </c>
      <c r="J73" s="27" t="s">
        <v>621</v>
      </c>
      <c r="K73" s="27" t="s">
        <v>776</v>
      </c>
    </row>
    <row r="74" spans="1:11" ht="13.8" thickBot="1" x14ac:dyDescent="0.25">
      <c r="A74" s="27" t="s">
        <v>905</v>
      </c>
      <c r="B74" s="27" t="s">
        <v>746</v>
      </c>
      <c r="C74" s="27" t="s">
        <v>19</v>
      </c>
      <c r="D74" s="28" t="s">
        <v>134</v>
      </c>
      <c r="E74" s="28" t="s">
        <v>527</v>
      </c>
      <c r="F74" s="28" t="s">
        <v>135</v>
      </c>
      <c r="G74" s="28" t="s">
        <v>37</v>
      </c>
      <c r="H74" s="28" t="s">
        <v>136</v>
      </c>
      <c r="I74" s="28"/>
      <c r="J74" s="27" t="s">
        <v>621</v>
      </c>
      <c r="K74" s="27" t="s">
        <v>760</v>
      </c>
    </row>
    <row r="75" spans="1:11" ht="13.8" thickBot="1" x14ac:dyDescent="0.25">
      <c r="A75" s="27" t="s">
        <v>906</v>
      </c>
      <c r="B75" s="27" t="s">
        <v>746</v>
      </c>
      <c r="C75" s="27" t="s">
        <v>20</v>
      </c>
      <c r="D75" s="28" t="s">
        <v>137</v>
      </c>
      <c r="E75" s="28" t="s">
        <v>1394</v>
      </c>
      <c r="F75" s="28" t="s">
        <v>138</v>
      </c>
      <c r="G75" s="28" t="s">
        <v>30</v>
      </c>
      <c r="H75" s="28" t="s">
        <v>139</v>
      </c>
      <c r="I75" s="28" t="s">
        <v>1396</v>
      </c>
      <c r="J75" s="27" t="s">
        <v>631</v>
      </c>
      <c r="K75" s="27" t="s">
        <v>749</v>
      </c>
    </row>
    <row r="76" spans="1:11" ht="13.8" thickBot="1" x14ac:dyDescent="0.25">
      <c r="A76" s="27" t="s">
        <v>907</v>
      </c>
      <c r="B76" s="27" t="s">
        <v>746</v>
      </c>
      <c r="C76" s="27" t="s">
        <v>21</v>
      </c>
      <c r="D76" s="28" t="s">
        <v>142</v>
      </c>
      <c r="E76" s="28" t="s">
        <v>12</v>
      </c>
      <c r="F76" s="28" t="s">
        <v>117</v>
      </c>
      <c r="G76" s="28" t="s">
        <v>37</v>
      </c>
      <c r="H76" s="28" t="s">
        <v>143</v>
      </c>
      <c r="I76" s="28" t="s">
        <v>1120</v>
      </c>
      <c r="J76" s="27" t="s">
        <v>665</v>
      </c>
      <c r="K76" s="27" t="s">
        <v>776</v>
      </c>
    </row>
    <row r="77" spans="1:11" ht="13.8" thickBot="1" x14ac:dyDescent="0.25">
      <c r="A77" s="27" t="s">
        <v>908</v>
      </c>
      <c r="B77" s="27" t="s">
        <v>746</v>
      </c>
      <c r="C77" s="27" t="s">
        <v>22</v>
      </c>
      <c r="D77" s="28" t="s">
        <v>142</v>
      </c>
      <c r="E77" s="28" t="s">
        <v>12</v>
      </c>
      <c r="F77" s="28" t="s">
        <v>117</v>
      </c>
      <c r="G77" s="28" t="s">
        <v>37</v>
      </c>
      <c r="H77" s="28" t="s">
        <v>143</v>
      </c>
      <c r="I77" s="28" t="s">
        <v>1121</v>
      </c>
      <c r="J77" s="27" t="s">
        <v>668</v>
      </c>
      <c r="K77" s="27" t="s">
        <v>801</v>
      </c>
    </row>
    <row r="78" spans="1:11" ht="13.8" thickBot="1" x14ac:dyDescent="0.25">
      <c r="A78" s="27" t="s">
        <v>909</v>
      </c>
      <c r="B78" s="27" t="s">
        <v>746</v>
      </c>
      <c r="C78" s="27" t="s">
        <v>23</v>
      </c>
      <c r="D78" s="28" t="s">
        <v>88</v>
      </c>
      <c r="E78" s="28" t="s">
        <v>1107</v>
      </c>
      <c r="F78" s="28" t="s">
        <v>89</v>
      </c>
      <c r="G78" s="28" t="s">
        <v>13</v>
      </c>
      <c r="H78" s="28" t="s">
        <v>125</v>
      </c>
      <c r="I78" s="28" t="s">
        <v>1108</v>
      </c>
      <c r="J78" s="27" t="s">
        <v>751</v>
      </c>
      <c r="K78" s="27" t="s">
        <v>805</v>
      </c>
    </row>
    <row r="79" spans="1:11" ht="13.8" thickBot="1" x14ac:dyDescent="0.25">
      <c r="A79" s="27" t="s">
        <v>902</v>
      </c>
      <c r="B79" s="27" t="s">
        <v>746</v>
      </c>
      <c r="C79" s="27" t="s">
        <v>24</v>
      </c>
      <c r="D79" s="28" t="s">
        <v>130</v>
      </c>
      <c r="E79" s="28" t="s">
        <v>194</v>
      </c>
      <c r="F79" s="28" t="s">
        <v>93</v>
      </c>
      <c r="G79" s="28" t="s">
        <v>13</v>
      </c>
      <c r="H79" s="28" t="s">
        <v>131</v>
      </c>
      <c r="I79" s="28" t="s">
        <v>1198</v>
      </c>
      <c r="J79" s="27" t="s">
        <v>751</v>
      </c>
      <c r="K79" s="27" t="s">
        <v>805</v>
      </c>
    </row>
    <row r="80" spans="1:11" ht="13.8" thickBot="1" x14ac:dyDescent="0.25">
      <c r="A80" s="27" t="s">
        <v>910</v>
      </c>
      <c r="B80" s="27" t="s">
        <v>746</v>
      </c>
      <c r="C80" s="27" t="s">
        <v>25</v>
      </c>
      <c r="D80" s="28" t="s">
        <v>142</v>
      </c>
      <c r="E80" s="28" t="s">
        <v>12</v>
      </c>
      <c r="F80" s="28" t="s">
        <v>117</v>
      </c>
      <c r="G80" s="28" t="s">
        <v>37</v>
      </c>
      <c r="H80" s="28" t="s">
        <v>143</v>
      </c>
      <c r="I80" s="28" t="s">
        <v>1122</v>
      </c>
      <c r="J80" s="27" t="s">
        <v>747</v>
      </c>
      <c r="K80" s="27" t="s">
        <v>790</v>
      </c>
    </row>
    <row r="81" spans="1:11" ht="13.8" thickBot="1" x14ac:dyDescent="0.25">
      <c r="A81" s="27" t="s">
        <v>911</v>
      </c>
      <c r="B81" s="27" t="s">
        <v>746</v>
      </c>
      <c r="C81" s="27" t="s">
        <v>26</v>
      </c>
      <c r="D81" s="28" t="s">
        <v>137</v>
      </c>
      <c r="E81" s="28" t="s">
        <v>78</v>
      </c>
      <c r="F81" s="28" t="s">
        <v>138</v>
      </c>
      <c r="G81" s="28" t="s">
        <v>30</v>
      </c>
      <c r="H81" s="28" t="s">
        <v>139</v>
      </c>
      <c r="I81" s="28" t="s">
        <v>1397</v>
      </c>
      <c r="J81" s="27" t="s">
        <v>756</v>
      </c>
      <c r="K81" s="27" t="s">
        <v>799</v>
      </c>
    </row>
    <row r="82" spans="1:11" ht="13.8" thickBot="1" x14ac:dyDescent="0.25">
      <c r="A82" s="27" t="s">
        <v>912</v>
      </c>
      <c r="B82" s="27" t="s">
        <v>746</v>
      </c>
      <c r="C82" s="27" t="s">
        <v>27</v>
      </c>
      <c r="D82" s="28" t="s">
        <v>130</v>
      </c>
      <c r="E82" s="28" t="s">
        <v>140</v>
      </c>
      <c r="F82" s="28" t="s">
        <v>93</v>
      </c>
      <c r="G82" s="28" t="s">
        <v>13</v>
      </c>
      <c r="H82" s="28" t="s">
        <v>131</v>
      </c>
      <c r="I82" s="28" t="s">
        <v>1199</v>
      </c>
      <c r="J82" s="27" t="s">
        <v>760</v>
      </c>
      <c r="K82" s="27" t="s">
        <v>1050</v>
      </c>
    </row>
    <row r="83" spans="1:11" ht="13.8" thickBot="1" x14ac:dyDescent="0.25">
      <c r="A83" s="27" t="s">
        <v>913</v>
      </c>
      <c r="B83" s="27" t="s">
        <v>746</v>
      </c>
      <c r="C83" s="27" t="s">
        <v>28</v>
      </c>
      <c r="D83" s="28" t="s">
        <v>137</v>
      </c>
      <c r="E83" s="28" t="s">
        <v>12</v>
      </c>
      <c r="F83" s="28" t="s">
        <v>138</v>
      </c>
      <c r="G83" s="28" t="s">
        <v>30</v>
      </c>
      <c r="H83" s="28" t="s">
        <v>139</v>
      </c>
      <c r="I83" s="28" t="s">
        <v>1123</v>
      </c>
      <c r="J83" s="27" t="s">
        <v>749</v>
      </c>
      <c r="K83" s="27" t="s">
        <v>844</v>
      </c>
    </row>
    <row r="84" spans="1:11" ht="13.8" thickBot="1" x14ac:dyDescent="0.25">
      <c r="A84" s="27" t="s">
        <v>914</v>
      </c>
      <c r="B84" s="27" t="s">
        <v>746</v>
      </c>
      <c r="C84" s="27" t="s">
        <v>29</v>
      </c>
      <c r="D84" s="28" t="s">
        <v>137</v>
      </c>
      <c r="E84" s="28" t="s">
        <v>12</v>
      </c>
      <c r="F84" s="28" t="s">
        <v>138</v>
      </c>
      <c r="G84" s="28" t="s">
        <v>30</v>
      </c>
      <c r="H84" s="28" t="s">
        <v>139</v>
      </c>
      <c r="I84" s="28" t="s">
        <v>1124</v>
      </c>
      <c r="J84" s="27" t="s">
        <v>776</v>
      </c>
      <c r="K84" s="27" t="s">
        <v>846</v>
      </c>
    </row>
    <row r="85" spans="1:11" ht="13.8" thickBot="1" x14ac:dyDescent="0.25">
      <c r="A85" s="27" t="s">
        <v>915</v>
      </c>
      <c r="B85" s="27" t="s">
        <v>746</v>
      </c>
      <c r="C85" s="27" t="s">
        <v>31</v>
      </c>
      <c r="D85" s="28" t="s">
        <v>115</v>
      </c>
      <c r="E85" s="28" t="s">
        <v>145</v>
      </c>
      <c r="F85" s="28" t="s">
        <v>116</v>
      </c>
      <c r="G85" s="28" t="s">
        <v>13</v>
      </c>
      <c r="H85" s="28" t="s">
        <v>144</v>
      </c>
      <c r="I85" s="28"/>
      <c r="J85" s="27" t="s">
        <v>801</v>
      </c>
      <c r="K85" s="27" t="s">
        <v>846</v>
      </c>
    </row>
    <row r="86" spans="1:11" ht="13.8" thickBot="1" x14ac:dyDescent="0.25">
      <c r="A86" s="27" t="s">
        <v>916</v>
      </c>
      <c r="B86" s="27" t="s">
        <v>746</v>
      </c>
      <c r="C86" s="27" t="s">
        <v>32</v>
      </c>
      <c r="D86" s="28" t="s">
        <v>115</v>
      </c>
      <c r="E86" s="28" t="s">
        <v>1212</v>
      </c>
      <c r="F86" s="28" t="s">
        <v>116</v>
      </c>
      <c r="G86" s="28" t="s">
        <v>13</v>
      </c>
      <c r="H86" s="28" t="s">
        <v>144</v>
      </c>
      <c r="I86" s="28" t="s">
        <v>1213</v>
      </c>
      <c r="J86" s="27" t="s">
        <v>790</v>
      </c>
      <c r="K86" s="27" t="s">
        <v>932</v>
      </c>
    </row>
  </sheetData>
  <autoFilter ref="A2:L2"/>
  <mergeCells count="11">
    <mergeCell ref="C1:C2"/>
    <mergeCell ref="D1:D2"/>
    <mergeCell ref="A1:A2"/>
    <mergeCell ref="B1:B2"/>
    <mergeCell ref="I1:I2"/>
    <mergeCell ref="K1:K2"/>
    <mergeCell ref="E1:E2"/>
    <mergeCell ref="F1:F2"/>
    <mergeCell ref="G1:G2"/>
    <mergeCell ref="H1:H2"/>
    <mergeCell ref="J1:J2"/>
  </mergeCells>
  <phoneticPr fontId="2"/>
  <pageMargins left="0.39370078740157483" right="0" top="0.98425196850393704" bottom="0.98425196850393704" header="0.51181102362204722" footer="0.51181102362204722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66"/>
  <sheetViews>
    <sheetView zoomScale="110" zoomScaleNormal="110" workbookViewId="0">
      <pane ySplit="2" topLeftCell="A42" activePane="bottomLeft" state="frozen"/>
      <selection activeCell="L269" sqref="L269"/>
      <selection pane="bottomLeft" activeCell="G31" sqref="G31"/>
    </sheetView>
  </sheetViews>
  <sheetFormatPr defaultRowHeight="13.2" x14ac:dyDescent="0.2"/>
  <cols>
    <col min="1" max="16384" width="8.88671875" style="33"/>
  </cols>
  <sheetData>
    <row r="1" spans="1:11" x14ac:dyDescent="0.2">
      <c r="A1" s="29" t="s">
        <v>3</v>
      </c>
      <c r="B1" s="29" t="s">
        <v>0</v>
      </c>
      <c r="C1" s="29" t="s">
        <v>1</v>
      </c>
      <c r="D1" s="29" t="s">
        <v>2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</row>
    <row r="2" spans="1:11" ht="13.8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3.8" thickBot="1" x14ac:dyDescent="0.25">
      <c r="A3" s="23" t="s">
        <v>226</v>
      </c>
      <c r="B3" s="23" t="s">
        <v>396</v>
      </c>
      <c r="C3" s="23" t="s">
        <v>11</v>
      </c>
      <c r="D3" s="24" t="s">
        <v>88</v>
      </c>
      <c r="E3" s="24" t="s">
        <v>397</v>
      </c>
      <c r="F3" s="24" t="s">
        <v>89</v>
      </c>
      <c r="G3" s="24" t="s">
        <v>13</v>
      </c>
      <c r="H3" s="24" t="s">
        <v>125</v>
      </c>
      <c r="I3" s="24" t="s">
        <v>398</v>
      </c>
      <c r="J3" s="23" t="s">
        <v>207</v>
      </c>
      <c r="K3" s="23" t="s">
        <v>210</v>
      </c>
    </row>
    <row r="4" spans="1:11" ht="13.8" thickBot="1" x14ac:dyDescent="0.25">
      <c r="A4" s="23" t="s">
        <v>369</v>
      </c>
      <c r="B4" s="23" t="s">
        <v>396</v>
      </c>
      <c r="C4" s="23" t="s">
        <v>14</v>
      </c>
      <c r="D4" s="24" t="s">
        <v>115</v>
      </c>
      <c r="E4" s="24" t="s">
        <v>1579</v>
      </c>
      <c r="F4" s="24" t="s">
        <v>116</v>
      </c>
      <c r="G4" s="24" t="s">
        <v>13</v>
      </c>
      <c r="H4" s="24" t="s">
        <v>144</v>
      </c>
      <c r="I4" s="24" t="s">
        <v>1580</v>
      </c>
      <c r="J4" s="23" t="s">
        <v>219</v>
      </c>
      <c r="K4" s="23" t="s">
        <v>221</v>
      </c>
    </row>
    <row r="5" spans="1:11" ht="13.8" thickBot="1" x14ac:dyDescent="0.25">
      <c r="A5" s="23" t="s">
        <v>645</v>
      </c>
      <c r="B5" s="23" t="s">
        <v>396</v>
      </c>
      <c r="C5" s="23" t="s">
        <v>15</v>
      </c>
      <c r="D5" s="24" t="s">
        <v>134</v>
      </c>
      <c r="E5" s="24" t="s">
        <v>33</v>
      </c>
      <c r="F5" s="24" t="s">
        <v>135</v>
      </c>
      <c r="G5" s="24" t="s">
        <v>37</v>
      </c>
      <c r="H5" s="24" t="s">
        <v>136</v>
      </c>
      <c r="I5" s="24"/>
      <c r="J5" s="23" t="s">
        <v>258</v>
      </c>
      <c r="K5" s="23" t="s">
        <v>288</v>
      </c>
    </row>
    <row r="6" spans="1:11" ht="13.8" thickBot="1" x14ac:dyDescent="0.25">
      <c r="A6" s="23" t="s">
        <v>648</v>
      </c>
      <c r="B6" s="23" t="s">
        <v>396</v>
      </c>
      <c r="C6" s="23" t="s">
        <v>16</v>
      </c>
      <c r="D6" s="24" t="s">
        <v>134</v>
      </c>
      <c r="E6" s="24" t="s">
        <v>33</v>
      </c>
      <c r="F6" s="24" t="s">
        <v>135</v>
      </c>
      <c r="G6" s="24" t="s">
        <v>37</v>
      </c>
      <c r="H6" s="24" t="s">
        <v>136</v>
      </c>
      <c r="I6" s="24"/>
      <c r="J6" s="23" t="s">
        <v>258</v>
      </c>
      <c r="K6" s="23" t="s">
        <v>288</v>
      </c>
    </row>
    <row r="7" spans="1:11" ht="13.8" thickBot="1" x14ac:dyDescent="0.25">
      <c r="A7" s="23" t="s">
        <v>401</v>
      </c>
      <c r="B7" s="23" t="s">
        <v>396</v>
      </c>
      <c r="C7" s="23" t="s">
        <v>17</v>
      </c>
      <c r="D7" s="24" t="s">
        <v>88</v>
      </c>
      <c r="E7" s="24" t="s">
        <v>404</v>
      </c>
      <c r="F7" s="24" t="s">
        <v>89</v>
      </c>
      <c r="G7" s="24" t="s">
        <v>13</v>
      </c>
      <c r="H7" s="24" t="s">
        <v>125</v>
      </c>
      <c r="I7" s="24" t="s">
        <v>405</v>
      </c>
      <c r="J7" s="23" t="s">
        <v>258</v>
      </c>
      <c r="K7" s="23" t="s">
        <v>296</v>
      </c>
    </row>
    <row r="8" spans="1:11" ht="13.8" thickBot="1" x14ac:dyDescent="0.25">
      <c r="A8" s="23" t="s">
        <v>649</v>
      </c>
      <c r="B8" s="23" t="s">
        <v>396</v>
      </c>
      <c r="C8" s="23" t="s">
        <v>18</v>
      </c>
      <c r="D8" s="24" t="s">
        <v>130</v>
      </c>
      <c r="E8" s="24" t="s">
        <v>194</v>
      </c>
      <c r="F8" s="24" t="s">
        <v>93</v>
      </c>
      <c r="G8" s="24" t="s">
        <v>13</v>
      </c>
      <c r="H8" s="24" t="s">
        <v>131</v>
      </c>
      <c r="I8" s="24" t="s">
        <v>852</v>
      </c>
      <c r="J8" s="23" t="s">
        <v>258</v>
      </c>
      <c r="K8" s="23" t="s">
        <v>296</v>
      </c>
    </row>
    <row r="9" spans="1:11" ht="13.8" thickBot="1" x14ac:dyDescent="0.25">
      <c r="A9" s="23" t="s">
        <v>365</v>
      </c>
      <c r="B9" s="23" t="s">
        <v>396</v>
      </c>
      <c r="C9" s="23" t="s">
        <v>19</v>
      </c>
      <c r="D9" s="24" t="s">
        <v>134</v>
      </c>
      <c r="E9" s="24" t="s">
        <v>1390</v>
      </c>
      <c r="F9" s="24" t="s">
        <v>135</v>
      </c>
      <c r="G9" s="24" t="s">
        <v>37</v>
      </c>
      <c r="H9" s="24" t="s">
        <v>136</v>
      </c>
      <c r="I9" s="24" t="s">
        <v>1391</v>
      </c>
      <c r="J9" s="23" t="s">
        <v>257</v>
      </c>
      <c r="K9" s="23" t="s">
        <v>274</v>
      </c>
    </row>
    <row r="10" spans="1:11" ht="13.8" thickBot="1" x14ac:dyDescent="0.25">
      <c r="A10" s="23" t="s">
        <v>395</v>
      </c>
      <c r="B10" s="23" t="s">
        <v>396</v>
      </c>
      <c r="C10" s="23" t="s">
        <v>20</v>
      </c>
      <c r="D10" s="24" t="s">
        <v>88</v>
      </c>
      <c r="E10" s="24" t="s">
        <v>146</v>
      </c>
      <c r="F10" s="24" t="s">
        <v>89</v>
      </c>
      <c r="G10" s="24" t="s">
        <v>13</v>
      </c>
      <c r="H10" s="24" t="s">
        <v>125</v>
      </c>
      <c r="I10" s="24"/>
      <c r="J10" s="23" t="s">
        <v>270</v>
      </c>
      <c r="K10" s="23" t="s">
        <v>330</v>
      </c>
    </row>
    <row r="11" spans="1:11" ht="13.8" thickBot="1" x14ac:dyDescent="0.25">
      <c r="A11" s="23" t="s">
        <v>366</v>
      </c>
      <c r="B11" s="23" t="s">
        <v>396</v>
      </c>
      <c r="C11" s="23" t="s">
        <v>21</v>
      </c>
      <c r="D11" s="24" t="s">
        <v>137</v>
      </c>
      <c r="E11" s="24" t="s">
        <v>12</v>
      </c>
      <c r="F11" s="24" t="s">
        <v>138</v>
      </c>
      <c r="G11" s="24" t="s">
        <v>30</v>
      </c>
      <c r="H11" s="24" t="s">
        <v>139</v>
      </c>
      <c r="I11" s="24" t="s">
        <v>516</v>
      </c>
      <c r="J11" s="23" t="s">
        <v>270</v>
      </c>
      <c r="K11" s="23" t="s">
        <v>284</v>
      </c>
    </row>
    <row r="12" spans="1:11" ht="13.8" thickBot="1" x14ac:dyDescent="0.25">
      <c r="A12" s="23" t="s">
        <v>413</v>
      </c>
      <c r="B12" s="23" t="s">
        <v>396</v>
      </c>
      <c r="C12" s="23" t="s">
        <v>22</v>
      </c>
      <c r="D12" s="24" t="s">
        <v>137</v>
      </c>
      <c r="E12" s="24" t="s">
        <v>414</v>
      </c>
      <c r="F12" s="24" t="s">
        <v>138</v>
      </c>
      <c r="G12" s="24" t="s">
        <v>30</v>
      </c>
      <c r="H12" s="24" t="s">
        <v>139</v>
      </c>
      <c r="I12" s="24" t="s">
        <v>415</v>
      </c>
      <c r="J12" s="23" t="s">
        <v>270</v>
      </c>
      <c r="K12" s="23" t="s">
        <v>289</v>
      </c>
    </row>
    <row r="13" spans="1:11" ht="13.8" thickBot="1" x14ac:dyDescent="0.25">
      <c r="A13" s="23" t="s">
        <v>416</v>
      </c>
      <c r="B13" s="23" t="s">
        <v>396</v>
      </c>
      <c r="C13" s="23" t="s">
        <v>23</v>
      </c>
      <c r="D13" s="24" t="s">
        <v>137</v>
      </c>
      <c r="E13" s="24" t="s">
        <v>414</v>
      </c>
      <c r="F13" s="24" t="s">
        <v>138</v>
      </c>
      <c r="G13" s="24" t="s">
        <v>30</v>
      </c>
      <c r="H13" s="24" t="s">
        <v>139</v>
      </c>
      <c r="I13" s="24" t="s">
        <v>417</v>
      </c>
      <c r="J13" s="23" t="s">
        <v>270</v>
      </c>
      <c r="K13" s="23" t="s">
        <v>289</v>
      </c>
    </row>
    <row r="14" spans="1:11" ht="13.8" thickBot="1" x14ac:dyDescent="0.25">
      <c r="A14" s="23" t="s">
        <v>368</v>
      </c>
      <c r="B14" s="23" t="s">
        <v>396</v>
      </c>
      <c r="C14" s="23" t="s">
        <v>24</v>
      </c>
      <c r="D14" s="24" t="s">
        <v>137</v>
      </c>
      <c r="E14" s="24" t="s">
        <v>12</v>
      </c>
      <c r="F14" s="24" t="s">
        <v>138</v>
      </c>
      <c r="G14" s="24" t="s">
        <v>30</v>
      </c>
      <c r="H14" s="24" t="s">
        <v>139</v>
      </c>
      <c r="I14" s="24" t="s">
        <v>518</v>
      </c>
      <c r="J14" s="23" t="s">
        <v>274</v>
      </c>
      <c r="K14" s="23" t="s">
        <v>278</v>
      </c>
    </row>
    <row r="15" spans="1:11" ht="13.8" thickBot="1" x14ac:dyDescent="0.25">
      <c r="A15" s="23" t="s">
        <v>650</v>
      </c>
      <c r="B15" s="23" t="s">
        <v>396</v>
      </c>
      <c r="C15" s="23" t="s">
        <v>25</v>
      </c>
      <c r="D15" s="24" t="s">
        <v>115</v>
      </c>
      <c r="E15" s="24" t="s">
        <v>875</v>
      </c>
      <c r="F15" s="24" t="s">
        <v>116</v>
      </c>
      <c r="G15" s="24" t="s">
        <v>13</v>
      </c>
      <c r="H15" s="24" t="s">
        <v>144</v>
      </c>
      <c r="I15" s="24" t="s">
        <v>876</v>
      </c>
      <c r="J15" s="23" t="s">
        <v>278</v>
      </c>
      <c r="K15" s="23" t="s">
        <v>288</v>
      </c>
    </row>
    <row r="16" spans="1:11" ht="13.8" thickBot="1" x14ac:dyDescent="0.25">
      <c r="A16" s="23" t="s">
        <v>403</v>
      </c>
      <c r="B16" s="23" t="s">
        <v>396</v>
      </c>
      <c r="C16" s="23" t="s">
        <v>26</v>
      </c>
      <c r="D16" s="24" t="s">
        <v>88</v>
      </c>
      <c r="E16" s="24" t="s">
        <v>1572</v>
      </c>
      <c r="F16" s="24" t="s">
        <v>89</v>
      </c>
      <c r="G16" s="24" t="s">
        <v>13</v>
      </c>
      <c r="H16" s="24" t="s">
        <v>125</v>
      </c>
      <c r="I16" s="24" t="s">
        <v>1573</v>
      </c>
      <c r="J16" s="23" t="s">
        <v>278</v>
      </c>
      <c r="K16" s="23" t="s">
        <v>288</v>
      </c>
    </row>
    <row r="17" spans="1:11" ht="13.8" thickBot="1" x14ac:dyDescent="0.25">
      <c r="A17" s="23" t="s">
        <v>407</v>
      </c>
      <c r="B17" s="23" t="s">
        <v>396</v>
      </c>
      <c r="C17" s="23" t="s">
        <v>27</v>
      </c>
      <c r="D17" s="24" t="s">
        <v>142</v>
      </c>
      <c r="E17" s="24" t="s">
        <v>12</v>
      </c>
      <c r="F17" s="24" t="s">
        <v>117</v>
      </c>
      <c r="G17" s="24" t="s">
        <v>37</v>
      </c>
      <c r="H17" s="24" t="s">
        <v>143</v>
      </c>
      <c r="I17" s="24" t="s">
        <v>873</v>
      </c>
      <c r="J17" s="23" t="s">
        <v>278</v>
      </c>
      <c r="K17" s="23" t="s">
        <v>288</v>
      </c>
    </row>
    <row r="18" spans="1:11" ht="13.8" thickBot="1" x14ac:dyDescent="0.25">
      <c r="A18" s="23" t="s">
        <v>409</v>
      </c>
      <c r="B18" s="23" t="s">
        <v>396</v>
      </c>
      <c r="C18" s="23" t="s">
        <v>28</v>
      </c>
      <c r="D18" s="24" t="s">
        <v>142</v>
      </c>
      <c r="E18" s="24" t="s">
        <v>12</v>
      </c>
      <c r="F18" s="24" t="s">
        <v>117</v>
      </c>
      <c r="G18" s="24" t="s">
        <v>37</v>
      </c>
      <c r="H18" s="24" t="s">
        <v>143</v>
      </c>
      <c r="I18" s="24" t="s">
        <v>874</v>
      </c>
      <c r="J18" s="23" t="s">
        <v>278</v>
      </c>
      <c r="K18" s="23" t="s">
        <v>288</v>
      </c>
    </row>
    <row r="19" spans="1:11" ht="13.8" thickBot="1" x14ac:dyDescent="0.25">
      <c r="A19" s="23" t="s">
        <v>646</v>
      </c>
      <c r="B19" s="23" t="s">
        <v>396</v>
      </c>
      <c r="C19" s="23" t="s">
        <v>29</v>
      </c>
      <c r="D19" s="24" t="s">
        <v>142</v>
      </c>
      <c r="E19" s="24" t="s">
        <v>140</v>
      </c>
      <c r="F19" s="24" t="s">
        <v>117</v>
      </c>
      <c r="G19" s="24" t="s">
        <v>37</v>
      </c>
      <c r="H19" s="24" t="s">
        <v>143</v>
      </c>
      <c r="I19" s="24" t="s">
        <v>1113</v>
      </c>
      <c r="J19" s="23" t="s">
        <v>278</v>
      </c>
      <c r="K19" s="23" t="s">
        <v>288</v>
      </c>
    </row>
    <row r="20" spans="1:11" ht="13.8" thickBot="1" x14ac:dyDescent="0.25">
      <c r="A20" s="23" t="s">
        <v>362</v>
      </c>
      <c r="B20" s="23" t="s">
        <v>396</v>
      </c>
      <c r="C20" s="23" t="s">
        <v>31</v>
      </c>
      <c r="D20" s="24" t="s">
        <v>137</v>
      </c>
      <c r="E20" s="24" t="s">
        <v>194</v>
      </c>
      <c r="F20" s="24" t="s">
        <v>138</v>
      </c>
      <c r="G20" s="24" t="s">
        <v>37</v>
      </c>
      <c r="H20" s="24" t="s">
        <v>139</v>
      </c>
      <c r="I20" s="24" t="s">
        <v>872</v>
      </c>
      <c r="J20" s="23" t="s">
        <v>278</v>
      </c>
      <c r="K20" s="23" t="s">
        <v>281</v>
      </c>
    </row>
    <row r="21" spans="1:11" ht="13.8" thickBot="1" x14ac:dyDescent="0.25">
      <c r="A21" s="23" t="s">
        <v>364</v>
      </c>
      <c r="B21" s="23" t="s">
        <v>396</v>
      </c>
      <c r="C21" s="23" t="s">
        <v>32</v>
      </c>
      <c r="D21" s="24" t="s">
        <v>137</v>
      </c>
      <c r="E21" s="24" t="s">
        <v>78</v>
      </c>
      <c r="F21" s="24" t="s">
        <v>138</v>
      </c>
      <c r="G21" s="24" t="s">
        <v>37</v>
      </c>
      <c r="H21" s="24" t="s">
        <v>139</v>
      </c>
      <c r="I21" s="24" t="s">
        <v>644</v>
      </c>
      <c r="J21" s="23" t="s">
        <v>278</v>
      </c>
      <c r="K21" s="23" t="s">
        <v>281</v>
      </c>
    </row>
    <row r="22" spans="1:11" ht="13.8" thickBot="1" x14ac:dyDescent="0.25">
      <c r="A22" s="23" t="s">
        <v>651</v>
      </c>
      <c r="B22" s="23" t="s">
        <v>396</v>
      </c>
      <c r="C22" s="23" t="s">
        <v>34</v>
      </c>
      <c r="D22" s="24" t="s">
        <v>115</v>
      </c>
      <c r="E22" s="24" t="s">
        <v>33</v>
      </c>
      <c r="F22" s="24" t="s">
        <v>116</v>
      </c>
      <c r="G22" s="24" t="s">
        <v>13</v>
      </c>
      <c r="H22" s="24" t="s">
        <v>144</v>
      </c>
      <c r="I22" s="24"/>
      <c r="J22" s="23" t="s">
        <v>289</v>
      </c>
      <c r="K22" s="23" t="s">
        <v>300</v>
      </c>
    </row>
    <row r="23" spans="1:11" ht="13.8" thickBot="1" x14ac:dyDescent="0.25">
      <c r="A23" s="23" t="s">
        <v>647</v>
      </c>
      <c r="B23" s="23" t="s">
        <v>396</v>
      </c>
      <c r="C23" s="23" t="s">
        <v>35</v>
      </c>
      <c r="D23" s="24" t="s">
        <v>130</v>
      </c>
      <c r="E23" s="24" t="s">
        <v>12</v>
      </c>
      <c r="F23" s="24" t="s">
        <v>93</v>
      </c>
      <c r="G23" s="24" t="s">
        <v>13</v>
      </c>
      <c r="H23" s="24" t="s">
        <v>131</v>
      </c>
      <c r="I23" s="24" t="s">
        <v>851</v>
      </c>
      <c r="J23" s="23" t="s">
        <v>289</v>
      </c>
      <c r="K23" s="23" t="s">
        <v>294</v>
      </c>
    </row>
    <row r="24" spans="1:11" ht="13.8" thickBot="1" x14ac:dyDescent="0.25">
      <c r="A24" s="23" t="s">
        <v>654</v>
      </c>
      <c r="B24" s="23" t="s">
        <v>396</v>
      </c>
      <c r="C24" s="23" t="s">
        <v>36</v>
      </c>
      <c r="D24" s="24" t="s">
        <v>134</v>
      </c>
      <c r="E24" s="24" t="s">
        <v>33</v>
      </c>
      <c r="F24" s="24" t="s">
        <v>135</v>
      </c>
      <c r="G24" s="24" t="s">
        <v>37</v>
      </c>
      <c r="H24" s="24" t="s">
        <v>136</v>
      </c>
      <c r="I24" s="24"/>
      <c r="J24" s="23" t="s">
        <v>289</v>
      </c>
      <c r="K24" s="23" t="s">
        <v>300</v>
      </c>
    </row>
    <row r="25" spans="1:11" ht="13.8" thickBot="1" x14ac:dyDescent="0.25">
      <c r="A25" s="23" t="s">
        <v>652</v>
      </c>
      <c r="B25" s="23" t="s">
        <v>396</v>
      </c>
      <c r="C25" s="23" t="s">
        <v>38</v>
      </c>
      <c r="D25" s="24" t="s">
        <v>142</v>
      </c>
      <c r="E25" s="24" t="s">
        <v>12</v>
      </c>
      <c r="F25" s="24" t="s">
        <v>117</v>
      </c>
      <c r="G25" s="24" t="s">
        <v>37</v>
      </c>
      <c r="H25" s="24" t="s">
        <v>143</v>
      </c>
      <c r="I25" s="24" t="s">
        <v>877</v>
      </c>
      <c r="J25" s="23" t="s">
        <v>289</v>
      </c>
      <c r="K25" s="23" t="s">
        <v>300</v>
      </c>
    </row>
    <row r="26" spans="1:11" ht="13.8" thickBot="1" x14ac:dyDescent="0.25">
      <c r="A26" s="23" t="s">
        <v>653</v>
      </c>
      <c r="B26" s="23" t="s">
        <v>396</v>
      </c>
      <c r="C26" s="23" t="s">
        <v>39</v>
      </c>
      <c r="D26" s="24" t="s">
        <v>142</v>
      </c>
      <c r="E26" s="24" t="s">
        <v>12</v>
      </c>
      <c r="F26" s="24" t="s">
        <v>117</v>
      </c>
      <c r="G26" s="24" t="s">
        <v>37</v>
      </c>
      <c r="H26" s="24" t="s">
        <v>143</v>
      </c>
      <c r="I26" s="24" t="s">
        <v>878</v>
      </c>
      <c r="J26" s="23" t="s">
        <v>289</v>
      </c>
      <c r="K26" s="23" t="s">
        <v>300</v>
      </c>
    </row>
    <row r="27" spans="1:11" ht="13.8" thickBot="1" x14ac:dyDescent="0.25">
      <c r="A27" s="23" t="s">
        <v>655</v>
      </c>
      <c r="B27" s="23" t="s">
        <v>396</v>
      </c>
      <c r="C27" s="23" t="s">
        <v>40</v>
      </c>
      <c r="D27" s="24" t="s">
        <v>115</v>
      </c>
      <c r="E27" s="24" t="s">
        <v>33</v>
      </c>
      <c r="F27" s="24" t="s">
        <v>116</v>
      </c>
      <c r="G27" s="24" t="s">
        <v>13</v>
      </c>
      <c r="H27" s="24" t="s">
        <v>144</v>
      </c>
      <c r="I27" s="24"/>
      <c r="J27" s="23" t="s">
        <v>400</v>
      </c>
      <c r="K27" s="23" t="s">
        <v>408</v>
      </c>
    </row>
    <row r="28" spans="1:11" ht="13.8" thickBot="1" x14ac:dyDescent="0.25">
      <c r="A28" s="23" t="s">
        <v>656</v>
      </c>
      <c r="B28" s="23" t="s">
        <v>396</v>
      </c>
      <c r="C28" s="23" t="s">
        <v>41</v>
      </c>
      <c r="D28" s="24" t="s">
        <v>137</v>
      </c>
      <c r="E28" s="24" t="s">
        <v>12</v>
      </c>
      <c r="F28" s="24" t="s">
        <v>138</v>
      </c>
      <c r="G28" s="24" t="s">
        <v>30</v>
      </c>
      <c r="H28" s="24" t="s">
        <v>139</v>
      </c>
      <c r="I28" s="24" t="s">
        <v>879</v>
      </c>
      <c r="J28" s="23" t="s">
        <v>400</v>
      </c>
      <c r="K28" s="23" t="s">
        <v>408</v>
      </c>
    </row>
    <row r="29" spans="1:11" ht="13.8" thickBot="1" x14ac:dyDescent="0.25">
      <c r="A29" s="23" t="s">
        <v>657</v>
      </c>
      <c r="B29" s="23" t="s">
        <v>396</v>
      </c>
      <c r="C29" s="23" t="s">
        <v>65</v>
      </c>
      <c r="D29" s="24" t="s">
        <v>137</v>
      </c>
      <c r="E29" s="24" t="s">
        <v>12</v>
      </c>
      <c r="F29" s="24" t="s">
        <v>138</v>
      </c>
      <c r="G29" s="24" t="s">
        <v>30</v>
      </c>
      <c r="H29" s="24" t="s">
        <v>139</v>
      </c>
      <c r="I29" s="24" t="s">
        <v>880</v>
      </c>
      <c r="J29" s="23" t="s">
        <v>400</v>
      </c>
      <c r="K29" s="23" t="s">
        <v>408</v>
      </c>
    </row>
    <row r="30" spans="1:11" ht="13.8" thickBot="1" x14ac:dyDescent="0.25">
      <c r="A30" s="23" t="s">
        <v>885</v>
      </c>
      <c r="B30" s="23" t="s">
        <v>574</v>
      </c>
      <c r="C30" s="23" t="s">
        <v>11</v>
      </c>
      <c r="D30" s="24" t="s">
        <v>88</v>
      </c>
      <c r="E30" s="24" t="s">
        <v>1574</v>
      </c>
      <c r="F30" s="24" t="s">
        <v>89</v>
      </c>
      <c r="G30" s="24" t="s">
        <v>13</v>
      </c>
      <c r="H30" s="24" t="s">
        <v>125</v>
      </c>
      <c r="I30" s="24" t="s">
        <v>1575</v>
      </c>
      <c r="J30" s="23" t="s">
        <v>289</v>
      </c>
      <c r="K30" s="23" t="s">
        <v>294</v>
      </c>
    </row>
    <row r="31" spans="1:11" ht="13.8" thickBot="1" x14ac:dyDescent="0.25">
      <c r="A31" s="23" t="s">
        <v>883</v>
      </c>
      <c r="B31" s="23" t="s">
        <v>574</v>
      </c>
      <c r="C31" s="23" t="s">
        <v>14</v>
      </c>
      <c r="D31" s="24" t="s">
        <v>88</v>
      </c>
      <c r="E31" s="24" t="s">
        <v>854</v>
      </c>
      <c r="F31" s="24" t="s">
        <v>89</v>
      </c>
      <c r="G31" s="24" t="s">
        <v>13</v>
      </c>
      <c r="H31" s="24" t="s">
        <v>125</v>
      </c>
      <c r="I31" s="24" t="s">
        <v>855</v>
      </c>
      <c r="J31" s="23" t="s">
        <v>400</v>
      </c>
      <c r="K31" s="23" t="s">
        <v>399</v>
      </c>
    </row>
    <row r="32" spans="1:11" ht="13.8" thickBot="1" x14ac:dyDescent="0.25">
      <c r="A32" s="23" t="s">
        <v>889</v>
      </c>
      <c r="B32" s="23" t="s">
        <v>574</v>
      </c>
      <c r="C32" s="23" t="s">
        <v>15</v>
      </c>
      <c r="D32" s="24" t="s">
        <v>115</v>
      </c>
      <c r="E32" s="24" t="s">
        <v>33</v>
      </c>
      <c r="F32" s="24" t="s">
        <v>116</v>
      </c>
      <c r="G32" s="24" t="s">
        <v>13</v>
      </c>
      <c r="H32" s="24" t="s">
        <v>144</v>
      </c>
      <c r="I32" s="24"/>
      <c r="J32" s="23" t="s">
        <v>411</v>
      </c>
      <c r="K32" s="23" t="s">
        <v>406</v>
      </c>
    </row>
    <row r="33" spans="1:11" ht="13.8" thickBot="1" x14ac:dyDescent="0.25">
      <c r="A33" s="23" t="s">
        <v>658</v>
      </c>
      <c r="B33" s="23" t="s">
        <v>574</v>
      </c>
      <c r="C33" s="23" t="s">
        <v>16</v>
      </c>
      <c r="D33" s="24" t="s">
        <v>88</v>
      </c>
      <c r="E33" s="24" t="s">
        <v>636</v>
      </c>
      <c r="F33" s="24" t="s">
        <v>89</v>
      </c>
      <c r="G33" s="24" t="s">
        <v>13</v>
      </c>
      <c r="H33" s="24" t="s">
        <v>125</v>
      </c>
      <c r="I33" s="24" t="s">
        <v>637</v>
      </c>
      <c r="J33" s="23" t="s">
        <v>411</v>
      </c>
      <c r="K33" s="23" t="s">
        <v>402</v>
      </c>
    </row>
    <row r="34" spans="1:11" ht="13.8" thickBot="1" x14ac:dyDescent="0.25">
      <c r="A34" s="23" t="s">
        <v>884</v>
      </c>
      <c r="B34" s="23" t="s">
        <v>574</v>
      </c>
      <c r="C34" s="23" t="s">
        <v>17</v>
      </c>
      <c r="D34" s="24" t="s">
        <v>142</v>
      </c>
      <c r="E34" s="24" t="s">
        <v>12</v>
      </c>
      <c r="F34" s="24" t="s">
        <v>117</v>
      </c>
      <c r="G34" s="24" t="s">
        <v>37</v>
      </c>
      <c r="H34" s="24" t="s">
        <v>143</v>
      </c>
      <c r="I34" s="24" t="s">
        <v>1114</v>
      </c>
      <c r="J34" s="23" t="s">
        <v>411</v>
      </c>
      <c r="K34" s="23" t="s">
        <v>406</v>
      </c>
    </row>
    <row r="35" spans="1:11" ht="13.8" thickBot="1" x14ac:dyDescent="0.25">
      <c r="A35" s="23" t="s">
        <v>895</v>
      </c>
      <c r="B35" s="23" t="s">
        <v>574</v>
      </c>
      <c r="C35" s="23" t="s">
        <v>18</v>
      </c>
      <c r="D35" s="24" t="s">
        <v>142</v>
      </c>
      <c r="E35" s="24" t="s">
        <v>1115</v>
      </c>
      <c r="F35" s="24" t="s">
        <v>117</v>
      </c>
      <c r="G35" s="24" t="s">
        <v>37</v>
      </c>
      <c r="H35" s="24" t="s">
        <v>143</v>
      </c>
      <c r="I35" s="24" t="s">
        <v>1116</v>
      </c>
      <c r="J35" s="23" t="s">
        <v>411</v>
      </c>
      <c r="K35" s="23" t="s">
        <v>406</v>
      </c>
    </row>
    <row r="36" spans="1:11" ht="13.8" thickBot="1" x14ac:dyDescent="0.25">
      <c r="A36" s="23" t="s">
        <v>892</v>
      </c>
      <c r="B36" s="23" t="s">
        <v>574</v>
      </c>
      <c r="C36" s="23" t="s">
        <v>19</v>
      </c>
      <c r="D36" s="24" t="s">
        <v>130</v>
      </c>
      <c r="E36" s="24" t="s">
        <v>1105</v>
      </c>
      <c r="F36" s="24" t="s">
        <v>93</v>
      </c>
      <c r="G36" s="24" t="s">
        <v>13</v>
      </c>
      <c r="H36" s="24" t="s">
        <v>131</v>
      </c>
      <c r="I36" s="24" t="s">
        <v>978</v>
      </c>
      <c r="J36" s="23" t="s">
        <v>411</v>
      </c>
      <c r="K36" s="23" t="s">
        <v>402</v>
      </c>
    </row>
    <row r="37" spans="1:11" ht="13.8" thickBot="1" x14ac:dyDescent="0.25">
      <c r="A37" s="23" t="s">
        <v>890</v>
      </c>
      <c r="B37" s="23" t="s">
        <v>574</v>
      </c>
      <c r="C37" s="23" t="s">
        <v>20</v>
      </c>
      <c r="D37" s="24" t="s">
        <v>115</v>
      </c>
      <c r="E37" s="24" t="s">
        <v>33</v>
      </c>
      <c r="F37" s="24" t="s">
        <v>116</v>
      </c>
      <c r="G37" s="24" t="s">
        <v>13</v>
      </c>
      <c r="H37" s="24" t="s">
        <v>144</v>
      </c>
      <c r="I37" s="24"/>
      <c r="J37" s="23" t="s">
        <v>428</v>
      </c>
      <c r="K37" s="23" t="s">
        <v>429</v>
      </c>
    </row>
    <row r="38" spans="1:11" ht="13.8" thickBot="1" x14ac:dyDescent="0.25">
      <c r="A38" s="23" t="s">
        <v>891</v>
      </c>
      <c r="B38" s="23" t="s">
        <v>574</v>
      </c>
      <c r="C38" s="23" t="s">
        <v>21</v>
      </c>
      <c r="D38" s="24" t="s">
        <v>115</v>
      </c>
      <c r="E38" s="24" t="s">
        <v>33</v>
      </c>
      <c r="F38" s="24" t="s">
        <v>116</v>
      </c>
      <c r="G38" s="24" t="s">
        <v>13</v>
      </c>
      <c r="H38" s="24" t="s">
        <v>144</v>
      </c>
      <c r="I38" s="24"/>
      <c r="J38" s="23" t="s">
        <v>428</v>
      </c>
      <c r="K38" s="23" t="s">
        <v>429</v>
      </c>
    </row>
    <row r="39" spans="1:11" ht="13.8" thickBot="1" x14ac:dyDescent="0.25">
      <c r="A39" s="23" t="s">
        <v>887</v>
      </c>
      <c r="B39" s="23" t="s">
        <v>574</v>
      </c>
      <c r="C39" s="23" t="s">
        <v>22</v>
      </c>
      <c r="D39" s="24" t="s">
        <v>137</v>
      </c>
      <c r="E39" s="24" t="s">
        <v>12</v>
      </c>
      <c r="F39" s="24" t="s">
        <v>138</v>
      </c>
      <c r="G39" s="24" t="s">
        <v>30</v>
      </c>
      <c r="H39" s="24" t="s">
        <v>139</v>
      </c>
      <c r="I39" s="24" t="s">
        <v>1117</v>
      </c>
      <c r="J39" s="23" t="s">
        <v>428</v>
      </c>
      <c r="K39" s="23" t="s">
        <v>429</v>
      </c>
    </row>
    <row r="40" spans="1:11" ht="13.8" thickBot="1" x14ac:dyDescent="0.25">
      <c r="A40" s="23" t="s">
        <v>888</v>
      </c>
      <c r="B40" s="23" t="s">
        <v>574</v>
      </c>
      <c r="C40" s="23" t="s">
        <v>23</v>
      </c>
      <c r="D40" s="24" t="s">
        <v>130</v>
      </c>
      <c r="E40" s="24" t="s">
        <v>12</v>
      </c>
      <c r="F40" s="24" t="s">
        <v>93</v>
      </c>
      <c r="G40" s="24" t="s">
        <v>13</v>
      </c>
      <c r="H40" s="24" t="s">
        <v>131</v>
      </c>
      <c r="I40" s="24" t="s">
        <v>946</v>
      </c>
      <c r="J40" s="23" t="s">
        <v>428</v>
      </c>
      <c r="K40" s="23" t="s">
        <v>418</v>
      </c>
    </row>
    <row r="41" spans="1:11" ht="13.8" thickBot="1" x14ac:dyDescent="0.25">
      <c r="A41" s="23" t="s">
        <v>893</v>
      </c>
      <c r="B41" s="23" t="s">
        <v>574</v>
      </c>
      <c r="C41" s="23" t="s">
        <v>24</v>
      </c>
      <c r="D41" s="24" t="s">
        <v>130</v>
      </c>
      <c r="E41" s="24" t="s">
        <v>12</v>
      </c>
      <c r="F41" s="24" t="s">
        <v>93</v>
      </c>
      <c r="G41" s="24" t="s">
        <v>13</v>
      </c>
      <c r="H41" s="24" t="s">
        <v>131</v>
      </c>
      <c r="I41" s="24" t="s">
        <v>947</v>
      </c>
      <c r="J41" s="23" t="s">
        <v>428</v>
      </c>
      <c r="K41" s="23" t="s">
        <v>418</v>
      </c>
    </row>
    <row r="42" spans="1:11" ht="13.8" thickBot="1" x14ac:dyDescent="0.25">
      <c r="A42" s="23" t="s">
        <v>882</v>
      </c>
      <c r="B42" s="23" t="s">
        <v>574</v>
      </c>
      <c r="C42" s="23" t="s">
        <v>25</v>
      </c>
      <c r="D42" s="24" t="s">
        <v>134</v>
      </c>
      <c r="E42" s="24" t="s">
        <v>1209</v>
      </c>
      <c r="F42" s="24" t="s">
        <v>135</v>
      </c>
      <c r="G42" s="24" t="s">
        <v>37</v>
      </c>
      <c r="H42" s="24" t="s">
        <v>136</v>
      </c>
      <c r="I42" s="24" t="s">
        <v>1210</v>
      </c>
      <c r="J42" s="23" t="s">
        <v>546</v>
      </c>
      <c r="K42" s="23" t="s">
        <v>505</v>
      </c>
    </row>
    <row r="43" spans="1:11" ht="13.8" thickBot="1" x14ac:dyDescent="0.25">
      <c r="A43" s="23" t="s">
        <v>886</v>
      </c>
      <c r="B43" s="23" t="s">
        <v>574</v>
      </c>
      <c r="C43" s="23" t="s">
        <v>26</v>
      </c>
      <c r="D43" s="24" t="s">
        <v>137</v>
      </c>
      <c r="E43" s="24" t="s">
        <v>78</v>
      </c>
      <c r="F43" s="24" t="s">
        <v>138</v>
      </c>
      <c r="G43" s="24" t="s">
        <v>30</v>
      </c>
      <c r="H43" s="24" t="s">
        <v>139</v>
      </c>
      <c r="I43" s="24" t="s">
        <v>1211</v>
      </c>
      <c r="J43" s="23" t="s">
        <v>546</v>
      </c>
      <c r="K43" s="23" t="s">
        <v>505</v>
      </c>
    </row>
    <row r="44" spans="1:11" ht="13.8" thickBot="1" x14ac:dyDescent="0.25">
      <c r="A44" s="23" t="s">
        <v>896</v>
      </c>
      <c r="B44" s="23" t="s">
        <v>574</v>
      </c>
      <c r="C44" s="23" t="s">
        <v>27</v>
      </c>
      <c r="D44" s="24" t="s">
        <v>137</v>
      </c>
      <c r="E44" s="24" t="s">
        <v>12</v>
      </c>
      <c r="F44" s="24" t="s">
        <v>138</v>
      </c>
      <c r="G44" s="24" t="s">
        <v>30</v>
      </c>
      <c r="H44" s="24" t="s">
        <v>139</v>
      </c>
      <c r="I44" s="24" t="s">
        <v>1119</v>
      </c>
      <c r="J44" s="23" t="s">
        <v>546</v>
      </c>
      <c r="K44" s="23" t="s">
        <v>505</v>
      </c>
    </row>
    <row r="45" spans="1:11" ht="13.8" thickBot="1" x14ac:dyDescent="0.25">
      <c r="A45" s="23" t="s">
        <v>897</v>
      </c>
      <c r="B45" s="23" t="s">
        <v>574</v>
      </c>
      <c r="C45" s="23" t="s">
        <v>28</v>
      </c>
      <c r="D45" s="24" t="s">
        <v>142</v>
      </c>
      <c r="E45" s="24" t="s">
        <v>140</v>
      </c>
      <c r="F45" s="24" t="s">
        <v>117</v>
      </c>
      <c r="G45" s="24" t="s">
        <v>37</v>
      </c>
      <c r="H45" s="24" t="s">
        <v>143</v>
      </c>
      <c r="I45" s="24" t="s">
        <v>1118</v>
      </c>
      <c r="J45" s="23" t="s">
        <v>546</v>
      </c>
      <c r="K45" s="23" t="s">
        <v>505</v>
      </c>
    </row>
    <row r="46" spans="1:11" ht="13.8" thickBot="1" x14ac:dyDescent="0.25">
      <c r="A46" s="23" t="s">
        <v>881</v>
      </c>
      <c r="B46" s="23" t="s">
        <v>574</v>
      </c>
      <c r="C46" s="23" t="s">
        <v>29</v>
      </c>
      <c r="D46" s="24" t="s">
        <v>134</v>
      </c>
      <c r="E46" s="24" t="s">
        <v>33</v>
      </c>
      <c r="F46" s="24" t="s">
        <v>135</v>
      </c>
      <c r="G46" s="24" t="s">
        <v>37</v>
      </c>
      <c r="H46" s="24" t="s">
        <v>136</v>
      </c>
      <c r="I46" s="24"/>
      <c r="J46" s="23" t="s">
        <v>508</v>
      </c>
      <c r="K46" s="23" t="s">
        <v>510</v>
      </c>
    </row>
    <row r="47" spans="1:11" ht="13.8" thickBot="1" x14ac:dyDescent="0.25">
      <c r="A47" s="23" t="s">
        <v>894</v>
      </c>
      <c r="B47" s="23" t="s">
        <v>574</v>
      </c>
      <c r="C47" s="23" t="s">
        <v>31</v>
      </c>
      <c r="D47" s="24" t="s">
        <v>134</v>
      </c>
      <c r="E47" s="24" t="s">
        <v>33</v>
      </c>
      <c r="F47" s="24" t="s">
        <v>135</v>
      </c>
      <c r="G47" s="24" t="s">
        <v>37</v>
      </c>
      <c r="H47" s="24" t="s">
        <v>136</v>
      </c>
      <c r="I47" s="24"/>
      <c r="J47" s="23" t="s">
        <v>508</v>
      </c>
      <c r="K47" s="23" t="s">
        <v>510</v>
      </c>
    </row>
    <row r="48" spans="1:11" ht="13.8" thickBot="1" x14ac:dyDescent="0.25">
      <c r="A48" s="23" t="s">
        <v>899</v>
      </c>
      <c r="B48" s="23" t="s">
        <v>746</v>
      </c>
      <c r="C48" s="23" t="s">
        <v>11</v>
      </c>
      <c r="D48" s="24" t="s">
        <v>134</v>
      </c>
      <c r="E48" s="24" t="s">
        <v>1392</v>
      </c>
      <c r="F48" s="24" t="s">
        <v>135</v>
      </c>
      <c r="G48" s="24" t="s">
        <v>37</v>
      </c>
      <c r="H48" s="24" t="s">
        <v>136</v>
      </c>
      <c r="I48" s="24" t="s">
        <v>1393</v>
      </c>
      <c r="J48" s="23" t="s">
        <v>596</v>
      </c>
      <c r="K48" s="23" t="s">
        <v>668</v>
      </c>
    </row>
    <row r="49" spans="1:11" ht="13.8" thickBot="1" x14ac:dyDescent="0.25">
      <c r="A49" s="23" t="s">
        <v>900</v>
      </c>
      <c r="B49" s="23" t="s">
        <v>746</v>
      </c>
      <c r="C49" s="23" t="s">
        <v>14</v>
      </c>
      <c r="D49" s="24" t="s">
        <v>134</v>
      </c>
      <c r="E49" s="24" t="s">
        <v>949</v>
      </c>
      <c r="F49" s="24" t="s">
        <v>135</v>
      </c>
      <c r="G49" s="24" t="s">
        <v>37</v>
      </c>
      <c r="H49" s="24" t="s">
        <v>136</v>
      </c>
      <c r="I49" s="24" t="s">
        <v>950</v>
      </c>
      <c r="J49" s="23" t="s">
        <v>597</v>
      </c>
      <c r="K49" s="23" t="s">
        <v>751</v>
      </c>
    </row>
    <row r="50" spans="1:11" ht="13.8" thickBot="1" x14ac:dyDescent="0.25">
      <c r="A50" s="23" t="s">
        <v>898</v>
      </c>
      <c r="B50" s="23" t="s">
        <v>746</v>
      </c>
      <c r="C50" s="23" t="s">
        <v>15</v>
      </c>
      <c r="D50" s="24" t="s">
        <v>88</v>
      </c>
      <c r="E50" s="24" t="s">
        <v>866</v>
      </c>
      <c r="F50" s="24" t="s">
        <v>89</v>
      </c>
      <c r="G50" s="24" t="s">
        <v>13</v>
      </c>
      <c r="H50" s="24" t="s">
        <v>125</v>
      </c>
      <c r="I50" s="24" t="s">
        <v>867</v>
      </c>
      <c r="J50" s="23" t="s">
        <v>597</v>
      </c>
      <c r="K50" s="23" t="s">
        <v>756</v>
      </c>
    </row>
    <row r="51" spans="1:11" ht="13.8" thickBot="1" x14ac:dyDescent="0.25">
      <c r="A51" s="23" t="s">
        <v>901</v>
      </c>
      <c r="B51" s="23" t="s">
        <v>746</v>
      </c>
      <c r="C51" s="23" t="s">
        <v>16</v>
      </c>
      <c r="D51" s="24" t="s">
        <v>137</v>
      </c>
      <c r="E51" s="24" t="s">
        <v>1394</v>
      </c>
      <c r="F51" s="24" t="s">
        <v>138</v>
      </c>
      <c r="G51" s="24" t="s">
        <v>30</v>
      </c>
      <c r="H51" s="24" t="s">
        <v>139</v>
      </c>
      <c r="I51" s="24" t="s">
        <v>1395</v>
      </c>
      <c r="J51" s="23" t="s">
        <v>598</v>
      </c>
      <c r="K51" s="23" t="s">
        <v>751</v>
      </c>
    </row>
    <row r="52" spans="1:11" ht="13.8" thickBot="1" x14ac:dyDescent="0.25">
      <c r="A52" s="23" t="s">
        <v>903</v>
      </c>
      <c r="B52" s="23" t="s">
        <v>746</v>
      </c>
      <c r="C52" s="23" t="s">
        <v>17</v>
      </c>
      <c r="D52" s="24" t="s">
        <v>134</v>
      </c>
      <c r="E52" s="24" t="s">
        <v>1581</v>
      </c>
      <c r="F52" s="24" t="s">
        <v>135</v>
      </c>
      <c r="G52" s="24" t="s">
        <v>37</v>
      </c>
      <c r="H52" s="24" t="s">
        <v>136</v>
      </c>
      <c r="I52" s="24" t="s">
        <v>1582</v>
      </c>
      <c r="J52" s="23" t="s">
        <v>620</v>
      </c>
      <c r="K52" s="23" t="s">
        <v>756</v>
      </c>
    </row>
    <row r="53" spans="1:11" ht="13.8" thickBot="1" x14ac:dyDescent="0.25">
      <c r="A53" s="23" t="s">
        <v>904</v>
      </c>
      <c r="B53" s="23" t="s">
        <v>746</v>
      </c>
      <c r="C53" s="23" t="s">
        <v>18</v>
      </c>
      <c r="D53" s="24" t="s">
        <v>88</v>
      </c>
      <c r="E53" s="24" t="s">
        <v>1196</v>
      </c>
      <c r="F53" s="24" t="s">
        <v>89</v>
      </c>
      <c r="G53" s="24" t="s">
        <v>13</v>
      </c>
      <c r="H53" s="24" t="s">
        <v>125</v>
      </c>
      <c r="I53" s="24" t="s">
        <v>1197</v>
      </c>
      <c r="J53" s="23" t="s">
        <v>621</v>
      </c>
      <c r="K53" s="23" t="s">
        <v>776</v>
      </c>
    </row>
    <row r="54" spans="1:11" ht="13.8" thickBot="1" x14ac:dyDescent="0.25">
      <c r="A54" s="23" t="s">
        <v>905</v>
      </c>
      <c r="B54" s="23" t="s">
        <v>746</v>
      </c>
      <c r="C54" s="23" t="s">
        <v>19</v>
      </c>
      <c r="D54" s="24" t="s">
        <v>134</v>
      </c>
      <c r="E54" s="24" t="s">
        <v>33</v>
      </c>
      <c r="F54" s="24" t="s">
        <v>135</v>
      </c>
      <c r="G54" s="24" t="s">
        <v>37</v>
      </c>
      <c r="H54" s="24" t="s">
        <v>136</v>
      </c>
      <c r="I54" s="24"/>
      <c r="J54" s="23" t="s">
        <v>621</v>
      </c>
      <c r="K54" s="23" t="s">
        <v>760</v>
      </c>
    </row>
    <row r="55" spans="1:11" ht="13.8" thickBot="1" x14ac:dyDescent="0.25">
      <c r="A55" s="23" t="s">
        <v>906</v>
      </c>
      <c r="B55" s="23" t="s">
        <v>746</v>
      </c>
      <c r="C55" s="23" t="s">
        <v>20</v>
      </c>
      <c r="D55" s="24" t="s">
        <v>137</v>
      </c>
      <c r="E55" s="24" t="s">
        <v>1394</v>
      </c>
      <c r="F55" s="24" t="s">
        <v>138</v>
      </c>
      <c r="G55" s="24" t="s">
        <v>30</v>
      </c>
      <c r="H55" s="24" t="s">
        <v>139</v>
      </c>
      <c r="I55" s="24" t="s">
        <v>1396</v>
      </c>
      <c r="J55" s="23" t="s">
        <v>631</v>
      </c>
      <c r="K55" s="23" t="s">
        <v>749</v>
      </c>
    </row>
    <row r="56" spans="1:11" ht="13.8" thickBot="1" x14ac:dyDescent="0.25">
      <c r="A56" s="23" t="s">
        <v>907</v>
      </c>
      <c r="B56" s="23" t="s">
        <v>746</v>
      </c>
      <c r="C56" s="23" t="s">
        <v>21</v>
      </c>
      <c r="D56" s="24" t="s">
        <v>142</v>
      </c>
      <c r="E56" s="24" t="s">
        <v>12</v>
      </c>
      <c r="F56" s="24" t="s">
        <v>117</v>
      </c>
      <c r="G56" s="24" t="s">
        <v>37</v>
      </c>
      <c r="H56" s="24" t="s">
        <v>143</v>
      </c>
      <c r="I56" s="24" t="s">
        <v>1120</v>
      </c>
      <c r="J56" s="23" t="s">
        <v>665</v>
      </c>
      <c r="K56" s="23" t="s">
        <v>776</v>
      </c>
    </row>
    <row r="57" spans="1:11" ht="13.8" thickBot="1" x14ac:dyDescent="0.25">
      <c r="A57" s="23" t="s">
        <v>908</v>
      </c>
      <c r="B57" s="23" t="s">
        <v>746</v>
      </c>
      <c r="C57" s="23" t="s">
        <v>22</v>
      </c>
      <c r="D57" s="24" t="s">
        <v>142</v>
      </c>
      <c r="E57" s="24" t="s">
        <v>12</v>
      </c>
      <c r="F57" s="24" t="s">
        <v>117</v>
      </c>
      <c r="G57" s="24" t="s">
        <v>37</v>
      </c>
      <c r="H57" s="24" t="s">
        <v>143</v>
      </c>
      <c r="I57" s="24" t="s">
        <v>1121</v>
      </c>
      <c r="J57" s="23" t="s">
        <v>668</v>
      </c>
      <c r="K57" s="23" t="s">
        <v>801</v>
      </c>
    </row>
    <row r="58" spans="1:11" ht="13.8" thickBot="1" x14ac:dyDescent="0.25">
      <c r="A58" s="23" t="s">
        <v>909</v>
      </c>
      <c r="B58" s="23" t="s">
        <v>746</v>
      </c>
      <c r="C58" s="23" t="s">
        <v>23</v>
      </c>
      <c r="D58" s="24" t="s">
        <v>88</v>
      </c>
      <c r="E58" s="24" t="s">
        <v>1107</v>
      </c>
      <c r="F58" s="24" t="s">
        <v>89</v>
      </c>
      <c r="G58" s="24" t="s">
        <v>13</v>
      </c>
      <c r="H58" s="24" t="s">
        <v>125</v>
      </c>
      <c r="I58" s="24" t="s">
        <v>1108</v>
      </c>
      <c r="J58" s="23" t="s">
        <v>751</v>
      </c>
      <c r="K58" s="23" t="s">
        <v>805</v>
      </c>
    </row>
    <row r="59" spans="1:11" ht="13.8" thickBot="1" x14ac:dyDescent="0.25">
      <c r="A59" s="23" t="s">
        <v>902</v>
      </c>
      <c r="B59" s="23" t="s">
        <v>746</v>
      </c>
      <c r="C59" s="23" t="s">
        <v>24</v>
      </c>
      <c r="D59" s="24" t="s">
        <v>130</v>
      </c>
      <c r="E59" s="24" t="s">
        <v>194</v>
      </c>
      <c r="F59" s="24" t="s">
        <v>93</v>
      </c>
      <c r="G59" s="24" t="s">
        <v>13</v>
      </c>
      <c r="H59" s="24" t="s">
        <v>131</v>
      </c>
      <c r="I59" s="24" t="s">
        <v>1198</v>
      </c>
      <c r="J59" s="23" t="s">
        <v>751</v>
      </c>
      <c r="K59" s="23" t="s">
        <v>805</v>
      </c>
    </row>
    <row r="60" spans="1:11" ht="13.8" thickBot="1" x14ac:dyDescent="0.25">
      <c r="A60" s="23" t="s">
        <v>910</v>
      </c>
      <c r="B60" s="23" t="s">
        <v>746</v>
      </c>
      <c r="C60" s="23" t="s">
        <v>25</v>
      </c>
      <c r="D60" s="24" t="s">
        <v>142</v>
      </c>
      <c r="E60" s="24" t="s">
        <v>12</v>
      </c>
      <c r="F60" s="24" t="s">
        <v>117</v>
      </c>
      <c r="G60" s="24" t="s">
        <v>37</v>
      </c>
      <c r="H60" s="24" t="s">
        <v>143</v>
      </c>
      <c r="I60" s="24" t="s">
        <v>1122</v>
      </c>
      <c r="J60" s="23" t="s">
        <v>747</v>
      </c>
      <c r="K60" s="23" t="s">
        <v>790</v>
      </c>
    </row>
    <row r="61" spans="1:11" ht="13.8" thickBot="1" x14ac:dyDescent="0.25">
      <c r="A61" s="23" t="s">
        <v>911</v>
      </c>
      <c r="B61" s="23" t="s">
        <v>746</v>
      </c>
      <c r="C61" s="23" t="s">
        <v>26</v>
      </c>
      <c r="D61" s="24" t="s">
        <v>137</v>
      </c>
      <c r="E61" s="24" t="s">
        <v>78</v>
      </c>
      <c r="F61" s="24" t="s">
        <v>138</v>
      </c>
      <c r="G61" s="24" t="s">
        <v>30</v>
      </c>
      <c r="H61" s="24" t="s">
        <v>139</v>
      </c>
      <c r="I61" s="24" t="s">
        <v>1397</v>
      </c>
      <c r="J61" s="23" t="s">
        <v>756</v>
      </c>
      <c r="K61" s="23" t="s">
        <v>799</v>
      </c>
    </row>
    <row r="62" spans="1:11" ht="13.8" thickBot="1" x14ac:dyDescent="0.25">
      <c r="A62" s="23" t="s">
        <v>912</v>
      </c>
      <c r="B62" s="23" t="s">
        <v>746</v>
      </c>
      <c r="C62" s="23" t="s">
        <v>27</v>
      </c>
      <c r="D62" s="24" t="s">
        <v>130</v>
      </c>
      <c r="E62" s="24" t="s">
        <v>140</v>
      </c>
      <c r="F62" s="24" t="s">
        <v>93</v>
      </c>
      <c r="G62" s="24" t="s">
        <v>13</v>
      </c>
      <c r="H62" s="24" t="s">
        <v>131</v>
      </c>
      <c r="I62" s="24" t="s">
        <v>1199</v>
      </c>
      <c r="J62" s="23" t="s">
        <v>760</v>
      </c>
      <c r="K62" s="23" t="s">
        <v>1050</v>
      </c>
    </row>
    <row r="63" spans="1:11" ht="13.8" thickBot="1" x14ac:dyDescent="0.25">
      <c r="A63" s="23" t="s">
        <v>913</v>
      </c>
      <c r="B63" s="23" t="s">
        <v>746</v>
      </c>
      <c r="C63" s="23" t="s">
        <v>28</v>
      </c>
      <c r="D63" s="24" t="s">
        <v>137</v>
      </c>
      <c r="E63" s="24" t="s">
        <v>12</v>
      </c>
      <c r="F63" s="24" t="s">
        <v>138</v>
      </c>
      <c r="G63" s="24" t="s">
        <v>30</v>
      </c>
      <c r="H63" s="24" t="s">
        <v>139</v>
      </c>
      <c r="I63" s="24" t="s">
        <v>1123</v>
      </c>
      <c r="J63" s="23" t="s">
        <v>749</v>
      </c>
      <c r="K63" s="23" t="s">
        <v>844</v>
      </c>
    </row>
    <row r="64" spans="1:11" ht="13.8" thickBot="1" x14ac:dyDescent="0.25">
      <c r="A64" s="23" t="s">
        <v>914</v>
      </c>
      <c r="B64" s="23" t="s">
        <v>746</v>
      </c>
      <c r="C64" s="23" t="s">
        <v>29</v>
      </c>
      <c r="D64" s="24" t="s">
        <v>137</v>
      </c>
      <c r="E64" s="24" t="s">
        <v>12</v>
      </c>
      <c r="F64" s="24" t="s">
        <v>138</v>
      </c>
      <c r="G64" s="24" t="s">
        <v>30</v>
      </c>
      <c r="H64" s="24" t="s">
        <v>139</v>
      </c>
      <c r="I64" s="24" t="s">
        <v>1124</v>
      </c>
      <c r="J64" s="23" t="s">
        <v>776</v>
      </c>
      <c r="K64" s="23" t="s">
        <v>846</v>
      </c>
    </row>
    <row r="65" spans="1:11" ht="13.8" thickBot="1" x14ac:dyDescent="0.25">
      <c r="A65" s="23" t="s">
        <v>915</v>
      </c>
      <c r="B65" s="23" t="s">
        <v>746</v>
      </c>
      <c r="C65" s="23" t="s">
        <v>31</v>
      </c>
      <c r="D65" s="24" t="s">
        <v>115</v>
      </c>
      <c r="E65" s="24" t="s">
        <v>1583</v>
      </c>
      <c r="F65" s="24" t="s">
        <v>116</v>
      </c>
      <c r="G65" s="24" t="s">
        <v>13</v>
      </c>
      <c r="H65" s="24" t="s">
        <v>144</v>
      </c>
      <c r="I65" s="24" t="s">
        <v>1584</v>
      </c>
      <c r="J65" s="23" t="s">
        <v>801</v>
      </c>
      <c r="K65" s="23" t="s">
        <v>846</v>
      </c>
    </row>
    <row r="66" spans="1:11" ht="13.8" thickBot="1" x14ac:dyDescent="0.25">
      <c r="A66" s="23" t="s">
        <v>916</v>
      </c>
      <c r="B66" s="23" t="s">
        <v>746</v>
      </c>
      <c r="C66" s="23" t="s">
        <v>32</v>
      </c>
      <c r="D66" s="24" t="s">
        <v>115</v>
      </c>
      <c r="E66" s="24" t="s">
        <v>1212</v>
      </c>
      <c r="F66" s="24" t="s">
        <v>116</v>
      </c>
      <c r="G66" s="24" t="s">
        <v>13</v>
      </c>
      <c r="H66" s="24" t="s">
        <v>144</v>
      </c>
      <c r="I66" s="24" t="s">
        <v>1213</v>
      </c>
      <c r="J66" s="23" t="s">
        <v>790</v>
      </c>
      <c r="K66" s="23" t="s">
        <v>932</v>
      </c>
    </row>
  </sheetData>
  <mergeCells count="11">
    <mergeCell ref="C1:C2"/>
    <mergeCell ref="D1:D2"/>
    <mergeCell ref="J1:J2"/>
    <mergeCell ref="K1:K2"/>
    <mergeCell ref="A1:A2"/>
    <mergeCell ref="E1:E2"/>
    <mergeCell ref="G1:G2"/>
    <mergeCell ref="H1:H2"/>
    <mergeCell ref="I1:I2"/>
    <mergeCell ref="F1:F2"/>
    <mergeCell ref="B1:B2"/>
  </mergeCells>
  <phoneticPr fontId="2"/>
  <pageMargins left="0.39370078740157483" right="0" top="0.98425196850393704" bottom="0.98425196850393704" header="0.51181102362204722" footer="0.51181102362204722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1:I403"/>
  <sheetViews>
    <sheetView topLeftCell="A40" workbookViewId="0">
      <selection activeCell="G87" sqref="G87"/>
    </sheetView>
  </sheetViews>
  <sheetFormatPr defaultRowHeight="13.2" x14ac:dyDescent="0.2"/>
  <cols>
    <col min="1" max="1" width="4" bestFit="1" customWidth="1"/>
    <col min="3" max="3" width="14.109375" bestFit="1" customWidth="1"/>
    <col min="4" max="4" width="41.33203125" bestFit="1" customWidth="1"/>
    <col min="5" max="5" width="11.88671875" bestFit="1" customWidth="1"/>
    <col min="6" max="6" width="13" customWidth="1"/>
    <col min="7" max="7" width="13.109375" bestFit="1" customWidth="1"/>
    <col min="9" max="9" width="14.109375" bestFit="1" customWidth="1"/>
  </cols>
  <sheetData>
    <row r="1" spans="1:9" x14ac:dyDescent="0.2">
      <c r="A1" s="9" t="s">
        <v>61</v>
      </c>
      <c r="B1" s="6" t="s">
        <v>56</v>
      </c>
      <c r="C1" s="9" t="s">
        <v>57</v>
      </c>
      <c r="D1" s="3" t="s">
        <v>58</v>
      </c>
      <c r="E1" s="10" t="s">
        <v>62</v>
      </c>
      <c r="F1" s="3" t="s">
        <v>59</v>
      </c>
      <c r="G1" s="6" t="s">
        <v>63</v>
      </c>
      <c r="H1" s="6"/>
      <c r="I1" s="6" t="s">
        <v>64</v>
      </c>
    </row>
    <row r="2" spans="1:9" s="19" customFormat="1" ht="13.8" thickBot="1" x14ac:dyDescent="0.2">
      <c r="A2" s="11">
        <v>1</v>
      </c>
      <c r="B2" s="7" t="str">
        <f>IFERROR(VLOOKUP(E2,'(新)EG'!$A$3:$K$84,2,0),"")</f>
        <v>10月 </v>
      </c>
      <c r="C2" s="7" t="str">
        <f>IFERROR(VLOOKUP(E2,'(新)EG'!$A$3:$K$84,4,0),"")</f>
        <v>EGB6013RE </v>
      </c>
      <c r="D2" s="15" t="str">
        <f>IFERROR(VLOOKUP(E2,'(新)EG'!$A$3:$K$84,5,0),"")</f>
        <v> （株）山陽工作所 </v>
      </c>
      <c r="E2" s="23" t="str">
        <f>'(新)EG'!$A3</f>
        <v> TS60109102 </v>
      </c>
      <c r="F2" s="16" t="str">
        <f>IFERROR(VLOOKUP(E2,'(新)EG'!$A$3:$K$84,8,0),"")</f>
        <v>0E1241 </v>
      </c>
      <c r="G2" s="7" t="str">
        <f>IFERROR(VLOOKUP(E2,'(旧)EG'!$A$3:$K$100,10,0),"")</f>
        <v>2026/08/04 </v>
      </c>
      <c r="H2" s="12" t="s">
        <v>60</v>
      </c>
      <c r="I2" s="7" t="str">
        <f>IFERROR(VLOOKUP(E2,'(新)EG'!$A$3:$K$84,10,0),"")</f>
        <v>2026/08/04 </v>
      </c>
    </row>
    <row r="3" spans="1:9" s="19" customFormat="1" ht="13.8" thickBot="1" x14ac:dyDescent="0.2">
      <c r="A3" s="11">
        <v>2</v>
      </c>
      <c r="B3" s="7" t="str">
        <f>IFERROR(VLOOKUP(E3,'(新)EG'!$A$3:$K$84,2,0),"")</f>
        <v>10月 </v>
      </c>
      <c r="C3" s="7" t="str">
        <f>IFERROR(VLOOKUP(E3,'(新)EG'!$A$3:$K$84,4,0),"")</f>
        <v>EGB6013E </v>
      </c>
      <c r="D3" s="15" t="str">
        <f>IFERROR(VLOOKUP(E3,'(新)EG'!$A$3:$K$84,5,0),"")</f>
        <v> （株）青山製作所 </v>
      </c>
      <c r="E3" s="23" t="str">
        <f>'(新)EG'!$A4</f>
        <v> TS61377146 </v>
      </c>
      <c r="F3" s="16" t="str">
        <f>IFERROR(VLOOKUP(E3,'(新)EG'!$A$3:$K$84,8,0),"")</f>
        <v>0E5494 </v>
      </c>
      <c r="G3" s="7" t="str">
        <f>IFERROR(VLOOKUP(E3,'(旧)EG'!$A$3:$K$100,10,0),"")</f>
        <v>2026/08/26 </v>
      </c>
      <c r="H3" s="12" t="s">
        <v>60</v>
      </c>
      <c r="I3" s="7" t="str">
        <f>IFERROR(VLOOKUP(E3,'(新)EG'!$A$3:$K$84,10,0),"")</f>
        <v>2026/08/26 </v>
      </c>
    </row>
    <row r="4" spans="1:9" s="19" customFormat="1" ht="13.8" thickBot="1" x14ac:dyDescent="0.2">
      <c r="A4" s="11">
        <v>3</v>
      </c>
      <c r="B4" s="7" t="str">
        <f>IFERROR(VLOOKUP(E4,'(新)EG'!$A$3:$K$84,2,0),"")</f>
        <v>10月 </v>
      </c>
      <c r="C4" s="7" t="str">
        <f>IFERROR(VLOOKUP(E4,'(新)EG'!$A$3:$K$84,4,0),"")</f>
        <v>EGB4010E </v>
      </c>
      <c r="D4" s="15" t="str">
        <f>IFERROR(VLOOKUP(E4,'(新)EG'!$A$3:$K$84,5,0),"")</f>
        <v> （株）アマダベンディングＳ部 </v>
      </c>
      <c r="E4" s="23" t="str">
        <f>'(新)EG'!$A5</f>
        <v> TS41077212 </v>
      </c>
      <c r="F4" s="16" t="str">
        <f>IFERROR(VLOOKUP(E4,'(新)EG'!$A$3:$K$84,8,0),"")</f>
        <v>0E3361 </v>
      </c>
      <c r="G4" s="7" t="str">
        <f>IFERROR(VLOOKUP(E4,'(旧)EG'!$A$3:$K$100,10,0),"")</f>
        <v>2026/09/02 </v>
      </c>
      <c r="H4" s="12" t="s">
        <v>60</v>
      </c>
      <c r="I4" s="7" t="str">
        <f>IFERROR(VLOOKUP(E4,'(新)EG'!$A$3:$K$84,10,0),"")</f>
        <v>2026/09/02 </v>
      </c>
    </row>
    <row r="5" spans="1:9" s="19" customFormat="1" ht="13.8" thickBot="1" x14ac:dyDescent="0.2">
      <c r="A5" s="11">
        <v>4</v>
      </c>
      <c r="B5" s="7" t="str">
        <f>IFERROR(VLOOKUP(E5,'(新)EG'!$A$3:$K$84,2,0),"")</f>
        <v>10月 </v>
      </c>
      <c r="C5" s="7" t="str">
        <f>IFERROR(VLOOKUP(E5,'(新)EG'!$A$3:$K$84,4,0),"")</f>
        <v>EGB4010E </v>
      </c>
      <c r="D5" s="15" t="str">
        <f>IFERROR(VLOOKUP(E5,'(新)EG'!$A$3:$K$84,5,0),"")</f>
        <v> （株）アマダベンディングＳ部 </v>
      </c>
      <c r="E5" s="23" t="str">
        <f>'(新)EG'!$A6</f>
        <v> TS41077213 </v>
      </c>
      <c r="F5" s="16" t="str">
        <f>IFERROR(VLOOKUP(E5,'(新)EG'!$A$3:$K$84,8,0),"")</f>
        <v>0E3361 </v>
      </c>
      <c r="G5" s="7" t="str">
        <f>IFERROR(VLOOKUP(E5,'(旧)EG'!$A$3:$K$100,10,0),"")</f>
        <v>2026/09/02 </v>
      </c>
      <c r="H5" s="12" t="s">
        <v>60</v>
      </c>
      <c r="I5" s="7" t="str">
        <f>IFERROR(VLOOKUP(E5,'(新)EG'!$A$3:$K$84,10,0),"")</f>
        <v>2026/09/02 </v>
      </c>
    </row>
    <row r="6" spans="1:9" s="19" customFormat="1" ht="13.8" thickBot="1" x14ac:dyDescent="0.2">
      <c r="A6" s="11">
        <v>5</v>
      </c>
      <c r="B6" s="7" t="str">
        <f>IFERROR(VLOOKUP(E6,'(新)EG'!$A$3:$K$84,2,0),"")</f>
        <v>10月 </v>
      </c>
      <c r="C6" s="7" t="str">
        <f>IFERROR(VLOOKUP(E6,'(新)EG'!$A$3:$K$84,4,0),"")</f>
        <v>EGB6013RE </v>
      </c>
      <c r="D6" s="15" t="str">
        <f>IFERROR(VLOOKUP(E6,'(新)EG'!$A$3:$K$84,5,0),"")</f>
        <v> 大和テック（株） </v>
      </c>
      <c r="E6" s="23" t="str">
        <f>'(新)EG'!$A7</f>
        <v> TS60109107 </v>
      </c>
      <c r="F6" s="16" t="str">
        <f>IFERROR(VLOOKUP(E6,'(新)EG'!$A$3:$K$84,8,0),"")</f>
        <v>0E1241 </v>
      </c>
      <c r="G6" s="7" t="str">
        <f>IFERROR(VLOOKUP(E6,'(旧)EG'!$A$3:$K$100,10,0),"")</f>
        <v>2026/09/02 </v>
      </c>
      <c r="H6" s="12" t="s">
        <v>60</v>
      </c>
      <c r="I6" s="7" t="str">
        <f>IFERROR(VLOOKUP(E6,'(新)EG'!$A$3:$K$84,10,0),"")</f>
        <v>2026/09/02 </v>
      </c>
    </row>
    <row r="7" spans="1:9" s="19" customFormat="1" ht="13.8" thickBot="1" x14ac:dyDescent="0.2">
      <c r="A7" s="11">
        <v>6</v>
      </c>
      <c r="B7" s="7" t="str">
        <f>IFERROR(VLOOKUP(E7,'(新)EG'!$A$3:$K$84,2,0),"")</f>
        <v>10月 </v>
      </c>
      <c r="C7" s="7" t="str">
        <f>IFERROR(VLOOKUP(E7,'(新)EG'!$A$3:$K$84,4,0),"")</f>
        <v>EGB6013RE_EXP </v>
      </c>
      <c r="D7" s="15" t="str">
        <f>IFERROR(VLOOKUP(E7,'(新)EG'!$A$3:$K$84,5,0),"")</f>
        <v> CHINA </v>
      </c>
      <c r="E7" s="23" t="str">
        <f>'(新)EG'!$A8</f>
        <v> TS60109113 </v>
      </c>
      <c r="F7" s="16" t="str">
        <f>IFERROR(VLOOKUP(E7,'(新)EG'!$A$3:$K$84,8,0),"")</f>
        <v>0E1244 </v>
      </c>
      <c r="G7" s="7" t="str">
        <f>IFERROR(VLOOKUP(E7,'(旧)EG'!$A$3:$K$100,10,0),"")</f>
        <v>2026/09/02 </v>
      </c>
      <c r="H7" s="12" t="s">
        <v>60</v>
      </c>
      <c r="I7" s="7" t="str">
        <f>IFERROR(VLOOKUP(E7,'(新)EG'!$A$3:$K$84,10,0),"")</f>
        <v>2026/09/02 </v>
      </c>
    </row>
    <row r="8" spans="1:9" s="19" customFormat="1" ht="13.8" thickBot="1" x14ac:dyDescent="0.2">
      <c r="A8" s="11">
        <v>7</v>
      </c>
      <c r="B8" s="7" t="str">
        <f>IFERROR(VLOOKUP(E8,'(新)EG'!$A$3:$K$84,2,0),"")</f>
        <v>10月 </v>
      </c>
      <c r="C8" s="7" t="str">
        <f>IFERROR(VLOOKUP(E8,'(新)EG'!$A$3:$K$84,4,0),"")</f>
        <v>EGB4010E </v>
      </c>
      <c r="D8" s="15" t="str">
        <f>IFERROR(VLOOKUP(E8,'(新)EG'!$A$3:$K$84,5,0),"")</f>
        <v> 岡村機工（株） </v>
      </c>
      <c r="E8" s="23" t="str">
        <f>'(新)EG'!$A9</f>
        <v> TS41077194 </v>
      </c>
      <c r="F8" s="16" t="str">
        <f>IFERROR(VLOOKUP(E8,'(新)EG'!$A$3:$K$84,8,0),"")</f>
        <v>0E3361 </v>
      </c>
      <c r="G8" s="7" t="str">
        <f>IFERROR(VLOOKUP(E8,'(旧)EG'!$A$3:$K$100,10,0),"")</f>
        <v>2026/09/08 </v>
      </c>
      <c r="H8" s="12" t="s">
        <v>60</v>
      </c>
      <c r="I8" s="7" t="str">
        <f>IFERROR(VLOOKUP(E8,'(新)EG'!$A$3:$K$84,10,0),"")</f>
        <v>2026/09/08 </v>
      </c>
    </row>
    <row r="9" spans="1:9" s="19" customFormat="1" ht="13.8" thickBot="1" x14ac:dyDescent="0.2">
      <c r="A9" s="11">
        <v>8</v>
      </c>
      <c r="B9" s="7" t="str">
        <f>IFERROR(VLOOKUP(E9,'(新)EG'!$A$3:$K$84,2,0),"")</f>
        <v>10月 </v>
      </c>
      <c r="C9" s="7" t="str">
        <f>IFERROR(VLOOKUP(E9,'(新)EG'!$A$3:$K$84,4,0),"")</f>
        <v>EGB6013RE </v>
      </c>
      <c r="D9" s="15" t="str">
        <f>IFERROR(VLOOKUP(E9,'(新)EG'!$A$3:$K$84,5,0),"")</f>
        <v> （株）アマダベンディング自動化ＰＪ </v>
      </c>
      <c r="E9" s="23" t="str">
        <f>'(新)EG'!$A10</f>
        <v> TS60109106 </v>
      </c>
      <c r="F9" s="16" t="str">
        <f>IFERROR(VLOOKUP(E9,'(新)EG'!$A$3:$K$84,8,0),"")</f>
        <v>0E1241 </v>
      </c>
      <c r="G9" s="7" t="str">
        <f>IFERROR(VLOOKUP(E9,'(旧)EG'!$A$3:$K$100,10,0),"")</f>
        <v>2026/09/09 </v>
      </c>
      <c r="H9" s="12" t="s">
        <v>60</v>
      </c>
      <c r="I9" s="7" t="str">
        <f>IFERROR(VLOOKUP(E9,'(新)EG'!$A$3:$K$84,10,0),"")</f>
        <v>2026/09/09 </v>
      </c>
    </row>
    <row r="10" spans="1:9" s="19" customFormat="1" ht="13.8" thickBot="1" x14ac:dyDescent="0.2">
      <c r="A10" s="11">
        <v>9</v>
      </c>
      <c r="B10" s="7" t="str">
        <f>IFERROR(VLOOKUP(E10,'(新)EG'!$A$3:$K$84,2,0),"")</f>
        <v>10月 </v>
      </c>
      <c r="C10" s="7" t="str">
        <f>IFERROR(VLOOKUP(E10,'(新)EG'!$A$3:$K$84,4,0),"")</f>
        <v>EGB4010E_EX </v>
      </c>
      <c r="D10" s="15" t="str">
        <f>IFERROR(VLOOKUP(E10,'(新)EG'!$A$3:$K$84,5,0),"")</f>
        <v> ＡＭＡＤＡ　ＡＭＥＲＩＣＡ　ＩＮＣ． </v>
      </c>
      <c r="E10" s="23" t="str">
        <f>'(新)EG'!$A11</f>
        <v> TS41077206 </v>
      </c>
      <c r="F10" s="16" t="str">
        <f>IFERROR(VLOOKUP(E10,'(新)EG'!$A$3:$K$84,8,0),"")</f>
        <v>0E3362 </v>
      </c>
      <c r="G10" s="7" t="str">
        <f>IFERROR(VLOOKUP(E10,'(旧)EG'!$A$3:$K$100,10,0),"")</f>
        <v>2026/09/09 </v>
      </c>
      <c r="H10" s="12" t="s">
        <v>60</v>
      </c>
      <c r="I10" s="7" t="str">
        <f>IFERROR(VLOOKUP(E10,'(新)EG'!$A$3:$K$84,10,0),"")</f>
        <v>2026/09/09 </v>
      </c>
    </row>
    <row r="11" spans="1:9" s="19" customFormat="1" ht="13.8" thickBot="1" x14ac:dyDescent="0.2">
      <c r="A11" s="11">
        <v>10</v>
      </c>
      <c r="B11" s="7" t="str">
        <f>IFERROR(VLOOKUP(E11,'(新)EG'!$A$3:$K$84,2,0),"")</f>
        <v>10月 </v>
      </c>
      <c r="C11" s="7" t="str">
        <f>IFERROR(VLOOKUP(E11,'(新)EG'!$A$3:$K$84,4,0),"")</f>
        <v>EGB4010E_EX </v>
      </c>
      <c r="D11" s="15" t="str">
        <f>IFERROR(VLOOKUP(E11,'(新)EG'!$A$3:$K$84,5,0),"")</f>
        <v> ＡＭＡＤＡ　（ＵＫ）　ＪＯＨＡＮＮＥＳＢ </v>
      </c>
      <c r="E11" s="23" t="str">
        <f>'(新)EG'!$A12</f>
        <v> TS41077210 </v>
      </c>
      <c r="F11" s="16" t="str">
        <f>IFERROR(VLOOKUP(E11,'(新)EG'!$A$3:$K$84,8,0),"")</f>
        <v>0E3362 </v>
      </c>
      <c r="G11" s="7" t="str">
        <f>IFERROR(VLOOKUP(E11,'(旧)EG'!$A$3:$K$100,10,0),"")</f>
        <v>2026/09/09 </v>
      </c>
      <c r="H11" s="12" t="s">
        <v>60</v>
      </c>
      <c r="I11" s="7" t="str">
        <f>IFERROR(VLOOKUP(E11,'(新)EG'!$A$3:$K$84,10,0),"")</f>
        <v>2026/09/09 </v>
      </c>
    </row>
    <row r="12" spans="1:9" s="19" customFormat="1" ht="13.8" thickBot="1" x14ac:dyDescent="0.2">
      <c r="A12" s="11">
        <v>11</v>
      </c>
      <c r="B12" s="7" t="str">
        <f>IFERROR(VLOOKUP(E12,'(新)EG'!$A$3:$K$84,2,0),"")</f>
        <v>10月 </v>
      </c>
      <c r="C12" s="7" t="str">
        <f>IFERROR(VLOOKUP(E12,'(新)EG'!$A$3:$K$84,4,0),"")</f>
        <v>EGB4010E_EX </v>
      </c>
      <c r="D12" s="15" t="str">
        <f>IFERROR(VLOOKUP(E12,'(新)EG'!$A$3:$K$84,5,0),"")</f>
        <v> ＡＭＡＤＡ　（ＵＫ）　ＪＯＨＡＮＮＥＳＢ </v>
      </c>
      <c r="E12" s="23" t="str">
        <f>'(新)EG'!$A13</f>
        <v> TS41077211 </v>
      </c>
      <c r="F12" s="16" t="str">
        <f>IFERROR(VLOOKUP(E12,'(新)EG'!$A$3:$K$84,8,0),"")</f>
        <v>0E3362 </v>
      </c>
      <c r="G12" s="7" t="str">
        <f>IFERROR(VLOOKUP(E12,'(旧)EG'!$A$3:$K$100,10,0),"")</f>
        <v>2026/09/09 </v>
      </c>
      <c r="H12" s="12" t="s">
        <v>60</v>
      </c>
      <c r="I12" s="7" t="str">
        <f>IFERROR(VLOOKUP(E12,'(新)EG'!$A$3:$K$84,10,0),"")</f>
        <v>2026/09/09 </v>
      </c>
    </row>
    <row r="13" spans="1:9" s="19" customFormat="1" ht="13.8" thickBot="1" x14ac:dyDescent="0.2">
      <c r="A13" s="11">
        <v>12</v>
      </c>
      <c r="B13" s="7" t="str">
        <f>IFERROR(VLOOKUP(E13,'(新)EG'!$A$3:$K$84,2,0),"")</f>
        <v>10月 </v>
      </c>
      <c r="C13" s="7" t="str">
        <f>IFERROR(VLOOKUP(E13,'(新)EG'!$A$3:$K$84,4,0),"")</f>
        <v>EGB4010E_EX </v>
      </c>
      <c r="D13" s="15" t="str">
        <f>IFERROR(VLOOKUP(E13,'(新)EG'!$A$3:$K$84,5,0),"")</f>
        <v> ＡＭＡＤＡ　ＡＭＥＲＩＣＡ　ＩＮＣ． </v>
      </c>
      <c r="E13" s="23" t="str">
        <f>'(新)EG'!$A14</f>
        <v> TS41077209 </v>
      </c>
      <c r="F13" s="16" t="str">
        <f>IFERROR(VLOOKUP(E13,'(新)EG'!$A$3:$K$84,8,0),"")</f>
        <v>0E3362 </v>
      </c>
      <c r="G13" s="7" t="str">
        <f>IFERROR(VLOOKUP(E13,'(旧)EG'!$A$3:$K$100,10,0),"")</f>
        <v>2026/09/11 </v>
      </c>
      <c r="H13" s="12" t="s">
        <v>60</v>
      </c>
      <c r="I13" s="7" t="str">
        <f>IFERROR(VLOOKUP(E13,'(新)EG'!$A$3:$K$84,10,0),"")</f>
        <v>2026/09/11 </v>
      </c>
    </row>
    <row r="14" spans="1:9" s="19" customFormat="1" ht="13.8" thickBot="1" x14ac:dyDescent="0.2">
      <c r="A14" s="11">
        <v>13</v>
      </c>
      <c r="B14" s="7" t="str">
        <f>IFERROR(VLOOKUP(E14,'(新)EG'!$A$3:$K$84,2,0),"")</f>
        <v>10月 </v>
      </c>
      <c r="C14" s="7" t="str">
        <f>IFERROR(VLOOKUP(E14,'(新)EG'!$A$3:$K$84,4,0),"")</f>
        <v>EGB6013E </v>
      </c>
      <c r="D14" s="15" t="str">
        <f>IFERROR(VLOOKUP(E14,'(新)EG'!$A$3:$K$84,5,0),"")</f>
        <v> （有）松岡製作所 </v>
      </c>
      <c r="E14" s="23" t="str">
        <f>'(新)EG'!$A15</f>
        <v> TS61377160 </v>
      </c>
      <c r="F14" s="16" t="str">
        <f>IFERROR(VLOOKUP(E14,'(新)EG'!$A$3:$K$84,8,0),"")</f>
        <v>0E5494 </v>
      </c>
      <c r="G14" s="7" t="str">
        <f>IFERROR(VLOOKUP(E14,'(旧)EG'!$A$3:$K$100,10,0),"")</f>
        <v>2026/09/15 </v>
      </c>
      <c r="H14" s="12" t="s">
        <v>60</v>
      </c>
      <c r="I14" s="7" t="str">
        <f>IFERROR(VLOOKUP(E14,'(新)EG'!$A$3:$K$84,10,0),"")</f>
        <v>2026/09/15 </v>
      </c>
    </row>
    <row r="15" spans="1:9" s="19" customFormat="1" ht="13.8" thickBot="1" x14ac:dyDescent="0.2">
      <c r="A15" s="11">
        <v>14</v>
      </c>
      <c r="B15" s="7" t="str">
        <f>IFERROR(VLOOKUP(E15,'(新)EG'!$A$3:$K$84,2,0),"")</f>
        <v>10月 </v>
      </c>
      <c r="C15" s="7" t="str">
        <f>IFERROR(VLOOKUP(E15,'(新)EG'!$A$3:$K$84,4,0),"")</f>
        <v>EGB6013RE </v>
      </c>
      <c r="D15" s="15" t="str">
        <f>IFERROR(VLOOKUP(E15,'(新)EG'!$A$3:$K$84,5,0),"")</f>
        <v> （株）山一金属製作所 </v>
      </c>
      <c r="E15" s="23" t="str">
        <f>'(新)EG'!$A16</f>
        <v> TS60109111 </v>
      </c>
      <c r="F15" s="16" t="str">
        <f>IFERROR(VLOOKUP(E15,'(新)EG'!$A$3:$K$84,8,0),"")</f>
        <v>0E1241 </v>
      </c>
      <c r="G15" s="7" t="str">
        <f>IFERROR(VLOOKUP(E15,'(旧)EG'!$A$3:$K$100,10,0),"")</f>
        <v>2026/09/15 </v>
      </c>
      <c r="H15" s="12" t="s">
        <v>60</v>
      </c>
      <c r="I15" s="7" t="str">
        <f>IFERROR(VLOOKUP(E15,'(新)EG'!$A$3:$K$84,10,0),"")</f>
        <v>2026/09/15 </v>
      </c>
    </row>
    <row r="16" spans="1:9" s="19" customFormat="1" ht="13.8" thickBot="1" x14ac:dyDescent="0.2">
      <c r="A16" s="11">
        <v>15</v>
      </c>
      <c r="B16" s="7" t="str">
        <f>IFERROR(VLOOKUP(E16,'(新)EG'!$A$3:$K$84,2,0),"")</f>
        <v>10月 </v>
      </c>
      <c r="C16" s="7" t="str">
        <f>IFERROR(VLOOKUP(E16,'(新)EG'!$A$3:$K$84,4,0),"")</f>
        <v>EGB6013E_EXP </v>
      </c>
      <c r="D16" s="15" t="str">
        <f>IFERROR(VLOOKUP(E16,'(新)EG'!$A$3:$K$84,5,0),"")</f>
        <v> ＡＭＡＤＡ　ＡＭＥＲＩＣＡ　ＩＮＣ． </v>
      </c>
      <c r="E16" s="23" t="str">
        <f>'(新)EG'!$A17</f>
        <v> TS61377155 </v>
      </c>
      <c r="F16" s="16" t="str">
        <f>IFERROR(VLOOKUP(E16,'(新)EG'!$A$3:$K$84,8,0),"")</f>
        <v>0E5525 </v>
      </c>
      <c r="G16" s="7" t="str">
        <f>IFERROR(VLOOKUP(E16,'(旧)EG'!$A$3:$K$100,10,0),"")</f>
        <v>2026/09/15 </v>
      </c>
      <c r="H16" s="12" t="s">
        <v>60</v>
      </c>
      <c r="I16" s="7" t="str">
        <f>IFERROR(VLOOKUP(E16,'(新)EG'!$A$3:$K$84,10,0),"")</f>
        <v>2026/09/15 </v>
      </c>
    </row>
    <row r="17" spans="1:9" s="19" customFormat="1" ht="13.8" thickBot="1" x14ac:dyDescent="0.2">
      <c r="A17" s="11">
        <v>16</v>
      </c>
      <c r="B17" s="7" t="str">
        <f>IFERROR(VLOOKUP(E17,'(新)EG'!$A$3:$K$84,2,0),"")</f>
        <v>10月 </v>
      </c>
      <c r="C17" s="7" t="str">
        <f>IFERROR(VLOOKUP(E17,'(新)EG'!$A$3:$K$84,4,0),"")</f>
        <v>EGB6013E_EXP </v>
      </c>
      <c r="D17" s="15" t="str">
        <f>IFERROR(VLOOKUP(E17,'(新)EG'!$A$3:$K$84,5,0),"")</f>
        <v> ＡＭＡＤＡ　ＡＭＥＲＩＣＡ　ＩＮＣ． </v>
      </c>
      <c r="E17" s="23" t="str">
        <f>'(新)EG'!$A18</f>
        <v> TS61377156 </v>
      </c>
      <c r="F17" s="16" t="str">
        <f>IFERROR(VLOOKUP(E17,'(新)EG'!$A$3:$K$84,8,0),"")</f>
        <v>0E5525 </v>
      </c>
      <c r="G17" s="7" t="str">
        <f>IFERROR(VLOOKUP(E17,'(旧)EG'!$A$3:$K$100,10,0),"")</f>
        <v>2026/09/15 </v>
      </c>
      <c r="H17" s="12" t="s">
        <v>60</v>
      </c>
      <c r="I17" s="7" t="str">
        <f>IFERROR(VLOOKUP(E17,'(新)EG'!$A$3:$K$84,10,0),"")</f>
        <v>2026/09/15 </v>
      </c>
    </row>
    <row r="18" spans="1:9" s="19" customFormat="1" ht="13.8" thickBot="1" x14ac:dyDescent="0.2">
      <c r="A18" s="11">
        <v>17</v>
      </c>
      <c r="B18" s="7" t="str">
        <f>IFERROR(VLOOKUP(E18,'(新)EG'!$A$3:$K$84,2,0),"")</f>
        <v>10月 </v>
      </c>
      <c r="C18" s="7" t="str">
        <f>IFERROR(VLOOKUP(E18,'(新)EG'!$A$3:$K$84,4,0),"")</f>
        <v>EGB6013E_EXP </v>
      </c>
      <c r="D18" s="15" t="str">
        <f>IFERROR(VLOOKUP(E18,'(新)EG'!$A$3:$K$84,5,0),"")</f>
        <v> ＡＭＡＤＡ　ＣＡＮＡＤＡ　ＬＴＤ． </v>
      </c>
      <c r="E18" s="23" t="str">
        <f>'(新)EG'!$A19</f>
        <v> TS61377157 </v>
      </c>
      <c r="F18" s="16" t="str">
        <f>IFERROR(VLOOKUP(E18,'(新)EG'!$A$3:$K$84,8,0),"")</f>
        <v>0E5525 </v>
      </c>
      <c r="G18" s="7" t="str">
        <f>IFERROR(VLOOKUP(E18,'(旧)EG'!$A$3:$K$100,10,0),"")</f>
        <v>2026/09/15 </v>
      </c>
      <c r="H18" s="12" t="s">
        <v>60</v>
      </c>
      <c r="I18" s="7" t="str">
        <f>IFERROR(VLOOKUP(E18,'(新)EG'!$A$3:$K$84,10,0),"")</f>
        <v>2026/09/15 </v>
      </c>
    </row>
    <row r="19" spans="1:9" s="19" customFormat="1" ht="13.8" thickBot="1" x14ac:dyDescent="0.2">
      <c r="A19" s="11">
        <v>18</v>
      </c>
      <c r="B19" s="7" t="str">
        <f>IFERROR(VLOOKUP(E19,'(新)EG'!$A$3:$K$84,2,0),"")</f>
        <v>10月 </v>
      </c>
      <c r="C19" s="7" t="str">
        <f>IFERROR(VLOOKUP(E19,'(新)EG'!$A$3:$K$84,4,0),"")</f>
        <v>EGB4010E_EX </v>
      </c>
      <c r="D19" s="15" t="str">
        <f>IFERROR(VLOOKUP(E19,'(新)EG'!$A$3:$K$84,5,0),"")</f>
        <v> CHINA </v>
      </c>
      <c r="E19" s="23" t="str">
        <f>'(新)EG'!$A20</f>
        <v> TS41077207 </v>
      </c>
      <c r="F19" s="16" t="str">
        <f>IFERROR(VLOOKUP(E19,'(新)EG'!$A$3:$K$84,8,0),"")</f>
        <v>0E3362 </v>
      </c>
      <c r="G19" s="7" t="str">
        <f>IFERROR(VLOOKUP(E19,'(旧)EG'!$A$3:$K$100,10,0),"")</f>
        <v>2026/09/15 </v>
      </c>
      <c r="H19" s="12" t="s">
        <v>60</v>
      </c>
      <c r="I19" s="7" t="str">
        <f>IFERROR(VLOOKUP(E19,'(新)EG'!$A$3:$K$84,10,0),"")</f>
        <v>2026/09/15 </v>
      </c>
    </row>
    <row r="20" spans="1:9" s="19" customFormat="1" ht="13.8" thickBot="1" x14ac:dyDescent="0.2">
      <c r="A20" s="11">
        <v>19</v>
      </c>
      <c r="B20" s="7" t="str">
        <f>IFERROR(VLOOKUP(E20,'(新)EG'!$A$3:$K$84,2,0),"")</f>
        <v>10月 </v>
      </c>
      <c r="C20" s="7" t="str">
        <f>IFERROR(VLOOKUP(E20,'(新)EG'!$A$3:$K$84,4,0),"")</f>
        <v>EGB4010E_EX </v>
      </c>
      <c r="D20" s="15" t="str">
        <f>IFERROR(VLOOKUP(E20,'(新)EG'!$A$3:$K$84,5,0),"")</f>
        <v> ＡＭＡＤＡ　ＴＡＩＷＡＮ　ＩＮＣ． </v>
      </c>
      <c r="E20" s="23" t="str">
        <f>'(新)EG'!$A21</f>
        <v> TS41077208 </v>
      </c>
      <c r="F20" s="16" t="str">
        <f>IFERROR(VLOOKUP(E20,'(新)EG'!$A$3:$K$84,8,0),"")</f>
        <v>0E3362 </v>
      </c>
      <c r="G20" s="7" t="str">
        <f>IFERROR(VLOOKUP(E20,'(旧)EG'!$A$3:$K$100,10,0),"")</f>
        <v>2026/09/15 </v>
      </c>
      <c r="H20" s="12" t="s">
        <v>60</v>
      </c>
      <c r="I20" s="7" t="str">
        <f>IFERROR(VLOOKUP(E20,'(新)EG'!$A$3:$K$84,10,0),"")</f>
        <v>2026/09/15 </v>
      </c>
    </row>
    <row r="21" spans="1:9" s="19" customFormat="1" ht="13.8" thickBot="1" x14ac:dyDescent="0.2">
      <c r="A21" s="11">
        <v>20</v>
      </c>
      <c r="B21" s="7" t="str">
        <f>IFERROR(VLOOKUP(E21,'(新)EG'!$A$3:$K$84,2,0),"")</f>
        <v>10月 </v>
      </c>
      <c r="C21" s="7" t="str">
        <f>IFERROR(VLOOKUP(E21,'(新)EG'!$A$3:$K$84,4,0),"")</f>
        <v>EGB6013E </v>
      </c>
      <c r="D21" s="15" t="str">
        <f>IFERROR(VLOOKUP(E21,'(新)EG'!$A$3:$K$84,5,0),"")</f>
        <v> （株）アマダベンディングＳ部 </v>
      </c>
      <c r="E21" s="23" t="str">
        <f>'(新)EG'!$A22</f>
        <v> TS61377161 </v>
      </c>
      <c r="F21" s="16" t="str">
        <f>IFERROR(VLOOKUP(E21,'(新)EG'!$A$3:$K$84,8,0),"")</f>
        <v>0E5494 </v>
      </c>
      <c r="G21" s="7" t="str">
        <f>IFERROR(VLOOKUP(E21,'(旧)EG'!$A$3:$K$100,10,0),"")</f>
        <v>2026/09/24 </v>
      </c>
      <c r="H21" s="12" t="s">
        <v>60</v>
      </c>
      <c r="I21" s="7" t="str">
        <f>IFERROR(VLOOKUP(E21,'(新)EG'!$A$3:$K$84,10,0),"")</f>
        <v>2026/09/24 </v>
      </c>
    </row>
    <row r="22" spans="1:9" s="19" customFormat="1" ht="13.8" thickBot="1" x14ac:dyDescent="0.2">
      <c r="A22" s="11">
        <v>21</v>
      </c>
      <c r="B22" s="7" t="str">
        <f>IFERROR(VLOOKUP(E22,'(新)EG'!$A$3:$K$84,2,0),"")</f>
        <v>10月 </v>
      </c>
      <c r="C22" s="7" t="str">
        <f>IFERROR(VLOOKUP(E22,'(新)EG'!$A$3:$K$84,4,0),"")</f>
        <v>EGB6013RE_EXP </v>
      </c>
      <c r="D22" s="15" t="str">
        <f>IFERROR(VLOOKUP(E22,'(新)EG'!$A$3:$K$84,5,0),"")</f>
        <v> ＡＭＡＤＡ　ＡＭＥＲＩＣＡ　ＩＮＣ． </v>
      </c>
      <c r="E22" s="23" t="str">
        <f>'(新)EG'!$A23</f>
        <v> TS60109112 </v>
      </c>
      <c r="F22" s="16" t="str">
        <f>IFERROR(VLOOKUP(E22,'(新)EG'!$A$3:$K$84,8,0),"")</f>
        <v>0E1244 </v>
      </c>
      <c r="G22" s="7" t="str">
        <f>IFERROR(VLOOKUP(E22,'(旧)EG'!$A$3:$K$100,10,0),"")</f>
        <v>2026/09/24 </v>
      </c>
      <c r="H22" s="12" t="s">
        <v>60</v>
      </c>
      <c r="I22" s="7" t="str">
        <f>IFERROR(VLOOKUP(E22,'(新)EG'!$A$3:$K$84,10,0),"")</f>
        <v>2026/09/24 </v>
      </c>
    </row>
    <row r="23" spans="1:9" s="19" customFormat="1" ht="13.8" thickBot="1" x14ac:dyDescent="0.2">
      <c r="A23" s="11">
        <v>22</v>
      </c>
      <c r="B23" s="7" t="str">
        <f>IFERROR(VLOOKUP(E23,'(新)EG'!$A$3:$K$84,2,0),"")</f>
        <v>10月 </v>
      </c>
      <c r="C23" s="7" t="str">
        <f>IFERROR(VLOOKUP(E23,'(新)EG'!$A$3:$K$84,4,0),"")</f>
        <v>EGB4010E </v>
      </c>
      <c r="D23" s="15" t="str">
        <f>IFERROR(VLOOKUP(E23,'(新)EG'!$A$3:$K$84,5,0),"")</f>
        <v> （株）アマダベンディングＳ部 </v>
      </c>
      <c r="E23" s="23" t="str">
        <f>'(新)EG'!$A24</f>
        <v> TS41077214 </v>
      </c>
      <c r="F23" s="16" t="str">
        <f>IFERROR(VLOOKUP(E23,'(新)EG'!$A$3:$K$84,8,0),"")</f>
        <v>0E3361 </v>
      </c>
      <c r="G23" s="7" t="str">
        <f>IFERROR(VLOOKUP(E23,'(旧)EG'!$A$3:$K$100,10,0),"")</f>
        <v>2026/09/24 </v>
      </c>
      <c r="H23" s="12" t="s">
        <v>60</v>
      </c>
      <c r="I23" s="7" t="str">
        <f>IFERROR(VLOOKUP(E23,'(新)EG'!$A$3:$K$84,10,0),"")</f>
        <v>2026/09/24 </v>
      </c>
    </row>
    <row r="24" spans="1:9" s="19" customFormat="1" ht="13.8" thickBot="1" x14ac:dyDescent="0.2">
      <c r="A24" s="11">
        <v>23</v>
      </c>
      <c r="B24" s="7" t="str">
        <f>IFERROR(VLOOKUP(E24,'(新)EG'!$A$3:$K$84,2,0),"")</f>
        <v>10月 </v>
      </c>
      <c r="C24" s="7" t="str">
        <f>IFERROR(VLOOKUP(E24,'(新)EG'!$A$3:$K$84,4,0),"")</f>
        <v>EGB6013E_EXP </v>
      </c>
      <c r="D24" s="15" t="str">
        <f>IFERROR(VLOOKUP(E24,'(新)EG'!$A$3:$K$84,5,0),"")</f>
        <v> ＡＭＡＤＡ　ＡＭＥＲＩＣＡ　ＩＮＣ． </v>
      </c>
      <c r="E24" s="23" t="str">
        <f>'(新)EG'!$A25</f>
        <v> TS61377158 </v>
      </c>
      <c r="F24" s="16" t="str">
        <f>IFERROR(VLOOKUP(E24,'(新)EG'!$A$3:$K$84,8,0),"")</f>
        <v>0E5525 </v>
      </c>
      <c r="G24" s="7" t="str">
        <f>IFERROR(VLOOKUP(E24,'(旧)EG'!$A$3:$K$100,10,0),"")</f>
        <v>2026/09/24 </v>
      </c>
      <c r="H24" s="12" t="s">
        <v>60</v>
      </c>
      <c r="I24" s="7" t="str">
        <f>IFERROR(VLOOKUP(E24,'(新)EG'!$A$3:$K$84,10,0),"")</f>
        <v>2026/09/24 </v>
      </c>
    </row>
    <row r="25" spans="1:9" s="19" customFormat="1" ht="13.8" thickBot="1" x14ac:dyDescent="0.2">
      <c r="A25" s="11">
        <v>24</v>
      </c>
      <c r="B25" s="7" t="str">
        <f>IFERROR(VLOOKUP(E25,'(新)EG'!$A$3:$K$84,2,0),"")</f>
        <v>10月 </v>
      </c>
      <c r="C25" s="7" t="str">
        <f>IFERROR(VLOOKUP(E25,'(新)EG'!$A$3:$K$84,4,0),"")</f>
        <v>EGB6013E_EXP </v>
      </c>
      <c r="D25" s="15" t="str">
        <f>IFERROR(VLOOKUP(E25,'(新)EG'!$A$3:$K$84,5,0),"")</f>
        <v> ＡＭＡＤＡ　ＡＭＥＲＩＣＡ　ＩＮＣ． </v>
      </c>
      <c r="E25" s="23" t="str">
        <f>'(新)EG'!$A26</f>
        <v> TS61377159 </v>
      </c>
      <c r="F25" s="16" t="str">
        <f>IFERROR(VLOOKUP(E25,'(新)EG'!$A$3:$K$84,8,0),"")</f>
        <v>0E5525 </v>
      </c>
      <c r="G25" s="7" t="str">
        <f>IFERROR(VLOOKUP(E25,'(旧)EG'!$A$3:$K$100,10,0),"")</f>
        <v>2026/09/24 </v>
      </c>
      <c r="H25" s="12" t="s">
        <v>60</v>
      </c>
      <c r="I25" s="7" t="str">
        <f>IFERROR(VLOOKUP(E25,'(新)EG'!$A$3:$K$84,10,0),"")</f>
        <v>2026/09/24 </v>
      </c>
    </row>
    <row r="26" spans="1:9" s="19" customFormat="1" ht="13.8" thickBot="1" x14ac:dyDescent="0.2">
      <c r="A26" s="11">
        <v>25</v>
      </c>
      <c r="B26" s="7" t="str">
        <f>IFERROR(VLOOKUP(E26,'(新)EG'!$A$3:$K$84,2,0),"")</f>
        <v>10月 </v>
      </c>
      <c r="C26" s="7" t="str">
        <f>IFERROR(VLOOKUP(E26,'(新)EG'!$A$3:$K$84,4,0),"")</f>
        <v>EGB6013E </v>
      </c>
      <c r="D26" s="15" t="str">
        <f>IFERROR(VLOOKUP(E26,'(新)EG'!$A$3:$K$84,5,0),"")</f>
        <v> （株）アマダベンディングＳ部 </v>
      </c>
      <c r="E26" s="23" t="str">
        <f>'(新)EG'!$A27</f>
        <v> TS61377162 </v>
      </c>
      <c r="F26" s="16" t="str">
        <f>IFERROR(VLOOKUP(E26,'(新)EG'!$A$3:$K$84,8,0),"")</f>
        <v>0E5494 </v>
      </c>
      <c r="G26" s="7" t="str">
        <f>IFERROR(VLOOKUP(E26,'(旧)EG'!$A$3:$K$100,10,0),"")</f>
        <v>2026/10/01 </v>
      </c>
      <c r="H26" s="12" t="s">
        <v>60</v>
      </c>
      <c r="I26" s="7" t="str">
        <f>IFERROR(VLOOKUP(E26,'(新)EG'!$A$3:$K$84,10,0),"")</f>
        <v>2026/10/01 </v>
      </c>
    </row>
    <row r="27" spans="1:9" s="19" customFormat="1" ht="13.8" thickBot="1" x14ac:dyDescent="0.2">
      <c r="A27" s="11">
        <v>26</v>
      </c>
      <c r="B27" s="7" t="str">
        <f>IFERROR(VLOOKUP(E27,'(新)EG'!$A$3:$K$84,2,0),"")</f>
        <v>10月 </v>
      </c>
      <c r="C27" s="7" t="str">
        <f>IFERROR(VLOOKUP(E27,'(新)EG'!$A$3:$K$84,4,0),"")</f>
        <v>EGB4010E_EX </v>
      </c>
      <c r="D27" s="15" t="str">
        <f>IFERROR(VLOOKUP(E27,'(新)EG'!$A$3:$K$84,5,0),"")</f>
        <v> ＡＭＡＤＡ　ＡＭＥＲＩＣＡ　ＩＮＣ． </v>
      </c>
      <c r="E27" s="23" t="str">
        <f>'(新)EG'!$A28</f>
        <v> TS41077215 </v>
      </c>
      <c r="F27" s="16" t="str">
        <f>IFERROR(VLOOKUP(E27,'(新)EG'!$A$3:$K$84,8,0),"")</f>
        <v>0E3362 </v>
      </c>
      <c r="G27" s="7" t="str">
        <f>IFERROR(VLOOKUP(E27,'(旧)EG'!$A$3:$K$100,10,0),"")</f>
        <v>2026/10/01 </v>
      </c>
      <c r="H27" s="12" t="s">
        <v>60</v>
      </c>
      <c r="I27" s="7" t="str">
        <f>IFERROR(VLOOKUP(E27,'(新)EG'!$A$3:$K$84,10,0),"")</f>
        <v>2026/10/01 </v>
      </c>
    </row>
    <row r="28" spans="1:9" s="19" customFormat="1" ht="13.8" thickBot="1" x14ac:dyDescent="0.2">
      <c r="A28" s="11">
        <v>27</v>
      </c>
      <c r="B28" s="7" t="str">
        <f>IFERROR(VLOOKUP(E28,'(新)EG'!$A$3:$K$84,2,0),"")</f>
        <v>10月 </v>
      </c>
      <c r="C28" s="7" t="str">
        <f>IFERROR(VLOOKUP(E28,'(新)EG'!$A$3:$K$84,4,0),"")</f>
        <v>EGB4010E_EX </v>
      </c>
      <c r="D28" s="15" t="str">
        <f>IFERROR(VLOOKUP(E28,'(新)EG'!$A$3:$K$84,5,0),"")</f>
        <v> ＡＭＡＤＡ　ＡＭＥＲＩＣＡ　ＩＮＣ． </v>
      </c>
      <c r="E28" s="23" t="str">
        <f>'(新)EG'!$A29</f>
        <v> TS41077216 </v>
      </c>
      <c r="F28" s="16" t="str">
        <f>IFERROR(VLOOKUP(E28,'(新)EG'!$A$3:$K$84,8,0),"")</f>
        <v>0E3362 </v>
      </c>
      <c r="G28" s="7" t="str">
        <f>IFERROR(VLOOKUP(E28,'(旧)EG'!$A$3:$K$100,10,0),"")</f>
        <v>2026/10/01 </v>
      </c>
      <c r="H28" s="12" t="s">
        <v>60</v>
      </c>
      <c r="I28" s="7" t="str">
        <f>IFERROR(VLOOKUP(E28,'(新)EG'!$A$3:$K$84,10,0),"")</f>
        <v>2026/10/01 </v>
      </c>
    </row>
    <row r="29" spans="1:9" s="19" customFormat="1" ht="13.8" thickBot="1" x14ac:dyDescent="0.2">
      <c r="A29" s="11">
        <v>34</v>
      </c>
      <c r="B29" s="7" t="str">
        <f>IFERROR(VLOOKUP(E29,'(新)EG'!$A$3:$K$84,2,0),"")</f>
        <v>11月 </v>
      </c>
      <c r="C29" s="7" t="str">
        <f>IFERROR(VLOOKUP(E29,'(新)EG'!$A$3:$K$84,4,0),"")</f>
        <v>EGB6013RE </v>
      </c>
      <c r="D29" s="15" t="str">
        <f>IFERROR(VLOOKUP(E29,'(新)EG'!$A$3:$K$84,5,0),"")</f>
        <v> 楠田金属（株） </v>
      </c>
      <c r="E29" s="23" t="str">
        <f>'(新)EG'!$A30</f>
        <v> TS60109115 </v>
      </c>
      <c r="F29" s="16" t="str">
        <f>IFERROR(VLOOKUP(E29,'(新)EG'!$A$3:$K$84,8,0),"")</f>
        <v>0E1241 </v>
      </c>
      <c r="G29" s="7" t="str">
        <f>IFERROR(VLOOKUP(E29,'(旧)EG'!$A$3:$K$100,10,0),"")</f>
        <v>2026/09/24 </v>
      </c>
      <c r="H29" s="12" t="s">
        <v>60</v>
      </c>
      <c r="I29" s="7" t="str">
        <f>IFERROR(VLOOKUP(E29,'(新)EG'!$A$3:$K$84,10,0),"")</f>
        <v>2026/09/24 </v>
      </c>
    </row>
    <row r="30" spans="1:9" s="19" customFormat="1" ht="13.8" thickBot="1" x14ac:dyDescent="0.2">
      <c r="A30" s="11">
        <v>28</v>
      </c>
      <c r="B30" s="7" t="str">
        <f>IFERROR(VLOOKUP(E30,'(新)EG'!$A$3:$K$84,2,0),"")</f>
        <v>11月 </v>
      </c>
      <c r="C30" s="7" t="str">
        <f>IFERROR(VLOOKUP(E30,'(新)EG'!$A$3:$K$84,4,0),"")</f>
        <v>EGB6013RE </v>
      </c>
      <c r="D30" s="15" t="str">
        <f>IFERROR(VLOOKUP(E30,'(新)EG'!$A$3:$K$84,5,0),"")</f>
        <v> （株）秋田マシナリー </v>
      </c>
      <c r="E30" s="23" t="str">
        <f>'(新)EG'!$A31</f>
        <v> TS60109114 </v>
      </c>
      <c r="F30" s="16" t="str">
        <f>IFERROR(VLOOKUP(E30,'(新)EG'!$A$3:$K$84,8,0),"")</f>
        <v>0E1241 </v>
      </c>
      <c r="G30" s="7" t="str">
        <f>IFERROR(VLOOKUP(E30,'(旧)EG'!$A$3:$K$100,10,0),"")</f>
        <v>2026/10/01 </v>
      </c>
      <c r="H30" s="12" t="s">
        <v>60</v>
      </c>
      <c r="I30" s="7" t="str">
        <f>IFERROR(VLOOKUP(E30,'(新)EG'!$A$3:$K$84,10,0),"")</f>
        <v>2026/10/01 </v>
      </c>
    </row>
    <row r="31" spans="1:9" s="19" customFormat="1" ht="13.8" thickBot="1" x14ac:dyDescent="0.2">
      <c r="A31" s="11">
        <v>29</v>
      </c>
      <c r="B31" s="7" t="str">
        <f>IFERROR(VLOOKUP(E31,'(新)EG'!$A$3:$K$84,2,0),"")</f>
        <v>11月 </v>
      </c>
      <c r="C31" s="7" t="str">
        <f>IFERROR(VLOOKUP(E31,'(新)EG'!$A$3:$K$84,4,0),"")</f>
        <v>EGB6013E </v>
      </c>
      <c r="D31" s="15" t="str">
        <f>IFERROR(VLOOKUP(E31,'(新)EG'!$A$3:$K$84,5,0),"")</f>
        <v> （株）アマダベンディングＳ部 </v>
      </c>
      <c r="E31" s="23" t="str">
        <f>'(新)EG'!$A32</f>
        <v> TS61377166 </v>
      </c>
      <c r="F31" s="16" t="str">
        <f>IFERROR(VLOOKUP(E31,'(新)EG'!$A$3:$K$84,8,0),"")</f>
        <v>0E5494 </v>
      </c>
      <c r="G31" s="7" t="str">
        <f>IFERROR(VLOOKUP(E31,'(旧)EG'!$A$3:$K$100,10,0),"")</f>
        <v>2026/10/07 </v>
      </c>
      <c r="H31" s="12" t="s">
        <v>60</v>
      </c>
      <c r="I31" s="7" t="str">
        <f>IFERROR(VLOOKUP(E31,'(新)EG'!$A$3:$K$84,10,0),"")</f>
        <v>2026/10/07 </v>
      </c>
    </row>
    <row r="32" spans="1:9" s="19" customFormat="1" ht="13.8" thickBot="1" x14ac:dyDescent="0.2">
      <c r="A32" s="11">
        <v>30</v>
      </c>
      <c r="B32" s="7" t="str">
        <f>IFERROR(VLOOKUP(E32,'(新)EG'!$A$3:$K$84,2,0),"")</f>
        <v>11月 </v>
      </c>
      <c r="C32" s="7" t="str">
        <f>IFERROR(VLOOKUP(E32,'(新)EG'!$A$3:$K$84,4,0),"")</f>
        <v>EGB6013RE </v>
      </c>
      <c r="D32" s="15" t="str">
        <f>IFERROR(VLOOKUP(E32,'(新)EG'!$A$3:$K$84,5,0),"")</f>
        <v> （株）山本製作所 </v>
      </c>
      <c r="E32" s="23" t="str">
        <f>'(新)EG'!$A33</f>
        <v> TS60109108 </v>
      </c>
      <c r="F32" s="16" t="str">
        <f>IFERROR(VLOOKUP(E32,'(新)EG'!$A$3:$K$84,8,0),"")</f>
        <v>0E1241 </v>
      </c>
      <c r="G32" s="7" t="str">
        <f>IFERROR(VLOOKUP(E32,'(旧)EG'!$A$3:$K$100,10,0),"")</f>
        <v>2026/10/07 </v>
      </c>
      <c r="H32" s="12" t="s">
        <v>60</v>
      </c>
      <c r="I32" s="7" t="str">
        <f>IFERROR(VLOOKUP(E32,'(新)EG'!$A$3:$K$84,10,0),"")</f>
        <v>2026/10/07 </v>
      </c>
    </row>
    <row r="33" spans="1:9" s="19" customFormat="1" ht="13.8" thickBot="1" x14ac:dyDescent="0.2">
      <c r="A33" s="11">
        <v>31</v>
      </c>
      <c r="B33" s="7" t="str">
        <f>IFERROR(VLOOKUP(E33,'(新)EG'!$A$3:$K$84,2,0),"")</f>
        <v>11月 </v>
      </c>
      <c r="C33" s="7" t="str">
        <f>IFERROR(VLOOKUP(E33,'(新)EG'!$A$3:$K$84,4,0),"")</f>
        <v>EGB6013E_EXP </v>
      </c>
      <c r="D33" s="15" t="str">
        <f>IFERROR(VLOOKUP(E33,'(新)EG'!$A$3:$K$84,5,0),"")</f>
        <v> ＡＭＡＤＡ　ＡＭＥＲＩＣＡ　ＩＮＣ． </v>
      </c>
      <c r="E33" s="23" t="str">
        <f>'(新)EG'!$A34</f>
        <v> TS61377163 </v>
      </c>
      <c r="F33" s="16" t="str">
        <f>IFERROR(VLOOKUP(E33,'(新)EG'!$A$3:$K$84,8,0),"")</f>
        <v>0E5525 </v>
      </c>
      <c r="G33" s="7" t="str">
        <f>IFERROR(VLOOKUP(E33,'(旧)EG'!$A$3:$K$100,10,0),"")</f>
        <v>2026/10/07 </v>
      </c>
      <c r="H33" s="12" t="s">
        <v>60</v>
      </c>
      <c r="I33" s="7" t="str">
        <f>IFERROR(VLOOKUP(E33,'(新)EG'!$A$3:$K$84,10,0),"")</f>
        <v>2026/10/07 </v>
      </c>
    </row>
    <row r="34" spans="1:9" s="19" customFormat="1" ht="13.8" thickBot="1" x14ac:dyDescent="0.2">
      <c r="A34" s="11">
        <v>32</v>
      </c>
      <c r="B34" s="7" t="str">
        <f>IFERROR(VLOOKUP(E34,'(新)EG'!$A$3:$K$84,2,0),"")</f>
        <v>11月 </v>
      </c>
      <c r="C34" s="7" t="str">
        <f>IFERROR(VLOOKUP(E34,'(新)EG'!$A$3:$K$84,4,0),"")</f>
        <v>EGB6013E_EXP </v>
      </c>
      <c r="D34" s="15" t="str">
        <f>IFERROR(VLOOKUP(E34,'(新)EG'!$A$3:$K$84,5,0),"")</f>
        <v> Ａｍａｄａ　（Ｉｎｄｉａ）　Ｐｖｔ．　Ｌ </v>
      </c>
      <c r="E34" s="23" t="str">
        <f>'(新)EG'!$A35</f>
        <v> TS61377164 </v>
      </c>
      <c r="F34" s="16" t="str">
        <f>IFERROR(VLOOKUP(E34,'(新)EG'!$A$3:$K$84,8,0),"")</f>
        <v>0E5525 </v>
      </c>
      <c r="G34" s="7" t="str">
        <f>IFERROR(VLOOKUP(E34,'(旧)EG'!$A$3:$K$100,10,0),"")</f>
        <v>2026/10/07 </v>
      </c>
      <c r="H34" s="12" t="s">
        <v>60</v>
      </c>
      <c r="I34" s="7" t="str">
        <f>IFERROR(VLOOKUP(E34,'(新)EG'!$A$3:$K$84,10,0),"")</f>
        <v>2026/10/07 </v>
      </c>
    </row>
    <row r="35" spans="1:9" s="19" customFormat="1" ht="13.8" thickBot="1" x14ac:dyDescent="0.2">
      <c r="A35" s="11">
        <v>33</v>
      </c>
      <c r="B35" s="7" t="str">
        <f>IFERROR(VLOOKUP(E35,'(新)EG'!$A$3:$K$84,2,0),"")</f>
        <v>11月 </v>
      </c>
      <c r="C35" s="7" t="str">
        <f>IFERROR(VLOOKUP(E35,'(新)EG'!$A$3:$K$84,4,0),"")</f>
        <v>EGB6013RE_EXP </v>
      </c>
      <c r="D35" s="15" t="str">
        <f>IFERROR(VLOOKUP(E35,'(新)EG'!$A$3:$K$84,5,0),"")</f>
        <v> 【ベトナム】Tanaka Vietnam Co., Ltd </v>
      </c>
      <c r="E35" s="23" t="str">
        <f>'(新)EG'!$A36</f>
        <v> TS60109117 </v>
      </c>
      <c r="F35" s="16" t="str">
        <f>IFERROR(VLOOKUP(E35,'(新)EG'!$A$3:$K$84,8,0),"")</f>
        <v>0E1244 </v>
      </c>
      <c r="G35" s="7" t="str">
        <f>IFERROR(VLOOKUP(E35,'(旧)EG'!$A$3:$K$100,10,0),"")</f>
        <v>2026/10/07 </v>
      </c>
      <c r="H35" s="12" t="s">
        <v>60</v>
      </c>
      <c r="I35" s="7" t="str">
        <f>IFERROR(VLOOKUP(E35,'(新)EG'!$A$3:$K$84,10,0),"")</f>
        <v>2026/10/07 </v>
      </c>
    </row>
    <row r="36" spans="1:9" s="19" customFormat="1" ht="13.8" thickBot="1" x14ac:dyDescent="0.2">
      <c r="A36" s="11">
        <v>35</v>
      </c>
      <c r="B36" s="7" t="str">
        <f>IFERROR(VLOOKUP(E36,'(新)EG'!$A$3:$K$84,2,0),"")</f>
        <v>11月 </v>
      </c>
      <c r="C36" s="7" t="str">
        <f>IFERROR(VLOOKUP(E36,'(新)EG'!$A$3:$K$84,4,0),"")</f>
        <v>EGB6013E </v>
      </c>
      <c r="D36" s="15" t="str">
        <f>IFERROR(VLOOKUP(E36,'(新)EG'!$A$3:$K$84,5,0),"")</f>
        <v> （株）アマダベンディングＳ部 </v>
      </c>
      <c r="E36" s="23" t="str">
        <f>'(新)EG'!$A37</f>
        <v> TS61377167 </v>
      </c>
      <c r="F36" s="16" t="str">
        <f>IFERROR(VLOOKUP(E36,'(新)EG'!$A$3:$K$84,8,0),"")</f>
        <v>0E5494 </v>
      </c>
      <c r="G36" s="7" t="str">
        <f>IFERROR(VLOOKUP(E36,'(旧)EG'!$A$3:$K$100,10,0),"")</f>
        <v>2026/10/14 </v>
      </c>
      <c r="H36" s="12" t="s">
        <v>60</v>
      </c>
      <c r="I36" s="7" t="str">
        <f>IFERROR(VLOOKUP(E36,'(新)EG'!$A$3:$K$84,10,0),"")</f>
        <v>2026/10/14 </v>
      </c>
    </row>
    <row r="37" spans="1:9" s="19" customFormat="1" ht="13.8" thickBot="1" x14ac:dyDescent="0.2">
      <c r="A37" s="11">
        <v>36</v>
      </c>
      <c r="B37" s="7" t="str">
        <f>IFERROR(VLOOKUP(E37,'(新)EG'!$A$3:$K$84,2,0),"")</f>
        <v>11月 </v>
      </c>
      <c r="C37" s="7" t="str">
        <f>IFERROR(VLOOKUP(E37,'(新)EG'!$A$3:$K$84,4,0),"")</f>
        <v>EGB6013E </v>
      </c>
      <c r="D37" s="15" t="str">
        <f>IFERROR(VLOOKUP(E37,'(新)EG'!$A$3:$K$84,5,0),"")</f>
        <v> （株）アマダベンディングＳ部 </v>
      </c>
      <c r="E37" s="23" t="str">
        <f>'(新)EG'!$A38</f>
        <v> TS61377168 </v>
      </c>
      <c r="F37" s="16" t="str">
        <f>IFERROR(VLOOKUP(E37,'(新)EG'!$A$3:$K$84,8,0),"")</f>
        <v>0E5494 </v>
      </c>
      <c r="G37" s="7" t="str">
        <f>IFERROR(VLOOKUP(E37,'(旧)EG'!$A$3:$K$100,10,0),"")</f>
        <v>2026/10/14 </v>
      </c>
      <c r="H37" s="12" t="s">
        <v>60</v>
      </c>
      <c r="I37" s="7" t="str">
        <f>IFERROR(VLOOKUP(E37,'(新)EG'!$A$3:$K$84,10,0),"")</f>
        <v>2026/10/14 </v>
      </c>
    </row>
    <row r="38" spans="1:9" s="19" customFormat="1" ht="13.8" thickBot="1" x14ac:dyDescent="0.2">
      <c r="A38" s="11">
        <v>37</v>
      </c>
      <c r="B38" s="7" t="str">
        <f>IFERROR(VLOOKUP(E38,'(新)EG'!$A$3:$K$84,2,0),"")</f>
        <v>11月 </v>
      </c>
      <c r="C38" s="7" t="str">
        <f>IFERROR(VLOOKUP(E38,'(新)EG'!$A$3:$K$84,4,0),"")</f>
        <v>EGB4010E_EX </v>
      </c>
      <c r="D38" s="15" t="str">
        <f>IFERROR(VLOOKUP(E38,'(新)EG'!$A$3:$K$84,5,0),"")</f>
        <v> ＡＭＡＤＡ　ＡＭＥＲＩＣＡ　ＩＮＣ． </v>
      </c>
      <c r="E38" s="23" t="str">
        <f>'(新)EG'!$A39</f>
        <v> TS41077221 </v>
      </c>
      <c r="F38" s="16" t="str">
        <f>IFERROR(VLOOKUP(E38,'(新)EG'!$A$3:$K$84,8,0),"")</f>
        <v>0E3362 </v>
      </c>
      <c r="G38" s="7" t="str">
        <f>IFERROR(VLOOKUP(E38,'(旧)EG'!$A$3:$K$100,10,0),"")</f>
        <v>2026/10/14 </v>
      </c>
      <c r="H38" s="12" t="s">
        <v>60</v>
      </c>
      <c r="I38" s="7" t="str">
        <f>IFERROR(VLOOKUP(E38,'(新)EG'!$A$3:$K$84,10,0),"")</f>
        <v>2026/10/14 </v>
      </c>
    </row>
    <row r="39" spans="1:9" s="19" customFormat="1" ht="13.8" thickBot="1" x14ac:dyDescent="0.2">
      <c r="A39" s="11">
        <v>38</v>
      </c>
      <c r="B39" s="7" t="str">
        <f>IFERROR(VLOOKUP(E39,'(新)EG'!$A$3:$K$84,2,0),"")</f>
        <v>11月 </v>
      </c>
      <c r="C39" s="7" t="str">
        <f>IFERROR(VLOOKUP(E39,'(新)EG'!$A$3:$K$84,4,0),"")</f>
        <v>EGB6013RE_EXP </v>
      </c>
      <c r="D39" s="15" t="str">
        <f>IFERROR(VLOOKUP(E39,'(新)EG'!$A$3:$K$84,5,0),"")</f>
        <v> ＡＭＡＤＡ　ＡＭＥＲＩＣＡ　ＩＮＣ． </v>
      </c>
      <c r="E39" s="23" t="str">
        <f>'(新)EG'!$A40</f>
        <v> TS60109116 </v>
      </c>
      <c r="F39" s="16" t="str">
        <f>IFERROR(VLOOKUP(E39,'(新)EG'!$A$3:$K$84,8,0),"")</f>
        <v>0E1244 </v>
      </c>
      <c r="G39" s="7" t="str">
        <f>IFERROR(VLOOKUP(E39,'(旧)EG'!$A$3:$K$100,10,0),"")</f>
        <v>2026/10/14 </v>
      </c>
      <c r="H39" s="12" t="s">
        <v>60</v>
      </c>
      <c r="I39" s="7" t="str">
        <f>IFERROR(VLOOKUP(E39,'(新)EG'!$A$3:$K$84,10,0),"")</f>
        <v>2026/10/14 </v>
      </c>
    </row>
    <row r="40" spans="1:9" s="19" customFormat="1" ht="13.8" thickBot="1" x14ac:dyDescent="0.2">
      <c r="A40" s="11">
        <v>39</v>
      </c>
      <c r="B40" s="7" t="str">
        <f>IFERROR(VLOOKUP(E40,'(新)EG'!$A$3:$K$84,2,0),"")</f>
        <v>11月 </v>
      </c>
      <c r="C40" s="7" t="str">
        <f>IFERROR(VLOOKUP(E40,'(新)EG'!$A$3:$K$84,4,0),"")</f>
        <v>EGB6013RE_EXP </v>
      </c>
      <c r="D40" s="15" t="str">
        <f>IFERROR(VLOOKUP(E40,'(新)EG'!$A$3:$K$84,5,0),"")</f>
        <v> ＡＭＡＤＡ　ＡＭＥＲＩＣＡ　ＩＮＣ． </v>
      </c>
      <c r="E40" s="23" t="str">
        <f>'(新)EG'!$A41</f>
        <v> TS60109118 </v>
      </c>
      <c r="F40" s="16" t="str">
        <f>IFERROR(VLOOKUP(E40,'(新)EG'!$A$3:$K$84,8,0),"")</f>
        <v>0E1244 </v>
      </c>
      <c r="G40" s="7" t="str">
        <f>IFERROR(VLOOKUP(E40,'(旧)EG'!$A$3:$K$100,10,0),"")</f>
        <v>2026/10/14 </v>
      </c>
      <c r="H40" s="12" t="s">
        <v>60</v>
      </c>
      <c r="I40" s="7" t="str">
        <f>IFERROR(VLOOKUP(E40,'(新)EG'!$A$3:$K$84,10,0),"")</f>
        <v>2026/10/14 </v>
      </c>
    </row>
    <row r="41" spans="1:9" s="19" customFormat="1" ht="13.8" thickBot="1" x14ac:dyDescent="0.2">
      <c r="A41" s="11">
        <v>40</v>
      </c>
      <c r="B41" s="7" t="str">
        <f>IFERROR(VLOOKUP(E41,'(新)EG'!$A$3:$K$84,2,0),"")</f>
        <v>11月 </v>
      </c>
      <c r="C41" s="7" t="str">
        <f>IFERROR(VLOOKUP(E41,'(新)EG'!$A$3:$K$84,4,0),"")</f>
        <v>EGB4010E </v>
      </c>
      <c r="D41" s="15" t="str">
        <f>IFERROR(VLOOKUP(E41,'(新)EG'!$A$3:$K$84,5,0),"")</f>
        <v> （株）トーカイパネル </v>
      </c>
      <c r="E41" s="23" t="str">
        <f>'(新)EG'!$A42</f>
        <v> TS41077218 </v>
      </c>
      <c r="F41" s="16" t="str">
        <f>IFERROR(VLOOKUP(E41,'(新)EG'!$A$3:$K$84,8,0),"")</f>
        <v>0E3361 </v>
      </c>
      <c r="G41" s="7" t="str">
        <f>IFERROR(VLOOKUP(E41,'(旧)EG'!$A$3:$K$100,10,0),"")</f>
        <v>2026/10/22 </v>
      </c>
      <c r="H41" s="12" t="s">
        <v>60</v>
      </c>
      <c r="I41" s="7" t="str">
        <f>IFERROR(VLOOKUP(E41,'(新)EG'!$A$3:$K$84,10,0),"")</f>
        <v>2026/10/22 </v>
      </c>
    </row>
    <row r="42" spans="1:9" s="19" customFormat="1" ht="13.8" thickBot="1" x14ac:dyDescent="0.2">
      <c r="A42" s="11">
        <v>41</v>
      </c>
      <c r="B42" s="7" t="str">
        <f>IFERROR(VLOOKUP(E42,'(新)EG'!$A$3:$K$84,2,0),"")</f>
        <v>11月 </v>
      </c>
      <c r="C42" s="7" t="str">
        <f>IFERROR(VLOOKUP(E42,'(新)EG'!$A$3:$K$84,4,0),"")</f>
        <v>EGB4010E_EX </v>
      </c>
      <c r="D42" s="15" t="str">
        <f>IFERROR(VLOOKUP(E42,'(新)EG'!$A$3:$K$84,5,0),"")</f>
        <v> ＡＭＡＤＡ　ＴＡＩＷＡＮ　ＩＮＣ． </v>
      </c>
      <c r="E42" s="23" t="str">
        <f>'(新)EG'!$A43</f>
        <v> TS41077220 </v>
      </c>
      <c r="F42" s="16" t="str">
        <f>IFERROR(VLOOKUP(E42,'(新)EG'!$A$3:$K$84,8,0),"")</f>
        <v>0E3362 </v>
      </c>
      <c r="G42" s="7" t="str">
        <f>IFERROR(VLOOKUP(E42,'(旧)EG'!$A$3:$K$100,10,0),"")</f>
        <v>2026/10/22 </v>
      </c>
      <c r="H42" s="12" t="s">
        <v>60</v>
      </c>
      <c r="I42" s="7" t="str">
        <f>IFERROR(VLOOKUP(E42,'(新)EG'!$A$3:$K$84,10,0),"")</f>
        <v>2026/10/22 </v>
      </c>
    </row>
    <row r="43" spans="1:9" s="19" customFormat="1" ht="13.8" thickBot="1" x14ac:dyDescent="0.2">
      <c r="A43" s="11">
        <v>42</v>
      </c>
      <c r="B43" s="7" t="str">
        <f>IFERROR(VLOOKUP(E43,'(新)EG'!$A$3:$K$84,2,0),"")</f>
        <v>11月 </v>
      </c>
      <c r="C43" s="7" t="str">
        <f>IFERROR(VLOOKUP(E43,'(新)EG'!$A$3:$K$84,4,0),"")</f>
        <v>EGB4010E_EX </v>
      </c>
      <c r="D43" s="15" t="str">
        <f>IFERROR(VLOOKUP(E43,'(新)EG'!$A$3:$K$84,5,0),"")</f>
        <v> ＡＭＡＤＡ　ＡＭＥＲＩＣＡ　ＩＮＣ． </v>
      </c>
      <c r="E43" s="23" t="str">
        <f>'(新)EG'!$A44</f>
        <v> TS41077222 </v>
      </c>
      <c r="F43" s="16" t="str">
        <f>IFERROR(VLOOKUP(E43,'(新)EG'!$A$3:$K$84,8,0),"")</f>
        <v>0E3362 </v>
      </c>
      <c r="G43" s="7" t="str">
        <f>IFERROR(VLOOKUP(E43,'(旧)EG'!$A$3:$K$100,10,0),"")</f>
        <v>2026/10/22 </v>
      </c>
      <c r="H43" s="12" t="s">
        <v>60</v>
      </c>
      <c r="I43" s="7" t="str">
        <f>IFERROR(VLOOKUP(E43,'(新)EG'!$A$3:$K$84,10,0),"")</f>
        <v>2026/10/22 </v>
      </c>
    </row>
    <row r="44" spans="1:9" s="19" customFormat="1" ht="13.8" thickBot="1" x14ac:dyDescent="0.2">
      <c r="A44" s="11">
        <v>43</v>
      </c>
      <c r="B44" s="7" t="str">
        <f>IFERROR(VLOOKUP(E44,'(新)EG'!$A$3:$K$84,2,0),"")</f>
        <v>11月 </v>
      </c>
      <c r="C44" s="7" t="str">
        <f>IFERROR(VLOOKUP(E44,'(新)EG'!$A$3:$K$84,4,0),"")</f>
        <v>EGB6013E_EXP </v>
      </c>
      <c r="D44" s="15" t="str">
        <f>IFERROR(VLOOKUP(E44,'(新)EG'!$A$3:$K$84,5,0),"")</f>
        <v> ＡＭＡＤＡ　ＣＡＮＡＤＡ　ＬＴＤ． </v>
      </c>
      <c r="E44" s="23" t="str">
        <f>'(新)EG'!$A45</f>
        <v> TS61377165 </v>
      </c>
      <c r="F44" s="16" t="str">
        <f>IFERROR(VLOOKUP(E44,'(新)EG'!$A$3:$K$84,8,0),"")</f>
        <v>0E5525 </v>
      </c>
      <c r="G44" s="7" t="str">
        <f>IFERROR(VLOOKUP(E44,'(旧)EG'!$A$3:$K$100,10,0),"")</f>
        <v>2026/10/22 </v>
      </c>
      <c r="H44" s="12" t="s">
        <v>60</v>
      </c>
      <c r="I44" s="7" t="str">
        <f>IFERROR(VLOOKUP(E44,'(新)EG'!$A$3:$K$84,10,0),"")</f>
        <v>2026/10/22 </v>
      </c>
    </row>
    <row r="45" spans="1:9" s="19" customFormat="1" ht="13.8" thickBot="1" x14ac:dyDescent="0.2">
      <c r="A45" s="11">
        <v>44</v>
      </c>
      <c r="B45" s="7" t="str">
        <f>IFERROR(VLOOKUP(E45,'(新)EG'!$A$3:$K$84,2,0),"")</f>
        <v>11月 </v>
      </c>
      <c r="C45" s="7" t="str">
        <f>IFERROR(VLOOKUP(E45,'(新)EG'!$A$3:$K$84,4,0),"")</f>
        <v>EGB4010E </v>
      </c>
      <c r="D45" s="15" t="str">
        <f>IFERROR(VLOOKUP(E45,'(新)EG'!$A$3:$K$84,5,0),"")</f>
        <v> （株）アマダベンディングＳ部 </v>
      </c>
      <c r="E45" s="23" t="str">
        <f>'(新)EG'!$A46</f>
        <v> TS41077217 </v>
      </c>
      <c r="F45" s="16" t="str">
        <f>IFERROR(VLOOKUP(E45,'(新)EG'!$A$3:$K$84,8,0),"")</f>
        <v>0E3361 </v>
      </c>
      <c r="G45" s="7" t="str">
        <f>IFERROR(VLOOKUP(E45,'(旧)EG'!$A$3:$K$100,10,0),"")</f>
        <v>2026/10/28 </v>
      </c>
      <c r="H45" s="12" t="s">
        <v>60</v>
      </c>
      <c r="I45" s="7" t="str">
        <f>IFERROR(VLOOKUP(E45,'(新)EG'!$A$3:$K$84,10,0),"")</f>
        <v>2026/10/28 </v>
      </c>
    </row>
    <row r="46" spans="1:9" s="19" customFormat="1" ht="13.8" thickBot="1" x14ac:dyDescent="0.2">
      <c r="A46" s="11">
        <v>45</v>
      </c>
      <c r="B46" s="7" t="str">
        <f>IFERROR(VLOOKUP(E46,'(新)EG'!$A$3:$K$84,2,0),"")</f>
        <v>11月 </v>
      </c>
      <c r="C46" s="7" t="str">
        <f>IFERROR(VLOOKUP(E46,'(新)EG'!$A$3:$K$84,4,0),"")</f>
        <v>EGB4010E </v>
      </c>
      <c r="D46" s="15" t="str">
        <f>IFERROR(VLOOKUP(E46,'(新)EG'!$A$3:$K$84,5,0),"")</f>
        <v> （株）アマダベンディングＳ部 </v>
      </c>
      <c r="E46" s="23" t="str">
        <f>'(新)EG'!$A47</f>
        <v> TS41077219 </v>
      </c>
      <c r="F46" s="16" t="str">
        <f>IFERROR(VLOOKUP(E46,'(新)EG'!$A$3:$K$84,8,0),"")</f>
        <v>0E3361 </v>
      </c>
      <c r="G46" s="7" t="str">
        <f>IFERROR(VLOOKUP(E46,'(旧)EG'!$A$3:$K$100,10,0),"")</f>
        <v>2026/10/28 </v>
      </c>
      <c r="H46" s="12" t="s">
        <v>60</v>
      </c>
      <c r="I46" s="7" t="str">
        <f>IFERROR(VLOOKUP(E46,'(新)EG'!$A$3:$K$84,10,0),"")</f>
        <v>2026/10/28 </v>
      </c>
    </row>
    <row r="47" spans="1:9" s="19" customFormat="1" ht="13.8" thickBot="1" x14ac:dyDescent="0.2">
      <c r="A47" s="11">
        <v>46</v>
      </c>
      <c r="B47" s="7" t="str">
        <f>IFERROR(VLOOKUP(E47,'(新)EG'!$A$3:$K$84,2,0),"")</f>
        <v>12月 </v>
      </c>
      <c r="C47" s="7" t="str">
        <f>IFERROR(VLOOKUP(E47,'(新)EG'!$A$3:$K$84,4,0),"")</f>
        <v>EGB4010E </v>
      </c>
      <c r="D47" s="15" t="str">
        <f>IFERROR(VLOOKUP(E47,'(新)EG'!$A$3:$K$84,5,0),"")</f>
        <v> 愛媛県立愛媛中央産業技術専門校 </v>
      </c>
      <c r="E47" s="23" t="str">
        <f>'(新)EG'!$A48</f>
        <v> TS41077223 </v>
      </c>
      <c r="F47" s="16" t="str">
        <f>IFERROR(VLOOKUP(E47,'(新)EG'!$A$3:$K$84,8,0),"")</f>
        <v>0E3361 </v>
      </c>
      <c r="G47" s="7" t="str">
        <f>IFERROR(VLOOKUP(E47,'(旧)EG'!$A$3:$K$100,10,0),"")</f>
        <v>2026/11/17 </v>
      </c>
      <c r="H47" s="12" t="s">
        <v>60</v>
      </c>
      <c r="I47" s="7" t="str">
        <f>IFERROR(VLOOKUP(E47,'(新)EG'!$A$3:$K$84,10,0),"")</f>
        <v>2026/11/17 </v>
      </c>
    </row>
    <row r="48" spans="1:9" s="19" customFormat="1" ht="13.8" thickBot="1" x14ac:dyDescent="0.2">
      <c r="A48" s="11">
        <v>47</v>
      </c>
      <c r="B48" s="7" t="str">
        <f>IFERROR(VLOOKUP(E48,'(新)EG'!$A$3:$K$84,2,0),"")</f>
        <v>12月 </v>
      </c>
      <c r="C48" s="7" t="str">
        <f>IFERROR(VLOOKUP(E48,'(新)EG'!$A$3:$K$84,4,0),"")</f>
        <v>EGB4010E </v>
      </c>
      <c r="D48" s="15" t="str">
        <f>IFERROR(VLOOKUP(E48,'(新)EG'!$A$3:$K$84,5,0),"")</f>
        <v> （株）モハラテクニカ </v>
      </c>
      <c r="E48" s="23" t="str">
        <f>'(新)EG'!$A49</f>
        <v> TS41077224 </v>
      </c>
      <c r="F48" s="16" t="str">
        <f>IFERROR(VLOOKUP(E48,'(新)EG'!$A$3:$K$84,8,0),"")</f>
        <v>0E3361 </v>
      </c>
      <c r="G48" s="7" t="str">
        <f>IFERROR(VLOOKUP(E48,'(旧)EG'!$A$3:$K$100,10,0),"")</f>
        <v>2026/11/18 </v>
      </c>
      <c r="H48" s="12" t="s">
        <v>60</v>
      </c>
      <c r="I48" s="7" t="str">
        <f>IFERROR(VLOOKUP(E48,'(新)EG'!$A$3:$K$84,10,0),"")</f>
        <v>2026/11/18 </v>
      </c>
    </row>
    <row r="49" spans="1:9" s="19" customFormat="1" ht="13.8" thickBot="1" x14ac:dyDescent="0.2">
      <c r="A49" s="11">
        <v>48</v>
      </c>
      <c r="B49" s="7" t="str">
        <f>IFERROR(VLOOKUP(E49,'(新)EG'!$A$3:$K$84,2,0),"")</f>
        <v>12月 </v>
      </c>
      <c r="C49" s="7" t="str">
        <f>IFERROR(VLOOKUP(E49,'(新)EG'!$A$3:$K$84,4,0),"")</f>
        <v>EGB6013RE </v>
      </c>
      <c r="D49" s="15" t="str">
        <f>IFERROR(VLOOKUP(E49,'(新)EG'!$A$3:$K$84,5,0),"")</f>
        <v> （株）エスイージー </v>
      </c>
      <c r="E49" s="23" t="str">
        <f>'(新)EG'!$A50</f>
        <v> TS60109109 </v>
      </c>
      <c r="F49" s="16" t="str">
        <f>IFERROR(VLOOKUP(E49,'(新)EG'!$A$3:$K$84,8,0),"")</f>
        <v>0E1241 </v>
      </c>
      <c r="G49" s="7" t="str">
        <f>IFERROR(VLOOKUP(E49,'(旧)EG'!$A$3:$K$100,10,0),"")</f>
        <v>2026/11/18 </v>
      </c>
      <c r="H49" s="12" t="s">
        <v>60</v>
      </c>
      <c r="I49" s="7" t="str">
        <f>IFERROR(VLOOKUP(E49,'(新)EG'!$A$3:$K$84,10,0),"")</f>
        <v>2026/11/18 </v>
      </c>
    </row>
    <row r="50" spans="1:9" s="19" customFormat="1" ht="13.8" thickBot="1" x14ac:dyDescent="0.2">
      <c r="A50" s="11">
        <v>49</v>
      </c>
      <c r="B50" s="7" t="str">
        <f>IFERROR(VLOOKUP(E50,'(新)EG'!$A$3:$K$84,2,0),"")</f>
        <v>12月 </v>
      </c>
      <c r="C50" s="7" t="str">
        <f>IFERROR(VLOOKUP(E50,'(新)EG'!$A$3:$K$84,4,0),"")</f>
        <v>EGB4010E_EX </v>
      </c>
      <c r="D50" s="15" t="str">
        <f>IFERROR(VLOOKUP(E50,'(新)EG'!$A$3:$K$84,5,0),"")</f>
        <v> 【ベトナム】NISSIN </v>
      </c>
      <c r="E50" s="23" t="str">
        <f>'(新)EG'!$A51</f>
        <v> TS41077227 </v>
      </c>
      <c r="F50" s="16" t="str">
        <f>IFERROR(VLOOKUP(E50,'(新)EG'!$A$3:$K$84,8,0),"")</f>
        <v>0E3362 </v>
      </c>
      <c r="G50" s="7" t="str">
        <f>IFERROR(VLOOKUP(E50,'(旧)EG'!$A$3:$K$100,10,0),"")</f>
        <v>2026/11/19 </v>
      </c>
      <c r="H50" s="12" t="s">
        <v>60</v>
      </c>
      <c r="I50" s="7" t="str">
        <f>IFERROR(VLOOKUP(E50,'(新)EG'!$A$3:$K$84,10,0),"")</f>
        <v>2026/11/19 </v>
      </c>
    </row>
    <row r="51" spans="1:9" s="19" customFormat="1" ht="13.8" thickBot="1" x14ac:dyDescent="0.2">
      <c r="A51" s="11">
        <v>50</v>
      </c>
      <c r="B51" s="7" t="str">
        <f>IFERROR(VLOOKUP(E51,'(新)EG'!$A$3:$K$84,2,0),"")</f>
        <v>12月 </v>
      </c>
      <c r="C51" s="7" t="str">
        <f>IFERROR(VLOOKUP(E51,'(新)EG'!$A$3:$K$84,4,0),"")</f>
        <v>EGB4010E </v>
      </c>
      <c r="D51" s="15" t="str">
        <f>IFERROR(VLOOKUP(E51,'(新)EG'!$A$3:$K$84,5,0),"")</f>
        <v> スター工業（株） </v>
      </c>
      <c r="E51" s="23" t="str">
        <f>'(新)EG'!$A52</f>
        <v> TS41077225 </v>
      </c>
      <c r="F51" s="16" t="str">
        <f>IFERROR(VLOOKUP(E51,'(新)EG'!$A$3:$K$84,8,0),"")</f>
        <v>0E3361 </v>
      </c>
      <c r="G51" s="7" t="str">
        <f>IFERROR(VLOOKUP(E51,'(旧)EG'!$A$3:$K$100,10,0),"")</f>
        <v>2026/11/21 </v>
      </c>
      <c r="H51" s="12" t="s">
        <v>60</v>
      </c>
      <c r="I51" s="7" t="str">
        <f>IFERROR(VLOOKUP(E51,'(新)EG'!$A$3:$K$84,10,0),"")</f>
        <v>2026/11/21 </v>
      </c>
    </row>
    <row r="52" spans="1:9" s="19" customFormat="1" ht="13.8" thickBot="1" x14ac:dyDescent="0.2">
      <c r="A52" s="11">
        <v>51</v>
      </c>
      <c r="B52" s="7" t="str">
        <f>IFERROR(VLOOKUP(E52,'(新)EG'!$A$3:$K$84,2,0),"")</f>
        <v>12月 </v>
      </c>
      <c r="C52" s="7" t="str">
        <f>IFERROR(VLOOKUP(E52,'(新)EG'!$A$3:$K$84,4,0),"")</f>
        <v>EGB6013RE </v>
      </c>
      <c r="D52" s="15" t="str">
        <f>IFERROR(VLOOKUP(E52,'(新)EG'!$A$3:$K$84,5,0),"")</f>
        <v> （株）新生工業 </v>
      </c>
      <c r="E52" s="23" t="str">
        <f>'(新)EG'!$A53</f>
        <v> TS60109119 </v>
      </c>
      <c r="F52" s="16" t="str">
        <f>IFERROR(VLOOKUP(E52,'(新)EG'!$A$3:$K$84,8,0),"")</f>
        <v>0E1241 </v>
      </c>
      <c r="G52" s="7" t="str">
        <f>IFERROR(VLOOKUP(E52,'(旧)EG'!$A$3:$K$100,10,0),"")</f>
        <v>2026/11/24 </v>
      </c>
      <c r="H52" s="12" t="s">
        <v>60</v>
      </c>
      <c r="I52" s="7" t="str">
        <f>IFERROR(VLOOKUP(E52,'(新)EG'!$A$3:$K$84,10,0),"")</f>
        <v>2026/11/24 </v>
      </c>
    </row>
    <row r="53" spans="1:9" s="19" customFormat="1" ht="13.8" thickBot="1" x14ac:dyDescent="0.2">
      <c r="A53" s="11">
        <v>52</v>
      </c>
      <c r="B53" s="7" t="str">
        <f>IFERROR(VLOOKUP(E53,'(新)EG'!$A$3:$K$84,2,0),"")</f>
        <v>12月 </v>
      </c>
      <c r="C53" s="7" t="str">
        <f>IFERROR(VLOOKUP(E53,'(新)EG'!$A$3:$K$84,4,0),"")</f>
        <v>EGB4010E </v>
      </c>
      <c r="D53" s="15" t="str">
        <f>IFERROR(VLOOKUP(E53,'(新)EG'!$A$3:$K$84,5,0),"")</f>
        <v> （株）アマダベンディングＳ部 </v>
      </c>
      <c r="E53" s="23" t="str">
        <f>'(新)EG'!$A54</f>
        <v> TS41077226 </v>
      </c>
      <c r="F53" s="16" t="str">
        <f>IFERROR(VLOOKUP(E53,'(新)EG'!$A$3:$K$84,8,0),"")</f>
        <v>0E3361 </v>
      </c>
      <c r="G53" s="7" t="str">
        <f>IFERROR(VLOOKUP(E53,'(旧)EG'!$A$3:$K$100,10,0),"")</f>
        <v>2026/11/24 </v>
      </c>
      <c r="H53" s="12" t="s">
        <v>60</v>
      </c>
      <c r="I53" s="7" t="str">
        <f>IFERROR(VLOOKUP(E53,'(新)EG'!$A$3:$K$84,10,0),"")</f>
        <v>2026/11/24 </v>
      </c>
    </row>
    <row r="54" spans="1:9" s="19" customFormat="1" ht="13.8" thickBot="1" x14ac:dyDescent="0.2">
      <c r="A54" s="11">
        <v>53</v>
      </c>
      <c r="B54" s="7" t="str">
        <f>IFERROR(VLOOKUP(E54,'(新)EG'!$A$3:$K$84,2,0),"")</f>
        <v>12月 </v>
      </c>
      <c r="C54" s="7" t="str">
        <f>IFERROR(VLOOKUP(E54,'(新)EG'!$A$3:$K$84,4,0),"")</f>
        <v>EGB4010E_EX </v>
      </c>
      <c r="D54" s="15" t="str">
        <f>IFERROR(VLOOKUP(E54,'(新)EG'!$A$3:$K$84,5,0),"")</f>
        <v> 【ベトナム】NISSIN </v>
      </c>
      <c r="E54" s="23" t="str">
        <f>'(新)EG'!$A55</f>
        <v> TS41077228 </v>
      </c>
      <c r="F54" s="16" t="str">
        <f>IFERROR(VLOOKUP(E54,'(新)EG'!$A$3:$K$84,8,0),"")</f>
        <v>0E3362 </v>
      </c>
      <c r="G54" s="7" t="str">
        <f>IFERROR(VLOOKUP(E54,'(旧)EG'!$A$3:$K$100,10,0),"")</f>
        <v>2026/11/26 </v>
      </c>
      <c r="H54" s="12" t="s">
        <v>60</v>
      </c>
      <c r="I54" s="7" t="str">
        <f>IFERROR(VLOOKUP(E54,'(新)EG'!$A$3:$K$84,10,0),"")</f>
        <v>2026/11/26 </v>
      </c>
    </row>
    <row r="55" spans="1:9" s="19" customFormat="1" ht="13.8" thickBot="1" x14ac:dyDescent="0.2">
      <c r="A55" s="11">
        <v>54</v>
      </c>
      <c r="B55" s="7" t="str">
        <f>IFERROR(VLOOKUP(E55,'(新)EG'!$A$3:$K$84,2,0),"")</f>
        <v>12月 </v>
      </c>
      <c r="C55" s="7" t="str">
        <f>IFERROR(VLOOKUP(E55,'(新)EG'!$A$3:$K$84,4,0),"")</f>
        <v>EGB6013E_EXP </v>
      </c>
      <c r="D55" s="15" t="str">
        <f>IFERROR(VLOOKUP(E55,'(新)EG'!$A$3:$K$84,5,0),"")</f>
        <v> ＡＭＡＤＡ　ＡＭＥＲＩＣＡ　ＩＮＣ． </v>
      </c>
      <c r="E55" s="23" t="str">
        <f>'(新)EG'!$A56</f>
        <v> TS61377169 </v>
      </c>
      <c r="F55" s="16" t="str">
        <f>IFERROR(VLOOKUP(E55,'(新)EG'!$A$3:$K$84,8,0),"")</f>
        <v>0E5525 </v>
      </c>
      <c r="G55" s="7" t="str">
        <f>IFERROR(VLOOKUP(E55,'(旧)EG'!$A$3:$K$100,10,0),"")</f>
        <v>2026/11/27 </v>
      </c>
      <c r="H55" s="12" t="s">
        <v>60</v>
      </c>
      <c r="I55" s="7" t="str">
        <f>IFERROR(VLOOKUP(E55,'(新)EG'!$A$3:$K$84,10,0),"")</f>
        <v>2026/11/27 </v>
      </c>
    </row>
    <row r="56" spans="1:9" s="19" customFormat="1" ht="13.8" thickBot="1" x14ac:dyDescent="0.2">
      <c r="A56" s="11">
        <v>55</v>
      </c>
      <c r="B56" s="7" t="str">
        <f>IFERROR(VLOOKUP(E56,'(新)EG'!$A$3:$K$84,2,0),"")</f>
        <v>12月 </v>
      </c>
      <c r="C56" s="7" t="str">
        <f>IFERROR(VLOOKUP(E56,'(新)EG'!$A$3:$K$84,4,0),"")</f>
        <v>EGB6013E_EXP </v>
      </c>
      <c r="D56" s="15" t="str">
        <f>IFERROR(VLOOKUP(E56,'(新)EG'!$A$3:$K$84,5,0),"")</f>
        <v> ＡＭＡＤＡ　ＡＭＥＲＩＣＡ　ＩＮＣ． </v>
      </c>
      <c r="E56" s="23" t="str">
        <f>'(新)EG'!$A57</f>
        <v> TS61377170 </v>
      </c>
      <c r="F56" s="16" t="str">
        <f>IFERROR(VLOOKUP(E56,'(新)EG'!$A$3:$K$84,8,0),"")</f>
        <v>0E5525 </v>
      </c>
      <c r="G56" s="7" t="str">
        <f>IFERROR(VLOOKUP(E56,'(旧)EG'!$A$3:$K$100,10,0),"")</f>
        <v>2026/11/28 </v>
      </c>
      <c r="H56" s="12" t="s">
        <v>60</v>
      </c>
      <c r="I56" s="7" t="str">
        <f>IFERROR(VLOOKUP(E56,'(新)EG'!$A$3:$K$84,10,0),"")</f>
        <v>2026/11/28 </v>
      </c>
    </row>
    <row r="57" spans="1:9" s="19" customFormat="1" ht="13.8" thickBot="1" x14ac:dyDescent="0.2">
      <c r="A57" s="11">
        <v>57</v>
      </c>
      <c r="B57" s="7" t="str">
        <f>IFERROR(VLOOKUP(E57,'(新)EG'!$A$3:$K$84,2,0),"")</f>
        <v>12月 </v>
      </c>
      <c r="C57" s="7" t="str">
        <f>IFERROR(VLOOKUP(E57,'(新)EG'!$A$3:$K$84,4,0),"")</f>
        <v>EGB6013RE </v>
      </c>
      <c r="D57" s="15" t="str">
        <f>IFERROR(VLOOKUP(E57,'(新)EG'!$A$3:$K$84,5,0),"")</f>
        <v> （株）ＳＡＮＭＡＴＳＵ </v>
      </c>
      <c r="E57" s="23" t="str">
        <f>'(新)EG'!$A58</f>
        <v> TS60109120 </v>
      </c>
      <c r="F57" s="16" t="str">
        <f>IFERROR(VLOOKUP(E57,'(新)EG'!$A$3:$K$84,8,0),"")</f>
        <v>0E1241 </v>
      </c>
      <c r="G57" s="7" t="str">
        <f>IFERROR(VLOOKUP(E57,'(旧)EG'!$A$3:$K$100,10,0),"")</f>
        <v>2026/12/01 </v>
      </c>
      <c r="H57" s="12" t="s">
        <v>60</v>
      </c>
      <c r="I57" s="7" t="str">
        <f>IFERROR(VLOOKUP(E57,'(新)EG'!$A$3:$K$84,10,0),"")</f>
        <v>2026/12/01 </v>
      </c>
    </row>
    <row r="58" spans="1:9" s="19" customFormat="1" ht="13.8" thickBot="1" x14ac:dyDescent="0.2">
      <c r="A58" s="11">
        <v>58</v>
      </c>
      <c r="B58" s="7" t="str">
        <f>IFERROR(VLOOKUP(E58,'(新)EG'!$A$3:$K$84,2,0),"")</f>
        <v>12月 </v>
      </c>
      <c r="C58" s="7" t="str">
        <f>IFERROR(VLOOKUP(E58,'(新)EG'!$A$3:$K$84,4,0),"")</f>
        <v>EGB6013RE_EXP </v>
      </c>
      <c r="D58" s="15" t="str">
        <f>IFERROR(VLOOKUP(E58,'(新)EG'!$A$3:$K$84,5,0),"")</f>
        <v> CHINA </v>
      </c>
      <c r="E58" s="23" t="str">
        <f>'(新)EG'!$A59</f>
        <v> TS60109121 </v>
      </c>
      <c r="F58" s="16" t="str">
        <f>IFERROR(VLOOKUP(E58,'(新)EG'!$A$3:$K$84,8,0),"")</f>
        <v>0E1244 </v>
      </c>
      <c r="G58" s="7" t="str">
        <f>IFERROR(VLOOKUP(E58,'(旧)EG'!$A$3:$K$100,10,0),"")</f>
        <v>2026/12/01 </v>
      </c>
      <c r="H58" s="12" t="s">
        <v>60</v>
      </c>
      <c r="I58" s="7" t="str">
        <f>IFERROR(VLOOKUP(E58,'(新)EG'!$A$3:$K$84,10,0),"")</f>
        <v>2026/12/01 </v>
      </c>
    </row>
    <row r="59" spans="1:9" s="19" customFormat="1" ht="13.8" thickBot="1" x14ac:dyDescent="0.2">
      <c r="A59" s="11">
        <v>59</v>
      </c>
      <c r="B59" s="7" t="str">
        <f>IFERROR(VLOOKUP(E59,'(新)EG'!$A$3:$K$84,2,0),"")</f>
        <v>12月 </v>
      </c>
      <c r="C59" s="7" t="str">
        <f>IFERROR(VLOOKUP(E59,'(新)EG'!$A$3:$K$84,4,0),"")</f>
        <v>EGB6013E_EXP </v>
      </c>
      <c r="D59" s="15" t="str">
        <f>IFERROR(VLOOKUP(E59,'(新)EG'!$A$3:$K$84,5,0),"")</f>
        <v> ＡＭＡＤＡ　ＡＭＥＲＩＣＡ　ＩＮＣ． </v>
      </c>
      <c r="E59" s="23" t="str">
        <f>'(新)EG'!$A60</f>
        <v> TS61377171 </v>
      </c>
      <c r="F59" s="16" t="str">
        <f>IFERROR(VLOOKUP(E59,'(新)EG'!$A$3:$K$84,8,0),"")</f>
        <v>0E5525 </v>
      </c>
      <c r="G59" s="7" t="str">
        <f>IFERROR(VLOOKUP(E59,'(旧)EG'!$A$3:$K$100,10,0),"")</f>
        <v>2026/12/02 </v>
      </c>
      <c r="H59" s="12" t="s">
        <v>60</v>
      </c>
      <c r="I59" s="7" t="str">
        <f>IFERROR(VLOOKUP(E59,'(新)EG'!$A$3:$K$84,10,0),"")</f>
        <v>2026/12/02 </v>
      </c>
    </row>
    <row r="60" spans="1:9" s="19" customFormat="1" ht="13.8" thickBot="1" x14ac:dyDescent="0.2">
      <c r="A60" s="11">
        <v>63</v>
      </c>
      <c r="B60" s="7" t="str">
        <f>IFERROR(VLOOKUP(E60,'(新)EG'!$A$3:$K$84,2,0),"")</f>
        <v>12月 </v>
      </c>
      <c r="C60" s="7" t="str">
        <f>IFERROR(VLOOKUP(E60,'(新)EG'!$A$3:$K$84,4,0),"")</f>
        <v>EGB4010E_EX </v>
      </c>
      <c r="D60" s="15" t="str">
        <f>IFERROR(VLOOKUP(E60,'(新)EG'!$A$3:$K$84,5,0),"")</f>
        <v> ＡＭＡＤＡ　ＴＡＩＷＡＮ　ＩＮＣ． </v>
      </c>
      <c r="E60" s="23" t="str">
        <f>'(新)EG'!$A61</f>
        <v> TS41077229 </v>
      </c>
      <c r="F60" s="16" t="str">
        <f>IFERROR(VLOOKUP(E60,'(新)EG'!$A$3:$K$84,8,0),"")</f>
        <v>0E3362 </v>
      </c>
      <c r="G60" s="7" t="str">
        <f>IFERROR(VLOOKUP(E60,'(旧)EG'!$A$3:$K$100,10,0),"")</f>
        <v>2026/12/04 </v>
      </c>
      <c r="H60" s="12" t="s">
        <v>60</v>
      </c>
      <c r="I60" s="7" t="str">
        <f>IFERROR(VLOOKUP(E60,'(新)EG'!$A$3:$K$84,10,0),"")</f>
        <v>2026/12/04 </v>
      </c>
    </row>
    <row r="61" spans="1:9" s="19" customFormat="1" ht="13.8" thickBot="1" x14ac:dyDescent="0.2">
      <c r="A61" s="11">
        <v>65</v>
      </c>
      <c r="B61" s="7" t="str">
        <f>IFERROR(VLOOKUP(E61,'(新)EG'!$A$3:$K$84,2,0),"")</f>
        <v>12月 </v>
      </c>
      <c r="C61" s="7" t="str">
        <f>IFERROR(VLOOKUP(E61,'(新)EG'!$A$3:$K$84,4,0),"")</f>
        <v>EGB6013RE_EXP </v>
      </c>
      <c r="D61" s="15" t="str">
        <f>IFERROR(VLOOKUP(E61,'(新)EG'!$A$3:$K$84,5,0),"")</f>
        <v> ＡＭＡＤＡ　ＣＡＮＡＤＡ　ＬＴＤ． </v>
      </c>
      <c r="E61" s="23" t="str">
        <f>'(新)EG'!$A62</f>
        <v> TS60109122 </v>
      </c>
      <c r="F61" s="16" t="str">
        <f>IFERROR(VLOOKUP(E61,'(新)EG'!$A$3:$K$84,8,0),"")</f>
        <v>0E1244 </v>
      </c>
      <c r="G61" s="7" t="str">
        <f>IFERROR(VLOOKUP(E61,'(旧)EG'!$A$3:$K$100,10,0),"")</f>
        <v>2026/12/05 </v>
      </c>
      <c r="H61" s="12" t="s">
        <v>60</v>
      </c>
      <c r="I61" s="7" t="str">
        <f>IFERROR(VLOOKUP(E61,'(新)EG'!$A$3:$K$84,10,0),"")</f>
        <v>2026/12/05 </v>
      </c>
    </row>
    <row r="62" spans="1:9" s="19" customFormat="1" ht="13.8" thickBot="1" x14ac:dyDescent="0.2">
      <c r="A62" s="11">
        <v>72</v>
      </c>
      <c r="B62" s="7" t="str">
        <f>IFERROR(VLOOKUP(E62,'(新)EG'!$A$3:$K$84,2,0),"")</f>
        <v>12月 </v>
      </c>
      <c r="C62" s="7" t="str">
        <f>IFERROR(VLOOKUP(E62,'(新)EG'!$A$3:$K$84,4,0),"")</f>
        <v>EGB4010E_EX </v>
      </c>
      <c r="D62" s="15" t="str">
        <f>IFERROR(VLOOKUP(E62,'(新)EG'!$A$3:$K$84,5,0),"")</f>
        <v> ＡＭＡＤＡ　ＡＭＥＲＩＣＡ　ＩＮＣ． </v>
      </c>
      <c r="E62" s="23" t="str">
        <f>'(新)EG'!$A63</f>
        <v> TS41077230 </v>
      </c>
      <c r="F62" s="16" t="str">
        <f>IFERROR(VLOOKUP(E62,'(新)EG'!$A$3:$K$84,8,0),"")</f>
        <v>0E3362 </v>
      </c>
      <c r="G62" s="7" t="str">
        <f>IFERROR(VLOOKUP(E62,'(旧)EG'!$A$3:$K$100,10,0),"")</f>
        <v>2026/12/08 </v>
      </c>
      <c r="H62" s="12" t="s">
        <v>60</v>
      </c>
      <c r="I62" s="7" t="str">
        <f>IFERROR(VLOOKUP(E62,'(新)EG'!$A$3:$K$84,10,0),"")</f>
        <v>2026/12/08 </v>
      </c>
    </row>
    <row r="63" spans="1:9" s="19" customFormat="1" ht="13.8" thickBot="1" x14ac:dyDescent="0.2">
      <c r="A63" s="11">
        <v>71</v>
      </c>
      <c r="B63" s="7" t="str">
        <f>IFERROR(VLOOKUP(E63,'(新)EG'!$A$3:$K$84,2,0),"")</f>
        <v>12月 </v>
      </c>
      <c r="C63" s="7" t="str">
        <f>IFERROR(VLOOKUP(E63,'(新)EG'!$A$3:$K$84,4,0),"")</f>
        <v>EGB4010E_EX </v>
      </c>
      <c r="D63" s="15" t="str">
        <f>IFERROR(VLOOKUP(E63,'(新)EG'!$A$3:$K$84,5,0),"")</f>
        <v> ＡＭＡＤＡ　ＡＭＥＲＩＣＡ　ＩＮＣ． </v>
      </c>
      <c r="E63" s="23" t="str">
        <f>'(新)EG'!$A64</f>
        <v> TS41077231 </v>
      </c>
      <c r="F63" s="16" t="str">
        <f>IFERROR(VLOOKUP(E63,'(新)EG'!$A$3:$K$84,8,0),"")</f>
        <v>0E3362 </v>
      </c>
      <c r="G63" s="7" t="str">
        <f>IFERROR(VLOOKUP(E63,'(旧)EG'!$A$3:$K$100,10,0),"")</f>
        <v>2026/12/10 </v>
      </c>
      <c r="H63" s="12" t="s">
        <v>60</v>
      </c>
      <c r="I63" s="7" t="str">
        <f>IFERROR(VLOOKUP(E63,'(新)EG'!$A$3:$K$84,10,0),"")</f>
        <v>2026/12/10 </v>
      </c>
    </row>
    <row r="64" spans="1:9" s="19" customFormat="1" ht="13.8" thickBot="1" x14ac:dyDescent="0.2">
      <c r="A64" s="11">
        <v>75</v>
      </c>
      <c r="B64" s="7" t="str">
        <f>IFERROR(VLOOKUP(E64,'(新)EG'!$A$3:$K$84,2,0),"")</f>
        <v>12月 </v>
      </c>
      <c r="C64" s="7" t="str">
        <f>IFERROR(VLOOKUP(E64,'(新)EG'!$A$3:$K$84,4,0),"")</f>
        <v>EGB6013E </v>
      </c>
      <c r="D64" s="15" t="str">
        <f>IFERROR(VLOOKUP(E64,'(新)EG'!$A$3:$K$84,5,0),"")</f>
        <v> （有）三光製作所 </v>
      </c>
      <c r="E64" s="23" t="str">
        <f>'(新)EG'!$A65</f>
        <v> TS61377172 </v>
      </c>
      <c r="F64" s="16" t="str">
        <f>IFERROR(VLOOKUP(E64,'(新)EG'!$A$3:$K$84,8,0),"")</f>
        <v>0E5494 </v>
      </c>
      <c r="G64" s="7" t="str">
        <f>IFERROR(VLOOKUP(E64,'(旧)EG'!$A$3:$K$100,10,0),"")</f>
        <v>2026/12/11 </v>
      </c>
      <c r="H64" s="12" t="s">
        <v>60</v>
      </c>
      <c r="I64" s="7" t="str">
        <f>IFERROR(VLOOKUP(E64,'(新)EG'!$A$3:$K$84,10,0),"")</f>
        <v>2026/12/11 </v>
      </c>
    </row>
    <row r="65" spans="1:9" s="19" customFormat="1" ht="13.8" thickBot="1" x14ac:dyDescent="0.2">
      <c r="A65" s="11">
        <v>68</v>
      </c>
      <c r="B65" s="7" t="str">
        <f>IFERROR(VLOOKUP(E65,'(新)EG'!$A$3:$K$84,2,0),"")</f>
        <v>12月 </v>
      </c>
      <c r="C65" s="7" t="str">
        <f>IFERROR(VLOOKUP(E65,'(新)EG'!$A$3:$K$84,4,0),"")</f>
        <v>EGB6013E </v>
      </c>
      <c r="D65" s="15" t="str">
        <f>IFERROR(VLOOKUP(E65,'(新)EG'!$A$3:$K$84,5,0),"")</f>
        <v> 日本プレート精工（株） </v>
      </c>
      <c r="E65" s="23" t="str">
        <f>'(新)EG'!$A66</f>
        <v> TS61377173 </v>
      </c>
      <c r="F65" s="16" t="str">
        <f>IFERROR(VLOOKUP(E65,'(新)EG'!$A$3:$K$84,8,0),"")</f>
        <v>0E5494 </v>
      </c>
      <c r="G65" s="7" t="str">
        <f>IFERROR(VLOOKUP(E65,'(旧)EG'!$A$3:$K$100,10,0),"")</f>
        <v>2026/12/15 </v>
      </c>
      <c r="H65" s="12" t="s">
        <v>60</v>
      </c>
      <c r="I65" s="7" t="str">
        <f>IFERROR(VLOOKUP(E65,'(新)EG'!$A$3:$K$84,10,0),"")</f>
        <v>2026/12/15 </v>
      </c>
    </row>
    <row r="66" spans="1:9" s="19" customFormat="1" ht="13.8" thickBot="1" x14ac:dyDescent="0.2">
      <c r="A66" s="11">
        <v>80</v>
      </c>
      <c r="B66" s="7" t="str">
        <f>IFERROR(VLOOKUP(E66,'(新)EG'!$A$3:$K$84,2,0),"")</f>
        <v/>
      </c>
      <c r="C66" s="7" t="str">
        <f>IFERROR(VLOOKUP(E66,'(新)EG'!$A$3:$K$84,4,0),"")</f>
        <v/>
      </c>
      <c r="D66" s="15" t="str">
        <f>IFERROR(VLOOKUP(E66,'(新)EG'!$A$3:$K$84,5,0),"")</f>
        <v/>
      </c>
      <c r="E66" s="23">
        <f>'(新)EG'!$A67</f>
        <v>0</v>
      </c>
      <c r="F66" s="16" t="str">
        <f>IFERROR(VLOOKUP(E66,'(新)EG'!$A$3:$K$84,8,0),"")</f>
        <v/>
      </c>
      <c r="G66" s="7" t="str">
        <f>IFERROR(VLOOKUP(E66,'(旧)EG'!$A$3:$K$100,10,0),"")</f>
        <v/>
      </c>
      <c r="H66" s="12" t="s">
        <v>60</v>
      </c>
      <c r="I66" s="7" t="str">
        <f>IFERROR(VLOOKUP(E66,'(新)EG'!$A$3:$K$84,10,0),"")</f>
        <v/>
      </c>
    </row>
    <row r="67" spans="1:9" s="19" customFormat="1" ht="13.8" thickBot="1" x14ac:dyDescent="0.2">
      <c r="A67" s="11">
        <v>83</v>
      </c>
      <c r="B67" s="7" t="str">
        <f>IFERROR(VLOOKUP(E67,'(新)EG'!$A$3:$K$84,2,0),"")</f>
        <v/>
      </c>
      <c r="C67" s="7" t="str">
        <f>IFERROR(VLOOKUP(E67,'(新)EG'!$A$3:$K$84,4,0),"")</f>
        <v/>
      </c>
      <c r="D67" s="15" t="str">
        <f>IFERROR(VLOOKUP(E67,'(新)EG'!$A$3:$K$84,5,0),"")</f>
        <v/>
      </c>
      <c r="E67" s="23">
        <f>'(新)EG'!$A68</f>
        <v>0</v>
      </c>
      <c r="F67" s="16" t="str">
        <f>IFERROR(VLOOKUP(E67,'(新)EG'!$A$3:$K$84,8,0),"")</f>
        <v/>
      </c>
      <c r="G67" s="7" t="str">
        <f>IFERROR(VLOOKUP(E67,'(旧)EG'!$A$3:$K$100,10,0),"")</f>
        <v/>
      </c>
      <c r="H67" s="12" t="s">
        <v>60</v>
      </c>
      <c r="I67" s="7" t="str">
        <f>IFERROR(VLOOKUP(E67,'(新)EG'!$A$3:$K$84,10,0),"")</f>
        <v/>
      </c>
    </row>
    <row r="68" spans="1:9" s="19" customFormat="1" ht="13.8" thickBot="1" x14ac:dyDescent="0.2">
      <c r="A68" s="11">
        <v>74</v>
      </c>
      <c r="B68" s="7" t="str">
        <f>IFERROR(VLOOKUP(E68,'(新)EG'!$A$3:$K$84,2,0),"")</f>
        <v/>
      </c>
      <c r="C68" s="7" t="str">
        <f>IFERROR(VLOOKUP(E68,'(新)EG'!$A$3:$K$84,4,0),"")</f>
        <v/>
      </c>
      <c r="D68" s="15" t="str">
        <f>IFERROR(VLOOKUP(E68,'(新)EG'!$A$3:$K$84,5,0),"")</f>
        <v/>
      </c>
      <c r="E68" s="23">
        <f>'(新)EG'!$A69</f>
        <v>0</v>
      </c>
      <c r="F68" s="16" t="str">
        <f>IFERROR(VLOOKUP(E68,'(新)EG'!$A$3:$K$84,8,0),"")</f>
        <v/>
      </c>
      <c r="G68" s="7" t="str">
        <f>IFERROR(VLOOKUP(E68,'(旧)EG'!$A$3:$K$100,10,0),"")</f>
        <v/>
      </c>
      <c r="H68" s="12" t="s">
        <v>60</v>
      </c>
      <c r="I68" s="7" t="str">
        <f>IFERROR(VLOOKUP(E68,'(新)EG'!$A$3:$K$84,10,0),"")</f>
        <v/>
      </c>
    </row>
    <row r="69" spans="1:9" s="19" customFormat="1" ht="13.8" thickBot="1" x14ac:dyDescent="0.2">
      <c r="A69" s="11">
        <v>86</v>
      </c>
      <c r="B69" s="7" t="str">
        <f>IFERROR(VLOOKUP(E69,'(新)EG'!$A$3:$K$84,2,0),"")</f>
        <v/>
      </c>
      <c r="C69" s="7" t="str">
        <f>IFERROR(VLOOKUP(E69,'(新)EG'!$A$3:$K$84,4,0),"")</f>
        <v/>
      </c>
      <c r="D69" s="15" t="str">
        <f>IFERROR(VLOOKUP(E69,'(新)EG'!$A$3:$K$84,5,0),"")</f>
        <v/>
      </c>
      <c r="E69" s="23">
        <f>'(新)EG'!$A70</f>
        <v>0</v>
      </c>
      <c r="F69" s="16" t="str">
        <f>IFERROR(VLOOKUP(E69,'(新)EG'!$A$3:$K$84,8,0),"")</f>
        <v/>
      </c>
      <c r="G69" s="7" t="str">
        <f>IFERROR(VLOOKUP(E69,'(旧)EG'!$A$3:$K$100,10,0),"")</f>
        <v/>
      </c>
      <c r="H69" s="12" t="s">
        <v>60</v>
      </c>
      <c r="I69" s="7" t="str">
        <f>IFERROR(VLOOKUP(E69,'(新)EG'!$A$3:$K$84,10,0),"")</f>
        <v/>
      </c>
    </row>
    <row r="70" spans="1:9" s="19" customFormat="1" ht="13.8" thickBot="1" x14ac:dyDescent="0.2">
      <c r="A70" s="11">
        <v>90</v>
      </c>
      <c r="B70" s="7" t="str">
        <f>IFERROR(VLOOKUP(E70,'(新)EG'!$A$3:$K$84,2,0),"")</f>
        <v/>
      </c>
      <c r="C70" s="7" t="str">
        <f>IFERROR(VLOOKUP(E70,'(新)EG'!$A$3:$K$84,4,0),"")</f>
        <v/>
      </c>
      <c r="D70" s="15" t="str">
        <f>IFERROR(VLOOKUP(E70,'(新)EG'!$A$3:$K$184,5,0),"")</f>
        <v/>
      </c>
      <c r="E70" s="23">
        <f>'(新)EG'!$A71</f>
        <v>0</v>
      </c>
      <c r="F70" s="16" t="str">
        <f>IFERROR(VLOOKUP(E70,'(新)EG'!$A$3:$K$84,8,0),"")</f>
        <v/>
      </c>
      <c r="G70" s="7" t="str">
        <f>IFERROR(VLOOKUP(E70,'(旧)EG'!$A$3:$K$100,10,0),"")</f>
        <v/>
      </c>
      <c r="H70" s="12" t="s">
        <v>60</v>
      </c>
      <c r="I70" s="7" t="str">
        <f>IFERROR(VLOOKUP(E70,'(新)EG'!$A$3:$K$84,10,0),"")</f>
        <v/>
      </c>
    </row>
    <row r="71" spans="1:9" s="19" customFormat="1" ht="13.8" thickBot="1" x14ac:dyDescent="0.2">
      <c r="A71" s="11">
        <v>91</v>
      </c>
      <c r="B71" s="7" t="str">
        <f>IFERROR(VLOOKUP(E71,'(新)EG'!$A$3:$K$84,2,0),"")</f>
        <v/>
      </c>
      <c r="C71" s="7" t="str">
        <f>IFERROR(VLOOKUP(E71,'(新)EG'!$A$3:$K$84,4,0),"")</f>
        <v/>
      </c>
      <c r="D71" s="15" t="str">
        <f>IFERROR(VLOOKUP(E71,'(新)EG'!$A$3:$K$84,5,0),"")</f>
        <v/>
      </c>
      <c r="E71" s="23">
        <f>'(新)EG'!$A72</f>
        <v>0</v>
      </c>
      <c r="F71" s="16" t="str">
        <f>IFERROR(VLOOKUP(E71,'(新)EG'!$A$3:$K$84,8,0),"")</f>
        <v/>
      </c>
      <c r="G71" s="7" t="str">
        <f>IFERROR(VLOOKUP(E71,'(旧)EG'!$A$3:$K$100,10,0),"")</f>
        <v/>
      </c>
      <c r="H71" s="12" t="s">
        <v>60</v>
      </c>
      <c r="I71" s="7" t="str">
        <f>IFERROR(VLOOKUP(E71,'(新)EG'!$A$3:$K$84,10,0),"")</f>
        <v/>
      </c>
    </row>
    <row r="72" spans="1:9" s="19" customFormat="1" ht="13.8" thickBot="1" x14ac:dyDescent="0.2">
      <c r="A72" s="11">
        <v>92</v>
      </c>
      <c r="B72" s="7" t="str">
        <f>IFERROR(VLOOKUP(E72,'(新)EG'!$A$3:$K$84,2,0),"")</f>
        <v/>
      </c>
      <c r="C72" s="7" t="str">
        <f>IFERROR(VLOOKUP(E72,'(新)EG'!$A$3:$K$84,4,0),"")</f>
        <v/>
      </c>
      <c r="D72" s="15" t="str">
        <f>IFERROR(VLOOKUP(E72,'(新)EG'!$A$3:$K$84,5,0),"")</f>
        <v/>
      </c>
      <c r="E72" s="23">
        <f>'(新)EG'!$A73</f>
        <v>0</v>
      </c>
      <c r="F72" s="16" t="str">
        <f>IFERROR(VLOOKUP(E72,'(新)EG'!$A$3:$K$84,8,0),"")</f>
        <v/>
      </c>
      <c r="G72" s="7" t="str">
        <f>IFERROR(VLOOKUP(E72,'(旧)EG'!$A$3:$K$100,10,0),"")</f>
        <v/>
      </c>
      <c r="H72" s="12" t="s">
        <v>60</v>
      </c>
      <c r="I72" s="7" t="str">
        <f>IFERROR(VLOOKUP(E72,'(新)EG'!$A$3:$K$84,10,0),"")</f>
        <v/>
      </c>
    </row>
    <row r="73" spans="1:9" s="19" customFormat="1" ht="13.8" thickBot="1" x14ac:dyDescent="0.2">
      <c r="A73" s="11">
        <v>93</v>
      </c>
      <c r="B73" s="7" t="str">
        <f>IFERROR(VLOOKUP(E73,'(新)EG'!$A$3:$K$84,2,0),"")</f>
        <v/>
      </c>
      <c r="C73" s="7" t="str">
        <f>IFERROR(VLOOKUP(E73,'(新)EG'!$A$3:$K$84,4,0),"")</f>
        <v/>
      </c>
      <c r="D73" s="15" t="str">
        <f>IFERROR(VLOOKUP(E73,'(新)EG'!$A$3:$K$84,5,0),"")</f>
        <v/>
      </c>
      <c r="E73" s="23">
        <f>'(新)EG'!$A74</f>
        <v>0</v>
      </c>
      <c r="F73" s="16" t="str">
        <f>IFERROR(VLOOKUP(E73,'(新)EG'!$A$3:$K$84,8,0),"")</f>
        <v/>
      </c>
      <c r="G73" s="7" t="str">
        <f>IFERROR(VLOOKUP(E73,'(旧)EG'!$A$3:$K$100,10,0),"")</f>
        <v/>
      </c>
      <c r="H73" s="12" t="s">
        <v>60</v>
      </c>
      <c r="I73" s="7" t="str">
        <f>IFERROR(VLOOKUP(E73,'(新)EG'!$A$3:$K$84,10,0),"")</f>
        <v/>
      </c>
    </row>
    <row r="74" spans="1:9" s="19" customFormat="1" ht="13.8" thickBot="1" x14ac:dyDescent="0.2">
      <c r="A74" s="11">
        <v>94</v>
      </c>
      <c r="B74" s="7" t="str">
        <f>IFERROR(VLOOKUP(E74,'(新)EG'!$A$3:$K$84,2,0),"")</f>
        <v/>
      </c>
      <c r="C74" s="7" t="str">
        <f>IFERROR(VLOOKUP(E74,'(新)EG'!$A$3:$K$84,4,0),"")</f>
        <v/>
      </c>
      <c r="D74" s="15" t="str">
        <f>IFERROR(VLOOKUP(E74,'(新)EG'!$A$3:$K$84,5,0),"")</f>
        <v/>
      </c>
      <c r="E74" s="23">
        <f>'(新)EG'!$A75</f>
        <v>0</v>
      </c>
      <c r="F74" s="16" t="str">
        <f>IFERROR(VLOOKUP(E74,'(新)EG'!$A$3:$K$84,8,0),"")</f>
        <v/>
      </c>
      <c r="G74" s="7" t="str">
        <f>IFERROR(VLOOKUP(E74,'(旧)EG'!$A$3:$K$100,10,0),"")</f>
        <v/>
      </c>
      <c r="H74" s="12" t="s">
        <v>60</v>
      </c>
      <c r="I74" s="7" t="str">
        <f>IFERROR(VLOOKUP(E74,'(新)EG'!$A$3:$K$84,10,0),"")</f>
        <v/>
      </c>
    </row>
    <row r="75" spans="1:9" s="19" customFormat="1" ht="13.8" thickBot="1" x14ac:dyDescent="0.2">
      <c r="A75" s="11">
        <v>96</v>
      </c>
      <c r="B75" s="7" t="str">
        <f>IFERROR(VLOOKUP(E75,'(新)EG'!$A$3:$K$84,2,0),"")</f>
        <v/>
      </c>
      <c r="C75" s="7" t="str">
        <f>IFERROR(VLOOKUP(E75,'(新)EG'!$A$3:$K$84,4,0),"")</f>
        <v/>
      </c>
      <c r="D75" s="15" t="str">
        <f>IFERROR(VLOOKUP(E75,'(新)EG'!$A$3:$K$184,5,0),"")</f>
        <v/>
      </c>
      <c r="E75" s="23">
        <f>'(新)EG'!$A76</f>
        <v>0</v>
      </c>
      <c r="F75" s="16" t="str">
        <f>IFERROR(VLOOKUP(E75,'(新)EG'!$A$3:$K$84,8,0),"")</f>
        <v/>
      </c>
      <c r="G75" s="7" t="str">
        <f>IFERROR(VLOOKUP(E75,'(旧)EG'!$A$3:$K$100,10,0),"")</f>
        <v/>
      </c>
      <c r="H75" s="12" t="s">
        <v>60</v>
      </c>
      <c r="I75" s="7" t="str">
        <f>IFERROR(VLOOKUP(E75,'(新)EG'!$A$3:$K$84,10,0),"")</f>
        <v/>
      </c>
    </row>
    <row r="76" spans="1:9" s="19" customFormat="1" ht="13.8" thickBot="1" x14ac:dyDescent="0.2">
      <c r="A76" s="11">
        <v>100</v>
      </c>
      <c r="B76" s="7" t="str">
        <f>IFERROR(VLOOKUP(E76,'(新)EG'!$A$3:$K$84,2,0),"")</f>
        <v/>
      </c>
      <c r="C76" s="7" t="str">
        <f>IFERROR(VLOOKUP(E76,'(新)EG'!$A$3:$K$84,4,0),"")</f>
        <v/>
      </c>
      <c r="D76" s="15" t="str">
        <f>IFERROR(VLOOKUP(E76,'(新)EG'!$A$3:$K$84,5,0),"")</f>
        <v/>
      </c>
      <c r="E76" s="23">
        <f>'(新)EG'!$A77</f>
        <v>0</v>
      </c>
      <c r="F76" s="16" t="str">
        <f>IFERROR(VLOOKUP(E76,'(新)EG'!$A$3:$K$84,8,0),"")</f>
        <v/>
      </c>
      <c r="G76" s="7" t="str">
        <f>IFERROR(VLOOKUP(E76,'(旧)EG'!$A$3:$K$100,10,0),"")</f>
        <v/>
      </c>
      <c r="H76" s="12" t="s">
        <v>60</v>
      </c>
      <c r="I76" s="7" t="str">
        <f>IFERROR(VLOOKUP(E76,'(新)EG'!$A$3:$K$84,10,0),"")</f>
        <v/>
      </c>
    </row>
    <row r="77" spans="1:9" s="19" customFormat="1" ht="13.8" thickBot="1" x14ac:dyDescent="0.2">
      <c r="A77" s="11">
        <v>101</v>
      </c>
      <c r="B77" s="7" t="str">
        <f>IFERROR(VLOOKUP(E77,'(新)EG'!$A$3:$K$84,2,0),"")</f>
        <v/>
      </c>
      <c r="C77" s="7" t="str">
        <f>IFERROR(VLOOKUP(E77,'(新)EG'!$A$3:$K$84,4,0),"")</f>
        <v/>
      </c>
      <c r="D77" s="15" t="str">
        <f>IFERROR(VLOOKUP(E77,'(新)EG'!$A$3:$K$84,5,0),"")</f>
        <v/>
      </c>
      <c r="E77" s="23">
        <f>'(新)EG'!$A78</f>
        <v>0</v>
      </c>
      <c r="F77" s="16" t="str">
        <f>IFERROR(VLOOKUP(E77,'(新)EG'!$A$3:$K$84,8,0),"")</f>
        <v/>
      </c>
      <c r="G77" s="7" t="str">
        <f>IFERROR(VLOOKUP(E77,'(旧)EG'!$A$3:$K$100,10,0),"")</f>
        <v/>
      </c>
      <c r="H77" s="12" t="s">
        <v>60</v>
      </c>
      <c r="I77" s="7" t="str">
        <f>IFERROR(VLOOKUP(E77,'(新)EG'!$A$3:$K$84,10,0),"")</f>
        <v/>
      </c>
    </row>
    <row r="78" spans="1:9" s="19" customFormat="1" ht="13.8" thickBot="1" x14ac:dyDescent="0.2">
      <c r="A78" s="11">
        <v>102</v>
      </c>
      <c r="B78" s="7" t="str">
        <f>IFERROR(VLOOKUP(E78,'(新)EG'!$A$3:$K$84,2,0),"")</f>
        <v/>
      </c>
      <c r="C78" s="7" t="str">
        <f>IFERROR(VLOOKUP(E78,'(新)EG'!$A$3:$K$84,4,0),"")</f>
        <v/>
      </c>
      <c r="D78" s="15" t="str">
        <f>IFERROR(VLOOKUP(E78,'(新)EG'!$A$3:$K$84,5,0),"")</f>
        <v/>
      </c>
      <c r="E78" s="23">
        <f>'(新)EG'!$A79</f>
        <v>0</v>
      </c>
      <c r="F78" s="16" t="str">
        <f>IFERROR(VLOOKUP(E78,'(新)EG'!$A$3:$K$84,8,0),"")</f>
        <v/>
      </c>
      <c r="G78" s="7" t="str">
        <f>IFERROR(VLOOKUP(E78,'(旧)EG'!$A$3:$K$100,10,0),"")</f>
        <v/>
      </c>
      <c r="H78" s="12" t="s">
        <v>60</v>
      </c>
      <c r="I78" s="7" t="str">
        <f>IFERROR(VLOOKUP(E78,'(新)EG'!$A$3:$K$84,10,0),"")</f>
        <v/>
      </c>
    </row>
    <row r="79" spans="1:9" s="19" customFormat="1" ht="13.8" thickBot="1" x14ac:dyDescent="0.2">
      <c r="A79" s="11">
        <v>103</v>
      </c>
      <c r="B79" s="7" t="str">
        <f>IFERROR(VLOOKUP(E79,'(新)EG'!$A$3:$K$84,2,0),"")</f>
        <v/>
      </c>
      <c r="C79" s="7" t="str">
        <f>IFERROR(VLOOKUP(E79,'(新)EG'!$A$3:$K$84,4,0),"")</f>
        <v/>
      </c>
      <c r="D79" s="15" t="str">
        <f>IFERROR(VLOOKUP(E79,'(新)EG'!$A$3:$K$84,5,0),"")</f>
        <v/>
      </c>
      <c r="E79" s="23">
        <f>'(新)EG'!$A80</f>
        <v>0</v>
      </c>
      <c r="F79" s="16" t="str">
        <f>IFERROR(VLOOKUP(E79,'(新)EG'!$A$3:$K$84,8,0),"")</f>
        <v/>
      </c>
      <c r="G79" s="7" t="str">
        <f>IFERROR(VLOOKUP(E79,'(旧)EG'!$A$3:$K$100,10,0),"")</f>
        <v/>
      </c>
      <c r="H79" s="12" t="s">
        <v>60</v>
      </c>
      <c r="I79" s="7" t="str">
        <f>IFERROR(VLOOKUP(E79,'(新)EG'!$A$3:$K$84,10,0),"")</f>
        <v/>
      </c>
    </row>
    <row r="80" spans="1:9" s="19" customFormat="1" ht="13.8" thickBot="1" x14ac:dyDescent="0.2">
      <c r="A80" s="11">
        <v>105</v>
      </c>
      <c r="B80" s="7" t="str">
        <f>IFERROR(VLOOKUP(E80,'(新)EG'!$A$3:$K$84,2,0),"")</f>
        <v/>
      </c>
      <c r="C80" s="7" t="str">
        <f>IFERROR(VLOOKUP(E80,'(新)EG'!$A$3:$K$84,4,0),"")</f>
        <v/>
      </c>
      <c r="D80" s="15" t="str">
        <f>IFERROR(VLOOKUP(E80,'(新)EG'!$A$3:$K$84,5,0),"")</f>
        <v/>
      </c>
      <c r="E80" s="23">
        <f>'(新)EG'!$A81</f>
        <v>0</v>
      </c>
      <c r="F80" s="16" t="str">
        <f>IFERROR(VLOOKUP(E80,'(新)EG'!$A$3:$K$84,8,0),"")</f>
        <v/>
      </c>
      <c r="G80" s="7" t="str">
        <f>IFERROR(VLOOKUP(E80,'(旧)EG'!$A$3:$K$100,10,0),"")</f>
        <v/>
      </c>
      <c r="H80" s="12" t="s">
        <v>60</v>
      </c>
      <c r="I80" s="7" t="str">
        <f>IFERROR(VLOOKUP(E80,'(新)EG'!$A$3:$K$84,10,0),"")</f>
        <v/>
      </c>
    </row>
    <row r="81" spans="1:9" s="19" customFormat="1" ht="13.8" thickBot="1" x14ac:dyDescent="0.2">
      <c r="A81" s="11">
        <v>106</v>
      </c>
      <c r="B81" s="7" t="str">
        <f>IFERROR(VLOOKUP(E81,'(新)EG'!$A$3:$K$84,2,0),"")</f>
        <v/>
      </c>
      <c r="C81" s="7" t="str">
        <f>IFERROR(VLOOKUP(E81,'(新)EG'!$A$3:$K$84,4,0),"")</f>
        <v/>
      </c>
      <c r="D81" s="15" t="str">
        <f>IFERROR(VLOOKUP(E81,'(新)EG'!$A$3:$K$84,5,0),"")</f>
        <v/>
      </c>
      <c r="E81" s="23">
        <f>'(新)EG'!$A82</f>
        <v>0</v>
      </c>
      <c r="F81" s="16" t="str">
        <f>IFERROR(VLOOKUP(E81,'(新)EG'!$A$3:$K$84,8,0),"")</f>
        <v/>
      </c>
      <c r="G81" s="7" t="str">
        <f>IFERROR(VLOOKUP(E81,'(旧)EG'!$A$3:$K$100,10,0),"")</f>
        <v/>
      </c>
      <c r="H81" s="12" t="s">
        <v>60</v>
      </c>
      <c r="I81" s="7" t="str">
        <f>IFERROR(VLOOKUP(E81,'(新)EG'!$A$3:$K$84,10,0),"")</f>
        <v/>
      </c>
    </row>
    <row r="82" spans="1:9" s="19" customFormat="1" ht="13.8" thickBot="1" x14ac:dyDescent="0.2">
      <c r="A82" s="11">
        <v>107</v>
      </c>
      <c r="B82" s="7" t="str">
        <f>IFERROR(VLOOKUP(E82,'(新)EG'!$A$3:$K$84,2,0),"")</f>
        <v/>
      </c>
      <c r="C82" s="7" t="str">
        <f>IFERROR(VLOOKUP(E82,'(新)EG'!$A$3:$K$84,4,0),"")</f>
        <v/>
      </c>
      <c r="D82" s="15" t="str">
        <f>IFERROR(VLOOKUP(E82,'(新)EG'!$A$3:$K$184,5,0),"")</f>
        <v/>
      </c>
      <c r="E82" s="23">
        <f>'(新)EG'!$A83</f>
        <v>0</v>
      </c>
      <c r="F82" s="16" t="str">
        <f>IFERROR(VLOOKUP(E82,'(新)EG'!$A$3:$K$84,8,0),"")</f>
        <v/>
      </c>
      <c r="G82" s="7" t="str">
        <f>IFERROR(VLOOKUP(E82,'(旧)EG'!$A$3:$K$100,10,0),"")</f>
        <v/>
      </c>
      <c r="H82" s="12" t="s">
        <v>60</v>
      </c>
      <c r="I82" s="7" t="str">
        <f>IFERROR(VLOOKUP(E82,'(新)EG'!$A$3:$K$84,10,0),"")</f>
        <v/>
      </c>
    </row>
    <row r="83" spans="1:9" s="19" customFormat="1" ht="13.8" thickBot="1" x14ac:dyDescent="0.2">
      <c r="A83" s="11">
        <v>108</v>
      </c>
      <c r="B83" s="7" t="str">
        <f>IFERROR(VLOOKUP(E83,'(新)EG'!$A$3:$K$84,2,0),"")</f>
        <v/>
      </c>
      <c r="C83" s="7" t="str">
        <f>IFERROR(VLOOKUP(E83,'(新)EG'!$A$3:$K$84,4,0),"")</f>
        <v/>
      </c>
      <c r="D83" s="15" t="str">
        <f>IFERROR(VLOOKUP(E83,'(新)EG'!$A$3:$K$184,5,0),"")</f>
        <v/>
      </c>
      <c r="E83" s="23">
        <f>'(新)EG'!$A84</f>
        <v>0</v>
      </c>
      <c r="F83" s="16" t="str">
        <f>IFERROR(VLOOKUP(E83,'(新)EG'!$A$3:$K$84,8,0),"")</f>
        <v/>
      </c>
      <c r="G83" s="7" t="str">
        <f>IFERROR(VLOOKUP(E83,'(旧)EG'!$A$3:$K$100,10,0),"")</f>
        <v/>
      </c>
      <c r="H83" s="12" t="s">
        <v>60</v>
      </c>
      <c r="I83" s="7" t="str">
        <f>IFERROR(VLOOKUP(E83,'(新)EG'!$A$3:$K$84,10,0),"")</f>
        <v/>
      </c>
    </row>
    <row r="84" spans="1:9" s="19" customFormat="1" ht="13.8" thickBot="1" x14ac:dyDescent="0.2">
      <c r="A84" s="11">
        <v>109</v>
      </c>
      <c r="B84" s="7" t="str">
        <f>IFERROR(VLOOKUP(E84,'(新)EG'!$A$3:$K$184,2,0),"")</f>
        <v/>
      </c>
      <c r="C84" s="7" t="str">
        <f>IFERROR(VLOOKUP(E84,'(新)EG'!$A$3:$K$184,4,0),"")</f>
        <v/>
      </c>
      <c r="D84" s="15" t="str">
        <f>IFERROR(VLOOKUP(E84,'(新)EG'!$A$3:$K$184,5,0),"")</f>
        <v/>
      </c>
      <c r="E84" s="23">
        <f>'(新)EG'!$A85</f>
        <v>0</v>
      </c>
      <c r="F84" s="16" t="str">
        <f>IFERROR(VLOOKUP(E84,'(新)EG'!$A$3:$K$184,8,0),"")</f>
        <v/>
      </c>
      <c r="G84" s="7" t="str">
        <f>IFERROR(VLOOKUP(E84,'(旧)EG'!$A$3:$K$100,10,0),"")</f>
        <v/>
      </c>
      <c r="H84" s="12" t="s">
        <v>60</v>
      </c>
      <c r="I84" s="7" t="str">
        <f>IFERROR(VLOOKUP(E84,'(新)EG'!$A$3:$K$184,10,0),"")</f>
        <v/>
      </c>
    </row>
    <row r="85" spans="1:9" s="19" customFormat="1" ht="13.8" thickBot="1" x14ac:dyDescent="0.2">
      <c r="A85" s="11">
        <v>110</v>
      </c>
      <c r="B85" s="7" t="str">
        <f>IFERROR(VLOOKUP(E85,'(新)EG'!$A$3:$K$184,2,0),"")</f>
        <v/>
      </c>
      <c r="C85" s="7" t="str">
        <f>IFERROR(VLOOKUP(E85,'(新)EG'!$A$3:$K$184,4,0),"")</f>
        <v/>
      </c>
      <c r="D85" s="15" t="str">
        <f>IFERROR(VLOOKUP(E85,'(新)EG'!$A$3:$K$184,5,0),"")</f>
        <v/>
      </c>
      <c r="E85" s="23">
        <f>'(新)EG'!$A86</f>
        <v>0</v>
      </c>
      <c r="F85" s="16" t="str">
        <f>IFERROR(VLOOKUP(E85,'(新)EG'!$A$3:$K$184,8,0),"")</f>
        <v/>
      </c>
      <c r="G85" s="7" t="str">
        <f>IFERROR(VLOOKUP(E85,'(旧)EG'!$A$3:$K$100,10,0),"")</f>
        <v/>
      </c>
      <c r="H85" s="12" t="s">
        <v>60</v>
      </c>
      <c r="I85" s="7" t="str">
        <f>IFERROR(VLOOKUP(E85,'(新)EG'!$A$3:$K$184,10,0),"")</f>
        <v/>
      </c>
    </row>
    <row r="86" spans="1:9" s="19" customFormat="1" ht="13.8" thickBot="1" x14ac:dyDescent="0.2">
      <c r="A86" s="11">
        <v>111</v>
      </c>
      <c r="B86" s="7" t="str">
        <f>IFERROR(VLOOKUP(E86,'(新)EG'!$A$3:$K$184,2,0),"")</f>
        <v/>
      </c>
      <c r="C86" s="7" t="str">
        <f>IFERROR(VLOOKUP(E86,'(新)EG'!$A$3:$K$184,4,0),"")</f>
        <v/>
      </c>
      <c r="D86" s="15" t="str">
        <f>IFERROR(VLOOKUP(E86,'(新)EG'!$A$3:$K$184,5,0),"")</f>
        <v/>
      </c>
      <c r="E86" s="23">
        <f>'(新)EG'!$A87</f>
        <v>0</v>
      </c>
      <c r="F86" s="16" t="str">
        <f>IFERROR(VLOOKUP(E86,'(新)EG'!$A$3:$K$184,8,0),"")</f>
        <v/>
      </c>
      <c r="G86" s="7" t="str">
        <f>IFERROR(VLOOKUP(E86,'(旧)EG'!$A$3:$K$100,10,0),"")</f>
        <v/>
      </c>
      <c r="H86" s="12" t="s">
        <v>60</v>
      </c>
      <c r="I86" s="7" t="str">
        <f>IFERROR(VLOOKUP(E86,'(新)EG'!$A$3:$K$184,10,0),"")</f>
        <v/>
      </c>
    </row>
    <row r="87" spans="1:9" s="19" customFormat="1" ht="13.8" thickBot="1" x14ac:dyDescent="0.2">
      <c r="A87" s="11">
        <v>112</v>
      </c>
      <c r="B87" s="7" t="str">
        <f>IFERROR(VLOOKUP(E87,'(新)EG'!$A$3:$K$184,2,0),"")</f>
        <v/>
      </c>
      <c r="C87" s="7" t="str">
        <f>IFERROR(VLOOKUP(E87,'(新)EG'!$A$3:$K$184,4,0),"")</f>
        <v/>
      </c>
      <c r="D87" s="15" t="str">
        <f>IFERROR(VLOOKUP(E87,'(新)EG'!$A$3:$K$184,5,0),"")</f>
        <v/>
      </c>
      <c r="E87" s="23">
        <f>'(新)EG'!$A88</f>
        <v>0</v>
      </c>
      <c r="F87" s="16" t="str">
        <f>IFERROR(VLOOKUP(E87,'(新)EG'!$A$3:$K$184,8,0),"")</f>
        <v/>
      </c>
      <c r="G87" s="7" t="str">
        <f>IFERROR(VLOOKUP(E87,'(旧)EG'!$A$3:$K$100,10,0),"")</f>
        <v/>
      </c>
      <c r="H87" s="12" t="s">
        <v>60</v>
      </c>
      <c r="I87" s="7" t="str">
        <f>IFERROR(VLOOKUP(E87,'(新)EG'!$A$3:$K$184,10,0),"")</f>
        <v/>
      </c>
    </row>
    <row r="88" spans="1:9" s="19" customFormat="1" ht="13.8" thickBot="1" x14ac:dyDescent="0.2">
      <c r="A88" s="11">
        <v>113</v>
      </c>
      <c r="B88" s="7" t="str">
        <f>IFERROR(VLOOKUP(E88,'(新)EG'!$A$3:$K$184,2,0),"")</f>
        <v/>
      </c>
      <c r="C88" s="7" t="str">
        <f>IFERROR(VLOOKUP(E88,'(新)EG'!$A$3:$K$184,4,0),"")</f>
        <v/>
      </c>
      <c r="D88" s="15" t="str">
        <f>IFERROR(VLOOKUP(E88,'(新)EG'!$A$3:$K$184,5,0),"")</f>
        <v/>
      </c>
      <c r="E88" s="23">
        <f>'(新)EG'!$A89</f>
        <v>0</v>
      </c>
      <c r="F88" s="16" t="str">
        <f>IFERROR(VLOOKUP(E88,'(新)EG'!$A$3:$K$184,8,0),"")</f>
        <v/>
      </c>
      <c r="G88" s="7" t="str">
        <f>IFERROR(VLOOKUP(E88,'(旧)EG'!$A$3:$K$100,10,0),"")</f>
        <v/>
      </c>
      <c r="H88" s="12" t="s">
        <v>60</v>
      </c>
      <c r="I88" s="7" t="str">
        <f>IFERROR(VLOOKUP(E88,'(新)EG'!$A$3:$K$184,10,0),"")</f>
        <v/>
      </c>
    </row>
    <row r="89" spans="1:9" s="19" customFormat="1" ht="13.8" thickBot="1" x14ac:dyDescent="0.2">
      <c r="A89" s="11">
        <v>114</v>
      </c>
      <c r="B89" s="7" t="str">
        <f>IFERROR(VLOOKUP(E89,'(新)EG'!$A$3:$K$184,2,0),"")</f>
        <v/>
      </c>
      <c r="C89" s="7" t="str">
        <f>IFERROR(VLOOKUP(E89,'(新)EG'!$A$3:$K$184,4,0),"")</f>
        <v/>
      </c>
      <c r="D89" s="15" t="str">
        <f>IFERROR(VLOOKUP(E89,'(新)EG'!$A$3:$K$184,5,0),"")</f>
        <v/>
      </c>
      <c r="E89" s="23">
        <f>'(新)EG'!$A90</f>
        <v>0</v>
      </c>
      <c r="F89" s="16" t="str">
        <f>IFERROR(VLOOKUP(E89,'(新)EG'!$A$3:$K$184,8,0),"")</f>
        <v/>
      </c>
      <c r="G89" s="7" t="str">
        <f>IFERROR(VLOOKUP(E89,'(旧)EG'!$A$3:$K$100,10,0),"")</f>
        <v/>
      </c>
      <c r="H89" s="12" t="s">
        <v>60</v>
      </c>
      <c r="I89" s="7" t="str">
        <f>IFERROR(VLOOKUP(E89,'(新)EG'!$A$3:$K$184,10,0),"")</f>
        <v/>
      </c>
    </row>
    <row r="90" spans="1:9" s="19" customFormat="1" ht="13.8" thickBot="1" x14ac:dyDescent="0.2">
      <c r="A90" s="11">
        <v>115</v>
      </c>
      <c r="B90" s="7" t="str">
        <f>IFERROR(VLOOKUP(E90,'(新)EG'!$A$3:$K$184,2,0),"")</f>
        <v/>
      </c>
      <c r="C90" s="7" t="str">
        <f>IFERROR(VLOOKUP(E90,'(新)EG'!$A$3:$K$184,4,0),"")</f>
        <v/>
      </c>
      <c r="D90" s="15" t="str">
        <f>IFERROR(VLOOKUP(E90,'(新)EG'!$A$3:$K$184,5,0),"")</f>
        <v/>
      </c>
      <c r="E90" s="23">
        <f>'(新)EG'!$A91</f>
        <v>0</v>
      </c>
      <c r="F90" s="16" t="str">
        <f>IFERROR(VLOOKUP(E90,'(新)EG'!$A$3:$K$184,8,0),"")</f>
        <v/>
      </c>
      <c r="G90" s="7" t="str">
        <f>IFERROR(VLOOKUP(E90,'(旧)EG'!$A$3:$K$100,10,0),"")</f>
        <v/>
      </c>
      <c r="H90" s="12" t="s">
        <v>60</v>
      </c>
      <c r="I90" s="7" t="str">
        <f>IFERROR(VLOOKUP(E90,'(新)EG'!$A$3:$K$184,10,0),"")</f>
        <v/>
      </c>
    </row>
    <row r="91" spans="1:9" s="19" customFormat="1" ht="13.8" thickBot="1" x14ac:dyDescent="0.2">
      <c r="A91" s="11">
        <v>116</v>
      </c>
      <c r="B91" s="7" t="str">
        <f>IFERROR(VLOOKUP(E91,'(新)EG'!$A$3:$K$184,2,0),"")</f>
        <v/>
      </c>
      <c r="C91" s="7" t="str">
        <f>IFERROR(VLOOKUP(E91,'(新)EG'!$A$3:$K$184,4,0),"")</f>
        <v/>
      </c>
      <c r="D91" s="15" t="str">
        <f>IFERROR(VLOOKUP(E91,'(新)EG'!$A$3:$K$184,5,0),"")</f>
        <v/>
      </c>
      <c r="E91" s="23">
        <f>'(新)EG'!$A92</f>
        <v>0</v>
      </c>
      <c r="F91" s="16" t="str">
        <f>IFERROR(VLOOKUP(E91,'(新)EG'!$A$3:$K$184,8,0),"")</f>
        <v/>
      </c>
      <c r="G91" s="7" t="str">
        <f>IFERROR(VLOOKUP(E91,'(旧)EG'!$A$3:$K$100,10,0),"")</f>
        <v/>
      </c>
      <c r="H91" s="12" t="s">
        <v>60</v>
      </c>
      <c r="I91" s="7" t="str">
        <f>IFERROR(VLOOKUP(E91,'(新)EG'!$A$3:$K$184,10,0),"")</f>
        <v/>
      </c>
    </row>
    <row r="92" spans="1:9" s="19" customFormat="1" ht="13.8" thickBot="1" x14ac:dyDescent="0.2">
      <c r="A92" s="11">
        <v>121</v>
      </c>
      <c r="B92" s="7" t="str">
        <f>IFERROR(VLOOKUP(E92,'(新)EG'!$A$3:$K$184,2,0),"")</f>
        <v/>
      </c>
      <c r="C92" s="7" t="str">
        <f>IFERROR(VLOOKUP(E92,'(新)EG'!$A$3:$K$184,4,0),"")</f>
        <v/>
      </c>
      <c r="D92" s="15" t="str">
        <f>IFERROR(VLOOKUP(E92,'(新)EG'!$A$3:$K$184,5,0),"")</f>
        <v/>
      </c>
      <c r="E92" s="23">
        <f>'(新)EG'!$A93</f>
        <v>0</v>
      </c>
      <c r="F92" s="16" t="str">
        <f>IFERROR(VLOOKUP(E92,'(新)EG'!$A$3:$K$184,8,0),"")</f>
        <v/>
      </c>
      <c r="G92" s="7" t="str">
        <f>IFERROR(VLOOKUP(E92,'(旧)EG'!$A$3:$K$100,10,0),"")</f>
        <v/>
      </c>
      <c r="H92" s="12" t="s">
        <v>60</v>
      </c>
      <c r="I92" s="7" t="str">
        <f>IFERROR(VLOOKUP(E92,'(新)EG'!$A$3:$K$184,10,0),"")</f>
        <v/>
      </c>
    </row>
    <row r="93" spans="1:9" s="19" customFormat="1" ht="13.8" thickBot="1" x14ac:dyDescent="0.2">
      <c r="A93" s="11">
        <v>122</v>
      </c>
      <c r="B93" s="7" t="str">
        <f>IFERROR(VLOOKUP(E93,'(新)EG'!$A$3:$K$184,2,0),"")</f>
        <v/>
      </c>
      <c r="C93" s="7" t="str">
        <f>IFERROR(VLOOKUP(E93,'(新)EG'!$A$3:$K$184,4,0),"")</f>
        <v/>
      </c>
      <c r="D93" s="15" t="str">
        <f>IFERROR(VLOOKUP(E93,'(新)EG'!$A$3:$K$184,5,0),"")</f>
        <v/>
      </c>
      <c r="E93" s="23">
        <f>'(新)EG'!$A94</f>
        <v>0</v>
      </c>
      <c r="F93" s="16" t="str">
        <f>IFERROR(VLOOKUP(E93,'(新)EG'!$A$3:$K$184,8,0),"")</f>
        <v/>
      </c>
      <c r="G93" s="7" t="str">
        <f>IFERROR(VLOOKUP(E93,'(旧)EG'!$A$3:$K$100,10,0),"")</f>
        <v/>
      </c>
      <c r="H93" s="12" t="s">
        <v>60</v>
      </c>
      <c r="I93" s="7" t="str">
        <f>IFERROR(VLOOKUP(E93,'(新)EG'!$A$3:$K$184,10,0),"")</f>
        <v/>
      </c>
    </row>
    <row r="94" spans="1:9" s="19" customFormat="1" ht="13.8" thickBot="1" x14ac:dyDescent="0.2">
      <c r="A94" s="11">
        <v>123</v>
      </c>
      <c r="B94" s="7" t="str">
        <f>IFERROR(VLOOKUP(E94,'(新)EG'!$A$3:$K$184,2,0),"")</f>
        <v/>
      </c>
      <c r="C94" s="7" t="str">
        <f>IFERROR(VLOOKUP(E94,'(新)EG'!$A$3:$K$184,4,0),"")</f>
        <v/>
      </c>
      <c r="D94" s="15" t="str">
        <f>IFERROR(VLOOKUP(E94,'(新)EG'!$A$3:$K$184,5,0),"")</f>
        <v/>
      </c>
      <c r="E94" s="23">
        <f>'(新)EG'!$A95</f>
        <v>0</v>
      </c>
      <c r="F94" s="16" t="str">
        <f>IFERROR(VLOOKUP(E94,'(新)EG'!$A$3:$K$184,8,0),"")</f>
        <v/>
      </c>
      <c r="G94" s="7" t="str">
        <f>IFERROR(VLOOKUP(E94,'(旧)EG'!$A$3:$K$100,10,0),"")</f>
        <v/>
      </c>
      <c r="H94" s="12" t="s">
        <v>60</v>
      </c>
      <c r="I94" s="7" t="str">
        <f>IFERROR(VLOOKUP(E94,'(新)EG'!$A$3:$K$184,10,0),"")</f>
        <v/>
      </c>
    </row>
    <row r="95" spans="1:9" s="19" customFormat="1" ht="13.8" thickBot="1" x14ac:dyDescent="0.2">
      <c r="A95" s="11">
        <v>124</v>
      </c>
      <c r="B95" s="7" t="str">
        <f>IFERROR(VLOOKUP(E95,'(新)EG'!$A$3:$K$184,2,0),"")</f>
        <v/>
      </c>
      <c r="C95" s="7" t="str">
        <f>IFERROR(VLOOKUP(E95,'(新)EG'!$A$3:$K$184,4,0),"")</f>
        <v/>
      </c>
      <c r="D95" s="15" t="str">
        <f>IFERROR(VLOOKUP(E95,'(新)EG'!$A$3:$K$184,5,0),"")</f>
        <v/>
      </c>
      <c r="E95" s="23">
        <f>'(新)EG'!$A96</f>
        <v>0</v>
      </c>
      <c r="F95" s="16" t="str">
        <f>IFERROR(VLOOKUP(E95,'(新)EG'!$A$3:$K$184,8,0),"")</f>
        <v/>
      </c>
      <c r="G95" s="7" t="str">
        <f>IFERROR(VLOOKUP(E95,'(旧)EG'!$A$3:$K$100,10,0),"")</f>
        <v/>
      </c>
      <c r="H95" s="12" t="s">
        <v>60</v>
      </c>
      <c r="I95" s="7" t="str">
        <f>IFERROR(VLOOKUP(E95,'(新)EG'!$A$3:$K$184,10,0),"")</f>
        <v/>
      </c>
    </row>
    <row r="96" spans="1:9" s="19" customFormat="1" ht="13.8" thickBot="1" x14ac:dyDescent="0.2">
      <c r="A96" s="11">
        <v>78</v>
      </c>
      <c r="B96" s="7" t="str">
        <f>IFERROR(VLOOKUP(E96,'(新)EG'!$A$3:$K$184,2,0),"")</f>
        <v/>
      </c>
      <c r="C96" s="7" t="str">
        <f>IFERROR(VLOOKUP(E96,'(新)EG'!$A$3:$K$184,4,0),"")</f>
        <v/>
      </c>
      <c r="D96" s="15" t="str">
        <f>IFERROR(VLOOKUP(E96,'(新)EG'!$A$3:$K$184,5,0),"")</f>
        <v/>
      </c>
      <c r="E96" s="23">
        <f>'(新)EG'!$A97</f>
        <v>0</v>
      </c>
      <c r="F96" s="16" t="str">
        <f>IFERROR(VLOOKUP(E96,'(新)EG'!$A$3:$K$184,8,0),"")</f>
        <v/>
      </c>
      <c r="G96" s="7" t="str">
        <f>IFERROR(VLOOKUP(E96,'(旧)EG'!$A$3:$K$100,10,0),"")</f>
        <v/>
      </c>
      <c r="H96" s="12" t="s">
        <v>60</v>
      </c>
      <c r="I96" s="7" t="str">
        <f>IFERROR(VLOOKUP(E96,'(新)EG'!$A$3:$K$184,10,0),"")</f>
        <v/>
      </c>
    </row>
    <row r="97" spans="1:9" s="19" customFormat="1" ht="13.8" thickBot="1" x14ac:dyDescent="0.2">
      <c r="A97" s="11">
        <v>79</v>
      </c>
      <c r="B97" s="7" t="str">
        <f>IFERROR(VLOOKUP(E97,'(新)EG'!$A$3:$K$184,2,0),"")</f>
        <v/>
      </c>
      <c r="C97" s="7" t="str">
        <f>IFERROR(VLOOKUP(E97,'(新)EG'!$A$3:$K$184,4,0),"")</f>
        <v/>
      </c>
      <c r="D97" s="15" t="str">
        <f>IFERROR(VLOOKUP(E97,'(新)EG'!$A$3:$K$184,5,0),"")</f>
        <v/>
      </c>
      <c r="E97" s="23">
        <f>'(新)EG'!$A98</f>
        <v>0</v>
      </c>
      <c r="F97" s="16" t="str">
        <f>IFERROR(VLOOKUP(E97,'(新)EG'!$A$3:$K$184,8,0),"")</f>
        <v/>
      </c>
      <c r="G97" s="7" t="str">
        <f>IFERROR(VLOOKUP(E97,'(旧)EG'!$A$3:$K$100,10,0),"")</f>
        <v/>
      </c>
      <c r="H97" s="12" t="s">
        <v>60</v>
      </c>
      <c r="I97" s="7" t="str">
        <f>IFERROR(VLOOKUP(E97,'(新)EG'!$A$3:$K$184,10,0),"")</f>
        <v/>
      </c>
    </row>
    <row r="98" spans="1:9" s="19" customFormat="1" ht="13.8" thickBot="1" x14ac:dyDescent="0.2">
      <c r="A98" s="11">
        <v>77</v>
      </c>
      <c r="B98" s="7" t="str">
        <f>IFERROR(VLOOKUP(E98,'(新)EG'!$A$3:$K$184,2,0),"")</f>
        <v/>
      </c>
      <c r="C98" s="7" t="str">
        <f>IFERROR(VLOOKUP(E98,'(新)EG'!$A$3:$K$184,4,0),"")</f>
        <v/>
      </c>
      <c r="D98" s="15" t="str">
        <f>IFERROR(VLOOKUP(E98,'(新)EG'!$A$3:$K$184,5,0),"")</f>
        <v/>
      </c>
      <c r="E98" s="23">
        <f>'(新)EG'!$A99</f>
        <v>0</v>
      </c>
      <c r="F98" s="16" t="str">
        <f>IFERROR(VLOOKUP(E98,'(新)EG'!$A$3:$K$184,8,0),"")</f>
        <v/>
      </c>
      <c r="G98" s="7" t="str">
        <f>IFERROR(VLOOKUP(E98,'(旧)EG'!$A$3:$K$100,10,0),"")</f>
        <v/>
      </c>
      <c r="H98" s="12" t="s">
        <v>60</v>
      </c>
      <c r="I98" s="7" t="str">
        <f>IFERROR(VLOOKUP(E98,'(新)EG'!$A$3:$K$184,10,0),"")</f>
        <v/>
      </c>
    </row>
    <row r="99" spans="1:9" s="19" customFormat="1" ht="13.8" thickBot="1" x14ac:dyDescent="0.2">
      <c r="A99" s="11">
        <v>76</v>
      </c>
      <c r="B99" s="7" t="str">
        <f>IFERROR(VLOOKUP(E99,'(新)EG'!$A$3:$K$184,2,0),"")</f>
        <v/>
      </c>
      <c r="C99" s="7" t="str">
        <f>IFERROR(VLOOKUP(E99,'(新)EG'!$A$3:$K$184,4,0),"")</f>
        <v/>
      </c>
      <c r="D99" s="15" t="str">
        <f>IFERROR(VLOOKUP(E99,'(新)EG'!$A$3:$K$184,5,0),"")</f>
        <v/>
      </c>
      <c r="E99" s="23">
        <f>'(新)EG'!$A100</f>
        <v>0</v>
      </c>
      <c r="F99" s="16" t="str">
        <f>IFERROR(VLOOKUP(E99,'(新)EG'!$A$3:$K$184,8,0),"")</f>
        <v/>
      </c>
      <c r="G99" s="7" t="str">
        <f>IFERROR(VLOOKUP(E99,'(旧)EG'!$A$3:$K$100,10,0),"")</f>
        <v/>
      </c>
      <c r="H99" s="12" t="s">
        <v>60</v>
      </c>
      <c r="I99" s="7" t="str">
        <f>IFERROR(VLOOKUP(E99,'(新)EG'!$A$3:$K$184,10,0),"")</f>
        <v/>
      </c>
    </row>
    <row r="100" spans="1:9" s="19" customFormat="1" ht="13.8" thickBot="1" x14ac:dyDescent="0.2">
      <c r="A100" s="11">
        <v>82</v>
      </c>
      <c r="B100" s="7" t="str">
        <f>IFERROR(VLOOKUP(E100,'(新)EG'!$A$3:$K$184,2,0),"")</f>
        <v/>
      </c>
      <c r="C100" s="7" t="str">
        <f>IFERROR(VLOOKUP(E100,'(新)EG'!$A$3:$K$184,4,0),"")</f>
        <v/>
      </c>
      <c r="D100" s="15" t="str">
        <f>IFERROR(VLOOKUP(E100,'(新)EG'!$A$3:$K$184,5,0),"")</f>
        <v/>
      </c>
      <c r="E100" s="23">
        <f>'(新)EG'!$A101</f>
        <v>0</v>
      </c>
      <c r="F100" s="16" t="str">
        <f>IFERROR(VLOOKUP(E100,'(新)EG'!$A$3:$K$184,8,0),"")</f>
        <v/>
      </c>
      <c r="G100" s="7" t="str">
        <f>IFERROR(VLOOKUP(E100,'(旧)EG'!$A$3:$K$100,10,0),"")</f>
        <v/>
      </c>
      <c r="H100" s="12" t="s">
        <v>60</v>
      </c>
      <c r="I100" s="7" t="str">
        <f>IFERROR(VLOOKUP(E100,'(新)EG'!$A$3:$K$184,10,0),"")</f>
        <v/>
      </c>
    </row>
    <row r="101" spans="1:9" s="19" customFormat="1" ht="13.8" thickBot="1" x14ac:dyDescent="0.2">
      <c r="A101" s="11">
        <v>125</v>
      </c>
      <c r="B101" s="7" t="str">
        <f>IFERROR(VLOOKUP(E101,'(新)EG'!$A$3:$K$184,2,0),"")</f>
        <v/>
      </c>
      <c r="C101" s="7" t="str">
        <f>IFERROR(VLOOKUP(E101,'(新)EG'!$A$3:$K$184,4,0),"")</f>
        <v/>
      </c>
      <c r="D101" s="15" t="str">
        <f>IFERROR(VLOOKUP(E101,'(新)EG'!$A$3:$K$184,5,0),"")</f>
        <v/>
      </c>
      <c r="E101" s="23">
        <f>'(新)EG'!$A102</f>
        <v>0</v>
      </c>
      <c r="F101" s="16" t="str">
        <f>IFERROR(VLOOKUP(E101,'(新)EG'!$A$3:$K$184,8,0),"")</f>
        <v/>
      </c>
      <c r="G101" s="7" t="str">
        <f>IFERROR(VLOOKUP(E101,'(旧)EG'!$A$3:$K$100,10,0),"")</f>
        <v/>
      </c>
      <c r="H101" s="12" t="s">
        <v>60</v>
      </c>
      <c r="I101" s="7" t="str">
        <f>IFERROR(VLOOKUP(E101,'(新)EG'!$A$3:$K$184,10,0),"")</f>
        <v/>
      </c>
    </row>
    <row r="102" spans="1:9" s="19" customFormat="1" ht="13.8" thickBot="1" x14ac:dyDescent="0.2">
      <c r="A102" s="11">
        <v>126</v>
      </c>
      <c r="B102" s="7" t="str">
        <f>IFERROR(VLOOKUP(E102,'(新)EG'!$A$3:$K$184,2,0),"")</f>
        <v/>
      </c>
      <c r="C102" s="7" t="str">
        <f>IFERROR(VLOOKUP(E102,'(新)EG'!$A$3:$K$184,4,0),"")</f>
        <v/>
      </c>
      <c r="D102" s="15" t="str">
        <f>IFERROR(VLOOKUP(E102,'(新)EG'!$A$3:$K$184,5,0),"")</f>
        <v/>
      </c>
      <c r="E102" s="23">
        <f>'(新)EG'!$A103</f>
        <v>0</v>
      </c>
      <c r="F102" s="16" t="str">
        <f>IFERROR(VLOOKUP(E102,'(新)EG'!$A$3:$K$184,8,0),"")</f>
        <v/>
      </c>
      <c r="G102" s="7" t="str">
        <f>IFERROR(VLOOKUP(E102,'(旧)EG'!$A$3:$K$100,10,0),"")</f>
        <v/>
      </c>
      <c r="H102" s="12" t="s">
        <v>60</v>
      </c>
      <c r="I102" s="7" t="str">
        <f>IFERROR(VLOOKUP(E102,'(新)EG'!$A$3:$K$184,10,0),"")</f>
        <v/>
      </c>
    </row>
    <row r="103" spans="1:9" s="19" customFormat="1" ht="13.8" thickBot="1" x14ac:dyDescent="0.2">
      <c r="A103" s="11">
        <v>127</v>
      </c>
      <c r="B103" s="7" t="str">
        <f>IFERROR(VLOOKUP(E103,'(新)EG'!$A$3:$K$184,2,0),"")</f>
        <v/>
      </c>
      <c r="C103" s="7" t="str">
        <f>IFERROR(VLOOKUP(E103,'(新)EG'!$A$3:$K$184,4,0),"")</f>
        <v/>
      </c>
      <c r="D103" s="15" t="str">
        <f>IFERROR(VLOOKUP(E103,'(新)EG'!$A$3:$K$184,5,0),"")</f>
        <v/>
      </c>
      <c r="E103" s="23">
        <f>'(新)EG'!$A104</f>
        <v>0</v>
      </c>
      <c r="F103" s="16" t="str">
        <f>IFERROR(VLOOKUP(E103,'(新)EG'!$A$3:$K$184,8,0),"")</f>
        <v/>
      </c>
      <c r="G103" s="7" t="str">
        <f>IFERROR(VLOOKUP(E103,'(旧)EG'!$A$3:$K$100,10,0),"")</f>
        <v/>
      </c>
      <c r="H103" s="12" t="s">
        <v>60</v>
      </c>
      <c r="I103" s="7" t="str">
        <f>IFERROR(VLOOKUP(E103,'(新)EG'!$A$3:$K$184,10,0),"")</f>
        <v/>
      </c>
    </row>
    <row r="104" spans="1:9" s="19" customFormat="1" ht="13.8" thickBot="1" x14ac:dyDescent="0.2">
      <c r="A104" s="11">
        <v>128</v>
      </c>
      <c r="B104" s="7" t="str">
        <f>IFERROR(VLOOKUP(E104,'(新)EG'!$A$3:$K$184,2,0),"")</f>
        <v/>
      </c>
      <c r="C104" s="7" t="str">
        <f>IFERROR(VLOOKUP(E104,'(新)EG'!$A$3:$K$184,4,0),"")</f>
        <v/>
      </c>
      <c r="D104" s="15" t="str">
        <f>IFERROR(VLOOKUP(E104,'(新)EG'!$A$3:$K$184,5,0),"")</f>
        <v/>
      </c>
      <c r="E104" s="23">
        <f>'(新)EG'!$A105</f>
        <v>0</v>
      </c>
      <c r="F104" s="16" t="str">
        <f>IFERROR(VLOOKUP(E104,'(新)EG'!$A$3:$K$184,8,0),"")</f>
        <v/>
      </c>
      <c r="G104" s="7" t="str">
        <f>IFERROR(VLOOKUP(E104,'(旧)EG'!$A$3:$K$100,10,0),"")</f>
        <v/>
      </c>
      <c r="H104" s="12" t="s">
        <v>60</v>
      </c>
      <c r="I104" s="7" t="str">
        <f>IFERROR(VLOOKUP(E104,'(新)EG'!$A$3:$K$184,10,0),"")</f>
        <v/>
      </c>
    </row>
    <row r="105" spans="1:9" s="19" customFormat="1" ht="13.8" thickBot="1" x14ac:dyDescent="0.2">
      <c r="A105" s="11">
        <v>129</v>
      </c>
      <c r="B105" s="7" t="str">
        <f>IFERROR(VLOOKUP(E105,'(新)EG'!$A$3:$K$184,2,0),"")</f>
        <v/>
      </c>
      <c r="C105" s="7" t="str">
        <f>IFERROR(VLOOKUP(E105,'(新)EG'!$A$3:$K$184,4,0),"")</f>
        <v/>
      </c>
      <c r="D105" s="15" t="str">
        <f>IFERROR(VLOOKUP(E105,'(新)EG'!$A$3:$K$84,5,0),"")</f>
        <v/>
      </c>
      <c r="E105" s="23">
        <f>'(新)EG'!$A106</f>
        <v>0</v>
      </c>
      <c r="F105" s="16" t="str">
        <f>IFERROR(VLOOKUP(E105,'(新)EG'!$A$3:$K$84,8,0),"")</f>
        <v/>
      </c>
      <c r="G105" s="7" t="str">
        <f>IFERROR(VLOOKUP(E105,'(旧)EG'!$A$3:$K$100,10,0),"")</f>
        <v/>
      </c>
      <c r="H105" s="12" t="s">
        <v>60</v>
      </c>
      <c r="I105" s="7" t="str">
        <f>IFERROR(VLOOKUP(E105,'(新)EG'!$A$3:$K$84,10,0),"")</f>
        <v/>
      </c>
    </row>
    <row r="106" spans="1:9" s="19" customFormat="1" ht="13.8" thickBot="1" x14ac:dyDescent="0.2">
      <c r="A106" s="11">
        <v>130</v>
      </c>
      <c r="B106" s="7" t="str">
        <f>IFERROR(VLOOKUP(E106,'(新)EG'!$A$3:$K$84,2,0),"")</f>
        <v/>
      </c>
      <c r="C106" s="7" t="str">
        <f>IFERROR(VLOOKUP(E106,'(新)EG'!$A$3:$K$184,4,0),"")</f>
        <v/>
      </c>
      <c r="D106" s="15" t="str">
        <f>IFERROR(VLOOKUP(E106,'(新)EG'!$A$3:$K$84,5,0),"")</f>
        <v/>
      </c>
      <c r="E106" s="23">
        <f>'(新)EG'!$A107</f>
        <v>0</v>
      </c>
      <c r="F106" s="16" t="str">
        <f>IFERROR(VLOOKUP(E106,'(新)EG'!$A$3:$K$84,8,0),"")</f>
        <v/>
      </c>
      <c r="G106" s="7" t="str">
        <f>IFERROR(VLOOKUP(E106,'(旧)EG'!$A$3:$K$100,10,0),"")</f>
        <v/>
      </c>
      <c r="H106" s="12" t="s">
        <v>60</v>
      </c>
      <c r="I106" s="7" t="str">
        <f>IFERROR(VLOOKUP(E106,'(新)EG'!$A$3:$K$84,10,0),"")</f>
        <v/>
      </c>
    </row>
    <row r="107" spans="1:9" s="19" customFormat="1" ht="13.8" thickBot="1" x14ac:dyDescent="0.2">
      <c r="A107" s="11">
        <v>131</v>
      </c>
      <c r="B107" s="7" t="str">
        <f>IFERROR(VLOOKUP(E107,'(新)EG'!$A$3:$K$84,2,0),"")</f>
        <v/>
      </c>
      <c r="C107" s="7" t="str">
        <f>IFERROR(VLOOKUP(E107,'(新)EG'!$A$3:$K$184,4,0),"")</f>
        <v/>
      </c>
      <c r="D107" s="15" t="str">
        <f>IFERROR(VLOOKUP(E107,'(新)EG'!$A$3:$K$84,5,0),"")</f>
        <v/>
      </c>
      <c r="E107" s="23">
        <f>'(新)EG'!$A108</f>
        <v>0</v>
      </c>
      <c r="F107" s="16" t="str">
        <f>IFERROR(VLOOKUP(E107,'(新)EG'!$A$3:$K$84,8,0),"")</f>
        <v/>
      </c>
      <c r="G107" s="7" t="str">
        <f>IFERROR(VLOOKUP(E107,'(旧)EG'!$A$3:$K$100,10,0),"")</f>
        <v/>
      </c>
      <c r="H107" s="12" t="s">
        <v>60</v>
      </c>
      <c r="I107" s="7" t="str">
        <f>IFERROR(VLOOKUP(E107,'(新)EG'!$A$3:$K$84,10,0),"")</f>
        <v/>
      </c>
    </row>
    <row r="108" spans="1:9" s="19" customFormat="1" ht="13.8" thickBot="1" x14ac:dyDescent="0.2">
      <c r="A108" s="11">
        <v>132</v>
      </c>
      <c r="B108" s="7" t="str">
        <f>IFERROR(VLOOKUP(E108,'(新)EG'!$A$3:$K$84,2,0),"")</f>
        <v/>
      </c>
      <c r="C108" s="7" t="str">
        <f>IFERROR(VLOOKUP(E108,'(新)EG'!$A$3:$K$184,4,0),"")</f>
        <v/>
      </c>
      <c r="D108" s="15" t="str">
        <f>IFERROR(VLOOKUP(E108,'(新)EG'!$A$3:$K$84,5,0),"")</f>
        <v/>
      </c>
      <c r="E108" s="23">
        <f>'(新)EG'!$A109</f>
        <v>0</v>
      </c>
      <c r="F108" s="16" t="str">
        <f>IFERROR(VLOOKUP(E108,'(新)EG'!$A$3:$K$84,8,0),"")</f>
        <v/>
      </c>
      <c r="G108" s="7" t="str">
        <f>IFERROR(VLOOKUP(E108,'(旧)EG'!$A$3:$K$100,10,0),"")</f>
        <v/>
      </c>
      <c r="H108" s="12" t="s">
        <v>60</v>
      </c>
      <c r="I108" s="7" t="str">
        <f>IFERROR(VLOOKUP(E108,'(新)EG'!$A$3:$K$84,10,0),"")</f>
        <v/>
      </c>
    </row>
    <row r="109" spans="1:9" s="19" customFormat="1" ht="13.8" thickBot="1" x14ac:dyDescent="0.2">
      <c r="A109" s="11">
        <v>133</v>
      </c>
      <c r="B109" s="7" t="str">
        <f>IFERROR(VLOOKUP(E109,'(新)EG'!$A$3:$K$84,2,0),"")</f>
        <v/>
      </c>
      <c r="C109" s="7" t="str">
        <f>IFERROR(VLOOKUP(E109,'(新)EG'!$A$3:$K$184,4,0),"")</f>
        <v/>
      </c>
      <c r="D109" s="15" t="str">
        <f>IFERROR(VLOOKUP(E109,'(新)EG'!$A$3:$K$84,5,0),"")</f>
        <v/>
      </c>
      <c r="E109" s="23">
        <f>'(新)EG'!$A110</f>
        <v>0</v>
      </c>
      <c r="F109" s="16" t="str">
        <f>IFERROR(VLOOKUP(E109,'(新)EG'!$A$3:$K$84,8,0),"")</f>
        <v/>
      </c>
      <c r="G109" s="7" t="str">
        <f>IFERROR(VLOOKUP(E109,'(旧)EG'!$A$3:$K$100,10,0),"")</f>
        <v/>
      </c>
      <c r="H109" s="12" t="s">
        <v>60</v>
      </c>
      <c r="I109" s="7" t="str">
        <f>IFERROR(VLOOKUP(E109,'(新)EG'!$A$3:$K$84,10,0),"")</f>
        <v/>
      </c>
    </row>
    <row r="110" spans="1:9" s="19" customFormat="1" ht="13.8" thickBot="1" x14ac:dyDescent="0.2">
      <c r="A110" s="11">
        <v>134</v>
      </c>
      <c r="B110" s="7" t="str">
        <f>IFERROR(VLOOKUP(E110,'(新)EG'!$A$3:$K$84,2,0),"")</f>
        <v/>
      </c>
      <c r="C110" s="7" t="str">
        <f>IFERROR(VLOOKUP(E110,'(新)EG'!$A$3:$K$184,4,0),"")</f>
        <v/>
      </c>
      <c r="D110" s="15" t="str">
        <f>IFERROR(VLOOKUP(E110,'(新)EG'!$A$3:$K$84,5,0),"")</f>
        <v/>
      </c>
      <c r="E110" s="23">
        <f>'(新)EG'!$A111</f>
        <v>0</v>
      </c>
      <c r="F110" s="16" t="str">
        <f>IFERROR(VLOOKUP(E110,'(新)EG'!$A$3:$K$84,8,0),"")</f>
        <v/>
      </c>
      <c r="G110" s="7" t="str">
        <f>IFERROR(VLOOKUP(E110,'(旧)EG'!$A$3:$K$100,10,0),"")</f>
        <v/>
      </c>
      <c r="H110" s="12" t="s">
        <v>60</v>
      </c>
      <c r="I110" s="7" t="str">
        <f>IFERROR(VLOOKUP(E110,'(新)EG'!$A$3:$K$84,10,0),"")</f>
        <v/>
      </c>
    </row>
    <row r="111" spans="1:9" s="19" customFormat="1" ht="13.8" thickBot="1" x14ac:dyDescent="0.2">
      <c r="A111" s="11">
        <v>135</v>
      </c>
      <c r="B111" s="7" t="str">
        <f>IFERROR(VLOOKUP(E111,'(新)EG'!$A$3:$K$84,2,0),"")</f>
        <v/>
      </c>
      <c r="C111" s="7" t="str">
        <f>IFERROR(VLOOKUP(E111,'(新)EG'!$A$3:$K$184,4,0),"")</f>
        <v/>
      </c>
      <c r="D111" s="15" t="str">
        <f>IFERROR(VLOOKUP(E111,'(新)EG'!$A$3:$K$84,5,0),"")</f>
        <v/>
      </c>
      <c r="E111" s="23">
        <f>'(新)EG'!$A112</f>
        <v>0</v>
      </c>
      <c r="F111" s="16" t="str">
        <f>IFERROR(VLOOKUP(E111,'(新)EG'!$A$3:$K$84,8,0),"")</f>
        <v/>
      </c>
      <c r="G111" s="7" t="str">
        <f>IFERROR(VLOOKUP(E111,'(旧)EG'!$A$3:$K$100,10,0),"")</f>
        <v/>
      </c>
      <c r="H111" s="12" t="s">
        <v>60</v>
      </c>
      <c r="I111" s="7" t="str">
        <f>IFERROR(VLOOKUP(E111,'(新)EG'!$A$3:$K$84,10,0),"")</f>
        <v/>
      </c>
    </row>
    <row r="112" spans="1:9" s="19" customFormat="1" ht="13.8" thickBot="1" x14ac:dyDescent="0.2">
      <c r="A112" s="11">
        <v>136</v>
      </c>
      <c r="B112" s="7" t="str">
        <f>IFERROR(VLOOKUP(E112,'(新)EG'!$A$3:$K$84,2,0),"")</f>
        <v/>
      </c>
      <c r="C112" s="7" t="str">
        <f>IFERROR(VLOOKUP(E112,'(新)EG'!$A$3:$K$184,4,0),"")</f>
        <v/>
      </c>
      <c r="D112" s="15" t="str">
        <f>IFERROR(VLOOKUP(E112,'(新)EG'!$A$3:$K$84,5,0),"")</f>
        <v/>
      </c>
      <c r="E112" s="23">
        <f>'(新)EG'!$A113</f>
        <v>0</v>
      </c>
      <c r="F112" s="16" t="str">
        <f>IFERROR(VLOOKUP(E112,'(新)EG'!$A$3:$K$84,8,0),"")</f>
        <v/>
      </c>
      <c r="G112" s="7" t="str">
        <f>IFERROR(VLOOKUP(E112,'(旧)EG'!$A$3:$K$100,10,0),"")</f>
        <v/>
      </c>
      <c r="H112" s="12" t="s">
        <v>60</v>
      </c>
      <c r="I112" s="7" t="str">
        <f>IFERROR(VLOOKUP(E112,'(新)EG'!$A$3:$K$84,10,0),"")</f>
        <v/>
      </c>
    </row>
    <row r="113" spans="1:9" s="19" customFormat="1" ht="13.8" thickBot="1" x14ac:dyDescent="0.2">
      <c r="A113" s="11">
        <v>137</v>
      </c>
      <c r="B113" s="7" t="str">
        <f>IFERROR(VLOOKUP(E113,'(新)EG'!$A$3:$K$84,2,0),"")</f>
        <v/>
      </c>
      <c r="C113" s="7" t="str">
        <f>IFERROR(VLOOKUP(E113,'[1](新)EG'!$A$3:$K$84,4,0),"")</f>
        <v/>
      </c>
      <c r="D113" s="15" t="str">
        <f>IFERROR(VLOOKUP(E113,'(新)EG'!$A$3:$K$84,5,0),"")</f>
        <v/>
      </c>
      <c r="E113" s="23">
        <f>'(新)EG'!$A114</f>
        <v>0</v>
      </c>
      <c r="F113" s="16" t="str">
        <f>IFERROR(VLOOKUP(E113,'(新)EG'!$A$3:$K$84,8,0),"")</f>
        <v/>
      </c>
      <c r="G113" s="7" t="str">
        <f>IFERROR(VLOOKUP(E113,'[1](旧)EG'!$A$3:$K$100,10,0),"")</f>
        <v/>
      </c>
      <c r="H113" s="12" t="s">
        <v>60</v>
      </c>
      <c r="I113" s="7" t="str">
        <f>IFERROR(VLOOKUP(E113,'(新)EG'!$A$3:$K$84,10,0),"")</f>
        <v/>
      </c>
    </row>
    <row r="114" spans="1:9" s="19" customFormat="1" ht="13.8" thickBot="1" x14ac:dyDescent="0.2">
      <c r="A114" s="11">
        <v>138</v>
      </c>
      <c r="B114" s="7" t="str">
        <f>IFERROR(VLOOKUP(E114,'(新)EG'!$A$3:$K$84,2,0),"")</f>
        <v/>
      </c>
      <c r="C114" s="7" t="str">
        <f>IFERROR(VLOOKUP(E114,'[1](新)EG'!$A$3:$K$84,4,0),"")</f>
        <v/>
      </c>
      <c r="D114" s="15" t="str">
        <f>IFERROR(VLOOKUP(E114,'(新)EG'!$A$3:$K$84,5,0),"")</f>
        <v/>
      </c>
      <c r="E114" s="23">
        <f>'(新)EG'!$A115</f>
        <v>0</v>
      </c>
      <c r="F114" s="16" t="str">
        <f>IFERROR(VLOOKUP(E114,'(新)EG'!$A$3:$K$84,8,0),"")</f>
        <v/>
      </c>
      <c r="G114" s="7" t="str">
        <f>IFERROR(VLOOKUP(E114,'[1](旧)EG'!$A$3:$K$100,10,0),"")</f>
        <v/>
      </c>
      <c r="H114" s="12" t="s">
        <v>60</v>
      </c>
      <c r="I114" s="7" t="str">
        <f>IFERROR(VLOOKUP(E114,'(新)EG'!$A$3:$K$84,10,0),"")</f>
        <v/>
      </c>
    </row>
    <row r="115" spans="1:9" s="19" customFormat="1" ht="13.8" thickBot="1" x14ac:dyDescent="0.2">
      <c r="A115" s="11">
        <v>139</v>
      </c>
      <c r="B115" s="7" t="str">
        <f>IFERROR(VLOOKUP(E115,'(新)EG'!$A$3:$K$84,2,0),"")</f>
        <v/>
      </c>
      <c r="C115" s="7" t="str">
        <f>IFERROR(VLOOKUP(E115,'[1](新)EG'!$A$3:$K$84,4,0),"")</f>
        <v/>
      </c>
      <c r="D115" s="15" t="str">
        <f>IFERROR(VLOOKUP(E115,'(新)EG'!$A$3:$K$84,5,0),"")</f>
        <v/>
      </c>
      <c r="E115" s="23">
        <f>'(新)EG'!$A116</f>
        <v>0</v>
      </c>
      <c r="F115" s="16" t="str">
        <f>IFERROR(VLOOKUP(E115,'(新)EG'!$A$3:$K$84,8,0),"")</f>
        <v/>
      </c>
      <c r="G115" s="7" t="str">
        <f>IFERROR(VLOOKUP(E115,'[1](旧)EG'!$A$3:$K$100,10,0),"")</f>
        <v/>
      </c>
      <c r="H115" s="12" t="s">
        <v>60</v>
      </c>
      <c r="I115" s="7" t="str">
        <f>IFERROR(VLOOKUP(E115,'(新)EG'!$A$3:$K$84,10,0),"")</f>
        <v/>
      </c>
    </row>
    <row r="116" spans="1:9" s="19" customFormat="1" ht="13.8" thickBot="1" x14ac:dyDescent="0.2">
      <c r="A116" s="11">
        <v>140</v>
      </c>
      <c r="B116" s="7" t="str">
        <f>IFERROR(VLOOKUP(E116,'(新)EG'!$A$3:$K$84,2,0),"")</f>
        <v/>
      </c>
      <c r="C116" s="7" t="str">
        <f>IFERROR(VLOOKUP(E116,'[1](新)EG'!$A$3:$K$84,4,0),"")</f>
        <v/>
      </c>
      <c r="D116" s="15" t="str">
        <f>IFERROR(VLOOKUP(E116,'(新)EG'!$A$3:$K$84,5,0),"")</f>
        <v/>
      </c>
      <c r="E116" s="23">
        <f>'(新)EG'!$A117</f>
        <v>0</v>
      </c>
      <c r="F116" s="16" t="str">
        <f>IFERROR(VLOOKUP(E116,'(新)EG'!$A$3:$K$84,8,0),"")</f>
        <v/>
      </c>
      <c r="G116" s="7" t="str">
        <f>IFERROR(VLOOKUP(E116,'[1](旧)EG'!$A$3:$K$100,10,0),"")</f>
        <v/>
      </c>
      <c r="H116" s="12" t="s">
        <v>60</v>
      </c>
      <c r="I116" s="7" t="str">
        <f>IFERROR(VLOOKUP(E116,'(新)EG'!$A$3:$K$84,10,0),"")</f>
        <v/>
      </c>
    </row>
    <row r="117" spans="1:9" s="19" customFormat="1" ht="13.8" thickBot="1" x14ac:dyDescent="0.2">
      <c r="A117" s="11">
        <v>141</v>
      </c>
      <c r="B117" s="7" t="str">
        <f>IFERROR(VLOOKUP(E117,'(新)EG'!$A$3:$K$84,2,0),"")</f>
        <v/>
      </c>
      <c r="C117" s="7" t="str">
        <f>IFERROR(VLOOKUP(E117,'[1](新)EG'!$A$3:$K$84,4,0),"")</f>
        <v/>
      </c>
      <c r="D117" s="15" t="str">
        <f>IFERROR(VLOOKUP(E117,'(新)EG'!$A$3:$K$84,5,0),"")</f>
        <v/>
      </c>
      <c r="E117" s="23">
        <f>'(新)EG'!$A118</f>
        <v>0</v>
      </c>
      <c r="F117" s="16" t="str">
        <f>IFERROR(VLOOKUP(E117,'(新)EG'!$A$3:$K$84,8,0),"")</f>
        <v/>
      </c>
      <c r="G117" s="7" t="str">
        <f>IFERROR(VLOOKUP(E117,'[1](旧)EG'!$A$3:$K$100,10,0),"")</f>
        <v/>
      </c>
      <c r="H117" s="12" t="s">
        <v>60</v>
      </c>
      <c r="I117" s="7" t="str">
        <f>IFERROR(VLOOKUP(E117,'(新)EG'!$A$3:$K$84,10,0),"")</f>
        <v/>
      </c>
    </row>
    <row r="118" spans="1:9" s="19" customFormat="1" ht="13.8" thickBot="1" x14ac:dyDescent="0.2">
      <c r="A118" s="11">
        <v>142</v>
      </c>
      <c r="B118" s="7" t="str">
        <f>IFERROR(VLOOKUP(E118,'(新)EG'!$A$3:$K$84,2,0),"")</f>
        <v/>
      </c>
      <c r="C118" s="7" t="str">
        <f>IFERROR(VLOOKUP(E118,'[1](新)EG'!$A$3:$K$84,4,0),"")</f>
        <v/>
      </c>
      <c r="D118" s="15" t="str">
        <f>IFERROR(VLOOKUP(E118,'(新)EG'!$A$3:$K$84,5,0),"")</f>
        <v/>
      </c>
      <c r="E118" s="23">
        <f>'[1](新)EG'!A121</f>
        <v>0</v>
      </c>
      <c r="F118" s="16" t="str">
        <f>IFERROR(VLOOKUP(E118,'(新)EG'!$A$3:$K$84,8,0),"")</f>
        <v/>
      </c>
      <c r="G118" s="7" t="str">
        <f>IFERROR(VLOOKUP(E118,'[1](旧)EG'!$A$3:$K$100,10,0),"")</f>
        <v/>
      </c>
      <c r="H118" s="12" t="s">
        <v>60</v>
      </c>
      <c r="I118" s="7" t="str">
        <f>IFERROR(VLOOKUP(E118,'(新)EG'!$A$3:$K$84,10,0),"")</f>
        <v/>
      </c>
    </row>
    <row r="119" spans="1:9" s="19" customFormat="1" ht="13.8" thickBot="1" x14ac:dyDescent="0.2">
      <c r="A119" s="11">
        <v>143</v>
      </c>
      <c r="B119" s="7" t="str">
        <f>IFERROR(VLOOKUP(E119,'(新)EG'!$A$3:$K$84,2,0),"")</f>
        <v/>
      </c>
      <c r="C119" s="7" t="str">
        <f>IFERROR(VLOOKUP(E119,'[1](新)EG'!$A$3:$K$84,4,0),"")</f>
        <v/>
      </c>
      <c r="D119" s="15" t="str">
        <f>IFERROR(VLOOKUP(E119,'(新)EG'!$A$3:$K$84,5,0),"")</f>
        <v/>
      </c>
      <c r="E119" s="23">
        <f>'[1](新)EG'!A122</f>
        <v>0</v>
      </c>
      <c r="F119" s="16" t="str">
        <f>IFERROR(VLOOKUP(E119,'(新)EG'!$A$3:$K$84,8,0),"")</f>
        <v/>
      </c>
      <c r="G119" s="7" t="str">
        <f>IFERROR(VLOOKUP(E119,'[1](旧)EG'!$A$3:$K$100,10,0),"")</f>
        <v/>
      </c>
      <c r="H119" s="12" t="s">
        <v>60</v>
      </c>
      <c r="I119" s="7" t="str">
        <f>IFERROR(VLOOKUP(E119,'(新)EG'!$A$3:$K$84,10,0),"")</f>
        <v/>
      </c>
    </row>
    <row r="120" spans="1:9" s="19" customFormat="1" ht="13.8" thickBot="1" x14ac:dyDescent="0.2">
      <c r="A120" s="11">
        <v>144</v>
      </c>
      <c r="B120" s="7" t="str">
        <f>IFERROR(VLOOKUP(E120,'(新)EG'!$A$3:$K$84,2,0),"")</f>
        <v/>
      </c>
      <c r="C120" s="7" t="str">
        <f>IFERROR(VLOOKUP(E120,'[1](新)EG'!$A$3:$K$84,4,0),"")</f>
        <v/>
      </c>
      <c r="D120" s="15" t="str">
        <f>IFERROR(VLOOKUP(E120,'(新)EG'!$A$3:$K$84,5,0),"")</f>
        <v/>
      </c>
      <c r="E120" s="23">
        <f>'[1](新)EG'!A123</f>
        <v>0</v>
      </c>
      <c r="F120" s="16" t="str">
        <f>IFERROR(VLOOKUP(E120,'(新)EG'!$A$3:$K$84,8,0),"")</f>
        <v/>
      </c>
      <c r="G120" s="7" t="str">
        <f>IFERROR(VLOOKUP(E120,'[1](旧)EG'!$A$3:$K$100,10,0),"")</f>
        <v/>
      </c>
      <c r="H120" s="12" t="s">
        <v>60</v>
      </c>
      <c r="I120" s="7" t="str">
        <f>IFERROR(VLOOKUP(E120,'(新)EG'!$A$3:$K$84,10,0),"")</f>
        <v/>
      </c>
    </row>
    <row r="121" spans="1:9" s="19" customFormat="1" ht="13.8" thickBot="1" x14ac:dyDescent="0.2">
      <c r="A121" s="11">
        <v>145</v>
      </c>
      <c r="B121" s="7" t="str">
        <f>IFERROR(VLOOKUP(E121,'(新)EG'!$A$3:$K$84,2,0),"")</f>
        <v/>
      </c>
      <c r="C121" s="7" t="str">
        <f>IFERROR(VLOOKUP(E121,'[1](新)EG'!$A$3:$K$84,4,0),"")</f>
        <v/>
      </c>
      <c r="D121" s="15" t="str">
        <f>IFERROR(VLOOKUP(E121,'(新)EG'!$A$3:$K$84,5,0),"")</f>
        <v/>
      </c>
      <c r="E121" s="23">
        <f>'[1](新)EG'!A124</f>
        <v>0</v>
      </c>
      <c r="F121" s="16" t="str">
        <f>IFERROR(VLOOKUP(E121,'(新)EG'!$A$3:$K$84,8,0),"")</f>
        <v/>
      </c>
      <c r="G121" s="7" t="str">
        <f>IFERROR(VLOOKUP(E121,'[1](旧)EG'!$A$3:$K$100,10,0),"")</f>
        <v/>
      </c>
      <c r="H121" s="12" t="s">
        <v>60</v>
      </c>
      <c r="I121" s="7" t="str">
        <f>IFERROR(VLOOKUP(E121,'(新)EG'!$A$3:$K$84,10,0),"")</f>
        <v/>
      </c>
    </row>
    <row r="122" spans="1:9" s="19" customFormat="1" ht="13.8" thickBot="1" x14ac:dyDescent="0.2">
      <c r="A122" s="11">
        <v>146</v>
      </c>
      <c r="B122" s="7" t="str">
        <f>IFERROR(VLOOKUP(E122,'(新)EG'!$A$3:$K$84,2,0),"")</f>
        <v/>
      </c>
      <c r="C122" s="7" t="str">
        <f>IFERROR(VLOOKUP(E122,'[1](新)EG'!$A$3:$K$84,4,0),"")</f>
        <v/>
      </c>
      <c r="D122" s="15" t="str">
        <f>IFERROR(VLOOKUP(E122,'(新)EG'!$A$3:$K$84,5,0),"")</f>
        <v/>
      </c>
      <c r="E122" s="23">
        <f>'[1](新)EG'!A125</f>
        <v>0</v>
      </c>
      <c r="F122" s="16" t="str">
        <f>IFERROR(VLOOKUP(E122,'(新)EG'!$A$3:$K$84,8,0),"")</f>
        <v/>
      </c>
      <c r="G122" s="7" t="str">
        <f>IFERROR(VLOOKUP(E122,'[1](旧)EG'!$A$3:$K$100,10,0),"")</f>
        <v/>
      </c>
      <c r="H122" s="12" t="s">
        <v>60</v>
      </c>
      <c r="I122" s="7" t="str">
        <f>IFERROR(VLOOKUP(E122,'(新)EG'!$A$3:$K$84,10,0),"")</f>
        <v/>
      </c>
    </row>
    <row r="123" spans="1:9" s="19" customFormat="1" ht="13.8" thickBot="1" x14ac:dyDescent="0.2">
      <c r="A123" s="11">
        <v>147</v>
      </c>
      <c r="B123" s="7" t="str">
        <f>IFERROR(VLOOKUP(E123,'(新)EG'!$A$3:$K$84,2,0),"")</f>
        <v/>
      </c>
      <c r="C123" s="7" t="str">
        <f>IFERROR(VLOOKUP(E123,'[1](新)EG'!$A$3:$K$84,4,0),"")</f>
        <v/>
      </c>
      <c r="D123" s="15" t="str">
        <f>IFERROR(VLOOKUP(E123,'(新)EG'!$A$3:$K$84,5,0),"")</f>
        <v/>
      </c>
      <c r="E123" s="23">
        <f>'[1](新)EG'!A126</f>
        <v>0</v>
      </c>
      <c r="F123" s="16" t="str">
        <f>IFERROR(VLOOKUP(E123,'(新)EG'!$A$3:$K$84,8,0),"")</f>
        <v/>
      </c>
      <c r="G123" s="7" t="str">
        <f>IFERROR(VLOOKUP(E123,'[1](旧)EG'!$A$3:$K$100,10,0),"")</f>
        <v/>
      </c>
      <c r="H123" s="12" t="s">
        <v>60</v>
      </c>
      <c r="I123" s="7" t="str">
        <f>IFERROR(VLOOKUP(E123,'(新)EG'!$A$3:$K$84,10,0),"")</f>
        <v/>
      </c>
    </row>
    <row r="124" spans="1:9" s="19" customFormat="1" ht="13.8" thickBot="1" x14ac:dyDescent="0.2">
      <c r="A124" s="11">
        <v>148</v>
      </c>
      <c r="B124" s="7" t="str">
        <f>IFERROR(VLOOKUP(E124,'(新)EG'!$A$3:$K$84,2,0),"")</f>
        <v/>
      </c>
      <c r="C124" s="7" t="str">
        <f>IFERROR(VLOOKUP(E124,'[1](新)EG'!$A$3:$K$84,4,0),"")</f>
        <v/>
      </c>
      <c r="D124" s="15" t="str">
        <f>IFERROR(VLOOKUP(E124,'(新)EG'!$A$3:$K$84,5,0),"")</f>
        <v/>
      </c>
      <c r="E124" s="23">
        <f>'[1](新)EG'!A127</f>
        <v>0</v>
      </c>
      <c r="F124" s="16" t="str">
        <f>IFERROR(VLOOKUP(E124,'(新)EG'!$A$3:$K$84,8,0),"")</f>
        <v/>
      </c>
      <c r="G124" s="7" t="str">
        <f>IFERROR(VLOOKUP(E124,'[1](旧)EG'!$A$3:$K$100,10,0),"")</f>
        <v/>
      </c>
      <c r="H124" s="12" t="s">
        <v>60</v>
      </c>
      <c r="I124" s="7" t="str">
        <f>IFERROR(VLOOKUP(E124,'(新)EG'!$A$3:$K$84,10,0),"")</f>
        <v/>
      </c>
    </row>
    <row r="125" spans="1:9" s="19" customFormat="1" ht="13.8" thickBot="1" x14ac:dyDescent="0.2">
      <c r="A125" s="11">
        <v>149</v>
      </c>
      <c r="B125" s="7" t="str">
        <f>IFERROR(VLOOKUP(E125,'(新)EG'!$A$3:$K$84,2,0),"")</f>
        <v/>
      </c>
      <c r="C125" s="7" t="str">
        <f>IFERROR(VLOOKUP(E125,'[1](新)EG'!$A$3:$K$84,4,0),"")</f>
        <v/>
      </c>
      <c r="D125" s="15" t="str">
        <f>IFERROR(VLOOKUP(E125,'(新)EG'!$A$3:$K$84,5,0),"")</f>
        <v/>
      </c>
      <c r="E125" s="23">
        <f>'[1](新)EG'!A128</f>
        <v>0</v>
      </c>
      <c r="F125" s="16" t="str">
        <f>IFERROR(VLOOKUP(E125,'(新)EG'!$A$3:$K$84,8,0),"")</f>
        <v/>
      </c>
      <c r="G125" s="7" t="str">
        <f>IFERROR(VLOOKUP(E125,'[1](旧)EG'!$A$3:$K$100,10,0),"")</f>
        <v/>
      </c>
      <c r="H125" s="12" t="s">
        <v>60</v>
      </c>
      <c r="I125" s="7" t="str">
        <f>IFERROR(VLOOKUP(E125,'(新)EG'!$A$3:$K$84,10,0),"")</f>
        <v/>
      </c>
    </row>
    <row r="126" spans="1:9" s="19" customFormat="1" ht="13.8" thickBot="1" x14ac:dyDescent="0.2">
      <c r="A126" s="11">
        <v>150</v>
      </c>
      <c r="B126" s="7" t="str">
        <f>IFERROR(VLOOKUP(E126,'(新)EG'!$A$3:$K$84,2,0),"")</f>
        <v/>
      </c>
      <c r="C126" s="7" t="str">
        <f>IFERROR(VLOOKUP(E126,'[1](新)EG'!$A$3:$K$84,4,0),"")</f>
        <v/>
      </c>
      <c r="D126" s="15" t="str">
        <f>IFERROR(VLOOKUP(E126,'(新)EG'!$A$3:$K$84,5,0),"")</f>
        <v/>
      </c>
      <c r="E126" s="23">
        <f>'[1](新)EG'!A129</f>
        <v>0</v>
      </c>
      <c r="F126" s="16" t="str">
        <f>IFERROR(VLOOKUP(E126,'(新)EG'!$A$3:$K$84,8,0),"")</f>
        <v/>
      </c>
      <c r="G126" s="7" t="str">
        <f>IFERROR(VLOOKUP(E126,'[1](旧)EG'!$A$3:$K$100,10,0),"")</f>
        <v/>
      </c>
      <c r="H126" s="12" t="s">
        <v>60</v>
      </c>
      <c r="I126" s="7" t="str">
        <f>IFERROR(VLOOKUP(E126,'(新)EG'!$A$3:$K$84,10,0),"")</f>
        <v/>
      </c>
    </row>
    <row r="127" spans="1:9" s="19" customFormat="1" ht="13.8" thickBot="1" x14ac:dyDescent="0.2">
      <c r="A127" s="11">
        <v>151</v>
      </c>
      <c r="B127" s="7" t="str">
        <f>IFERROR(VLOOKUP(E127,'(新)EG'!$A$3:$K$84,2,0),"")</f>
        <v/>
      </c>
      <c r="C127" s="7" t="str">
        <f>IFERROR(VLOOKUP(E127,'[1](新)EG'!$A$3:$K$84,4,0),"")</f>
        <v/>
      </c>
      <c r="D127" s="15" t="str">
        <f>IFERROR(VLOOKUP(E127,'(新)EG'!$A$3:$K$84,5,0),"")</f>
        <v/>
      </c>
      <c r="E127" s="23">
        <f>'[1](新)EG'!A130</f>
        <v>0</v>
      </c>
      <c r="F127" s="16" t="str">
        <f>IFERROR(VLOOKUP(E127,'(新)EG'!$A$3:$K$84,8,0),"")</f>
        <v/>
      </c>
      <c r="G127" s="7" t="str">
        <f>IFERROR(VLOOKUP(E127,'[1](旧)EG'!$A$3:$K$100,10,0),"")</f>
        <v/>
      </c>
      <c r="H127" s="12" t="s">
        <v>60</v>
      </c>
      <c r="I127" s="7" t="str">
        <f>IFERROR(VLOOKUP(E127,'(新)EG'!$A$3:$K$84,10,0),"")</f>
        <v/>
      </c>
    </row>
    <row r="128" spans="1:9" s="19" customFormat="1" ht="13.8" thickBot="1" x14ac:dyDescent="0.2">
      <c r="A128" s="11">
        <v>152</v>
      </c>
      <c r="B128" s="7" t="str">
        <f>IFERROR(VLOOKUP(E128,'(新)EG'!$A$3:$K$84,2,0),"")</f>
        <v/>
      </c>
      <c r="C128" s="7" t="str">
        <f>IFERROR(VLOOKUP(E128,'[1](新)EG'!$A$3:$K$84,4,0),"")</f>
        <v/>
      </c>
      <c r="D128" s="15" t="str">
        <f>IFERROR(VLOOKUP(E128,'(新)EG'!$A$3:$K$84,5,0),"")</f>
        <v/>
      </c>
      <c r="E128" s="23">
        <f>'[1](新)EG'!A131</f>
        <v>0</v>
      </c>
      <c r="F128" s="16" t="str">
        <f>IFERROR(VLOOKUP(E128,'(新)EG'!$A$3:$K$84,8,0),"")</f>
        <v/>
      </c>
      <c r="G128" s="7" t="str">
        <f>IFERROR(VLOOKUP(E128,'[1](旧)EG'!$A$3:$K$100,10,0),"")</f>
        <v/>
      </c>
      <c r="H128" s="12" t="s">
        <v>60</v>
      </c>
      <c r="I128" s="7" t="str">
        <f>IFERROR(VLOOKUP(E128,'(新)EG'!$A$3:$K$84,10,0),"")</f>
        <v/>
      </c>
    </row>
    <row r="129" spans="1:9" s="19" customFormat="1" ht="13.8" thickBot="1" x14ac:dyDescent="0.2">
      <c r="A129" s="11">
        <v>153</v>
      </c>
      <c r="B129" s="7" t="str">
        <f>IFERROR(VLOOKUP(E129,'(新)EG'!$A$3:$K$84,2,0),"")</f>
        <v/>
      </c>
      <c r="C129" s="7" t="str">
        <f>IFERROR(VLOOKUP(E129,'[1](新)EG'!$A$3:$K$84,4,0),"")</f>
        <v/>
      </c>
      <c r="D129" s="15" t="str">
        <f>IFERROR(VLOOKUP(E129,'(新)EG'!$A$3:$K$84,5,0),"")</f>
        <v/>
      </c>
      <c r="E129" s="23">
        <f>'[1](新)EG'!A132</f>
        <v>0</v>
      </c>
      <c r="F129" s="16" t="str">
        <f>IFERROR(VLOOKUP(E129,'(新)EG'!$A$3:$K$84,8,0),"")</f>
        <v/>
      </c>
      <c r="G129" s="7" t="str">
        <f>IFERROR(VLOOKUP(E129,'[1](旧)EG'!$A$3:$K$100,10,0),"")</f>
        <v/>
      </c>
      <c r="H129" s="12" t="s">
        <v>60</v>
      </c>
      <c r="I129" s="7" t="str">
        <f>IFERROR(VLOOKUP(E129,'(新)EG'!$A$3:$K$84,10,0),"")</f>
        <v/>
      </c>
    </row>
    <row r="130" spans="1:9" s="19" customFormat="1" ht="13.8" thickBot="1" x14ac:dyDescent="0.2">
      <c r="A130" s="11">
        <v>154</v>
      </c>
      <c r="B130" s="7" t="str">
        <f>IFERROR(VLOOKUP(E130,'(新)EG'!$A$3:$K$84,2,0),"")</f>
        <v/>
      </c>
      <c r="C130" s="7" t="str">
        <f>IFERROR(VLOOKUP(E130,'[1](新)EG'!$A$3:$K$84,4,0),"")</f>
        <v/>
      </c>
      <c r="D130" s="15" t="str">
        <f>IFERROR(VLOOKUP(E130,'(新)EG'!$A$3:$K$84,5,0),"")</f>
        <v/>
      </c>
      <c r="E130" s="23">
        <f>'[1](新)EG'!A133</f>
        <v>0</v>
      </c>
      <c r="F130" s="16" t="str">
        <f>IFERROR(VLOOKUP(E130,'(新)EG'!$A$3:$K$84,8,0),"")</f>
        <v/>
      </c>
      <c r="G130" s="7" t="str">
        <f>IFERROR(VLOOKUP(E130,'[1](旧)EG'!$A$3:$K$100,10,0),"")</f>
        <v/>
      </c>
      <c r="H130" s="12" t="s">
        <v>60</v>
      </c>
      <c r="I130" s="7" t="str">
        <f>IFERROR(VLOOKUP(E130,'(新)EG'!$A$3:$K$84,10,0),"")</f>
        <v/>
      </c>
    </row>
    <row r="131" spans="1:9" s="19" customFormat="1" ht="13.8" thickBot="1" x14ac:dyDescent="0.2">
      <c r="A131" s="11">
        <v>155</v>
      </c>
      <c r="B131" s="7" t="str">
        <f>IFERROR(VLOOKUP(E131,'(新)EG'!$A$3:$K$84,2,0),"")</f>
        <v/>
      </c>
      <c r="C131" s="7" t="str">
        <f>IFERROR(VLOOKUP(E131,'[1](新)EG'!$A$3:$K$84,4,0),"")</f>
        <v/>
      </c>
      <c r="D131" s="15" t="str">
        <f>IFERROR(VLOOKUP(E131,'(新)EG'!$A$3:$K$84,5,0),"")</f>
        <v/>
      </c>
      <c r="E131" s="23">
        <f>'[1](新)EG'!A134</f>
        <v>0</v>
      </c>
      <c r="F131" s="16" t="str">
        <f>IFERROR(VLOOKUP(E131,'(新)EG'!$A$3:$K$84,8,0),"")</f>
        <v/>
      </c>
      <c r="G131" s="7" t="str">
        <f>IFERROR(VLOOKUP(E131,'[1](旧)EG'!$A$3:$K$100,10,0),"")</f>
        <v/>
      </c>
      <c r="H131" s="12" t="s">
        <v>60</v>
      </c>
      <c r="I131" s="7" t="str">
        <f>IFERROR(VLOOKUP(E131,'(新)EG'!$A$3:$K$84,10,0),"")</f>
        <v/>
      </c>
    </row>
    <row r="132" spans="1:9" s="19" customFormat="1" ht="13.8" thickBot="1" x14ac:dyDescent="0.2">
      <c r="A132" s="11">
        <v>156</v>
      </c>
      <c r="B132" s="7" t="str">
        <f>IFERROR(VLOOKUP(E132,'(新)EG'!$A$3:$K$84,2,0),"")</f>
        <v/>
      </c>
      <c r="C132" s="7" t="str">
        <f>IFERROR(VLOOKUP(E132,'[1](新)EG'!$A$3:$K$84,4,0),"")</f>
        <v/>
      </c>
      <c r="D132" s="15" t="str">
        <f>IFERROR(VLOOKUP(E132,'(新)EG'!$A$3:$K$84,5,0),"")</f>
        <v/>
      </c>
      <c r="E132" s="23">
        <f>'[1](新)EG'!A135</f>
        <v>0</v>
      </c>
      <c r="F132" s="16" t="str">
        <f>IFERROR(VLOOKUP(E132,'(新)EG'!$A$3:$K$84,8,0),"")</f>
        <v/>
      </c>
      <c r="G132" s="7" t="str">
        <f>IFERROR(VLOOKUP(E132,'[1](旧)EG'!$A$3:$K$100,10,0),"")</f>
        <v/>
      </c>
      <c r="H132" s="12" t="s">
        <v>60</v>
      </c>
      <c r="I132" s="7" t="str">
        <f>IFERROR(VLOOKUP(E132,'(新)EG'!$A$3:$K$84,10,0),"")</f>
        <v/>
      </c>
    </row>
    <row r="133" spans="1:9" s="19" customFormat="1" ht="13.8" thickBot="1" x14ac:dyDescent="0.2">
      <c r="A133" s="11">
        <v>157</v>
      </c>
      <c r="B133" s="7" t="str">
        <f>IFERROR(VLOOKUP(E133,'(新)EG'!$A$3:$K$84,2,0),"")</f>
        <v/>
      </c>
      <c r="C133" s="7" t="str">
        <f>IFERROR(VLOOKUP(E133,'[1](新)EG'!$A$3:$K$84,4,0),"")</f>
        <v/>
      </c>
      <c r="D133" s="15" t="str">
        <f>IFERROR(VLOOKUP(E133,'(新)EG'!$A$3:$K$84,5,0),"")</f>
        <v/>
      </c>
      <c r="E133" s="23">
        <f>'[1](新)EG'!A136</f>
        <v>0</v>
      </c>
      <c r="F133" s="16" t="str">
        <f>IFERROR(VLOOKUP(E133,'(新)EG'!$A$3:$K$84,8,0),"")</f>
        <v/>
      </c>
      <c r="G133" s="7" t="str">
        <f>IFERROR(VLOOKUP(E133,'[1](旧)EG'!$A$3:$K$100,10,0),"")</f>
        <v/>
      </c>
      <c r="H133" s="12" t="s">
        <v>60</v>
      </c>
      <c r="I133" s="7" t="str">
        <f>IFERROR(VLOOKUP(E133,'(新)EG'!$A$3:$K$84,10,0),"")</f>
        <v/>
      </c>
    </row>
    <row r="134" spans="1:9" s="19" customFormat="1" ht="13.8" thickBot="1" x14ac:dyDescent="0.2">
      <c r="A134" s="11">
        <v>87</v>
      </c>
      <c r="B134" s="7" t="str">
        <f>IFERROR(VLOOKUP(E134,'(新)EG'!$A$3:$K$84,2,0),"")</f>
        <v/>
      </c>
      <c r="C134" s="7" t="str">
        <f>IFERROR(VLOOKUP(E134,'[1](新)EG'!$A$3:$K$84,4,0),"")</f>
        <v/>
      </c>
      <c r="D134" s="15" t="str">
        <f>IFERROR(VLOOKUP(E134,'(新)EG'!$A$3:$K$84,5,0),"")</f>
        <v/>
      </c>
      <c r="E134" s="23">
        <f>'[1](新)EG'!A137</f>
        <v>0</v>
      </c>
      <c r="F134" s="16" t="str">
        <f>IFERROR(VLOOKUP(E134,'(新)EG'!$A$3:$K$84,8,0),"")</f>
        <v/>
      </c>
      <c r="G134" s="7" t="str">
        <f>IFERROR(VLOOKUP(E134,'[1](旧)EG'!$A$3:$K$100,10,0),"")</f>
        <v/>
      </c>
      <c r="H134" s="12" t="s">
        <v>60</v>
      </c>
      <c r="I134" s="7" t="str">
        <f>IFERROR(VLOOKUP(E134,'(新)EG'!$A$3:$K$84,10,0),"")</f>
        <v/>
      </c>
    </row>
    <row r="135" spans="1:9" s="19" customFormat="1" ht="13.8" thickBot="1" x14ac:dyDescent="0.2">
      <c r="A135" s="11">
        <v>117</v>
      </c>
      <c r="B135" s="7" t="str">
        <f>IFERROR(VLOOKUP(E135,'(新)EG'!$A$3:$K$84,2,0),"")</f>
        <v/>
      </c>
      <c r="C135" s="7" t="str">
        <f>IFERROR(VLOOKUP(E135,'[1](新)EG'!$A$3:$K$84,4,0),"")</f>
        <v/>
      </c>
      <c r="D135" s="15" t="str">
        <f>IFERROR(VLOOKUP(E135,'(新)EG'!$A$3:$K$84,5,0),"")</f>
        <v/>
      </c>
      <c r="E135" s="23">
        <f>'[1](新)EG'!A138</f>
        <v>0</v>
      </c>
      <c r="F135" s="16" t="str">
        <f>IFERROR(VLOOKUP(E135,'(新)EG'!$A$3:$K$84,8,0),"")</f>
        <v/>
      </c>
      <c r="G135" s="7" t="str">
        <f>IFERROR(VLOOKUP(E135,'[1](旧)EG'!$A$3:$K$100,10,0),"")</f>
        <v/>
      </c>
      <c r="H135" s="12" t="s">
        <v>60</v>
      </c>
      <c r="I135" s="7" t="str">
        <f>IFERROR(VLOOKUP(E135,'(新)EG'!$A$3:$K$84,10,0),"")</f>
        <v/>
      </c>
    </row>
    <row r="136" spans="1:9" s="19" customFormat="1" ht="13.8" thickBot="1" x14ac:dyDescent="0.2">
      <c r="A136" s="11">
        <v>118</v>
      </c>
      <c r="B136" s="7" t="str">
        <f>IFERROR(VLOOKUP(E136,'(新)EG'!$A$3:$K$84,2,0),"")</f>
        <v/>
      </c>
      <c r="C136" s="7" t="str">
        <f>IFERROR(VLOOKUP(E136,'[1](新)EG'!$A$3:$K$84,4,0),"")</f>
        <v/>
      </c>
      <c r="D136" s="15" t="str">
        <f>IFERROR(VLOOKUP(E136,'(新)EG'!$A$3:$K$84,5,0),"")</f>
        <v/>
      </c>
      <c r="E136" s="23">
        <f>'[1](新)EG'!A139</f>
        <v>0</v>
      </c>
      <c r="F136" s="16" t="str">
        <f>IFERROR(VLOOKUP(E136,'(新)EG'!$A$3:$K$84,8,0),"")</f>
        <v/>
      </c>
      <c r="G136" s="7" t="str">
        <f>IFERROR(VLOOKUP(E136,'[1](旧)EG'!$A$3:$K$100,10,0),"")</f>
        <v/>
      </c>
      <c r="H136" s="12" t="s">
        <v>60</v>
      </c>
      <c r="I136" s="7" t="str">
        <f>IFERROR(VLOOKUP(E136,'(新)EG'!$A$3:$K$84,10,0),"")</f>
        <v/>
      </c>
    </row>
    <row r="137" spans="1:9" s="19" customFormat="1" ht="13.8" thickBot="1" x14ac:dyDescent="0.2">
      <c r="A137" s="11">
        <v>119</v>
      </c>
      <c r="B137" s="7" t="str">
        <f>IFERROR(VLOOKUP(E137,'(新)EG'!$A$3:$K$84,2,0),"")</f>
        <v/>
      </c>
      <c r="C137" s="7" t="str">
        <f>IFERROR(VLOOKUP(E137,'[1](新)EG'!$A$3:$K$84,4,0),"")</f>
        <v/>
      </c>
      <c r="D137" s="15" t="str">
        <f>IFERROR(VLOOKUP(E137,'(新)EG'!$A$3:$K$84,5,0),"")</f>
        <v/>
      </c>
      <c r="E137" s="23">
        <f>'[1](新)EG'!A140</f>
        <v>0</v>
      </c>
      <c r="F137" s="16" t="str">
        <f>IFERROR(VLOOKUP(E137,'(新)EG'!$A$3:$K$84,8,0),"")</f>
        <v/>
      </c>
      <c r="G137" s="7" t="str">
        <f>IFERROR(VLOOKUP(E137,'[1](旧)EG'!$A$3:$K$100,10,0),"")</f>
        <v/>
      </c>
      <c r="H137" s="12" t="s">
        <v>60</v>
      </c>
      <c r="I137" s="7" t="str">
        <f>IFERROR(VLOOKUP(E137,'(新)EG'!$A$3:$K$84,10,0),"")</f>
        <v/>
      </c>
    </row>
    <row r="138" spans="1:9" s="19" customFormat="1" ht="13.8" thickBot="1" x14ac:dyDescent="0.2">
      <c r="A138" s="11">
        <v>120</v>
      </c>
      <c r="B138" s="7" t="str">
        <f>IFERROR(VLOOKUP(E138,'(新)EG'!$A$3:$K$84,2,0),"")</f>
        <v/>
      </c>
      <c r="C138" s="7" t="str">
        <f>IFERROR(VLOOKUP(E138,'[1](新)EG'!$A$3:$K$84,4,0),"")</f>
        <v/>
      </c>
      <c r="D138" s="15" t="str">
        <f>IFERROR(VLOOKUP(E138,'(新)EG'!$A$3:$K$84,5,0),"")</f>
        <v/>
      </c>
      <c r="E138" s="23">
        <f>'[1](新)EG'!A141</f>
        <v>0</v>
      </c>
      <c r="F138" s="16" t="str">
        <f>IFERROR(VLOOKUP(E138,'(新)EG'!$A$3:$K$84,8,0),"")</f>
        <v/>
      </c>
      <c r="G138" s="7" t="str">
        <f>IFERROR(VLOOKUP(E138,'[1](旧)EG'!$A$3:$K$100,10,0),"")</f>
        <v/>
      </c>
      <c r="H138" s="12" t="s">
        <v>60</v>
      </c>
      <c r="I138" s="7" t="str">
        <f>IFERROR(VLOOKUP(E138,'(新)EG'!$A$3:$K$84,10,0),"")</f>
        <v/>
      </c>
    </row>
    <row r="139" spans="1:9" s="19" customFormat="1" ht="13.8" thickBot="1" x14ac:dyDescent="0.2">
      <c r="A139" s="11">
        <v>158</v>
      </c>
      <c r="B139" s="7" t="str">
        <f>IFERROR(VLOOKUP(E139,'(新)EG'!$A$3:$K$84,2,0),"")</f>
        <v/>
      </c>
      <c r="C139" s="7" t="str">
        <f>IFERROR(VLOOKUP(E139,'[1](新)EG'!$A$3:$K$84,4,0),"")</f>
        <v/>
      </c>
      <c r="D139" s="15" t="str">
        <f>IFERROR(VLOOKUP(E139,'(新)EG'!$A$3:$K$84,5,0),"")</f>
        <v/>
      </c>
      <c r="E139" s="23">
        <f>'[1](新)EG'!A142</f>
        <v>0</v>
      </c>
      <c r="F139" s="16" t="str">
        <f>IFERROR(VLOOKUP(E139,'(新)EG'!$A$3:$K$84,8,0),"")</f>
        <v/>
      </c>
      <c r="G139" s="7" t="str">
        <f>IFERROR(VLOOKUP(E139,'[1](旧)EG'!$A$3:$K$100,10,0),"")</f>
        <v/>
      </c>
      <c r="H139" s="12" t="s">
        <v>60</v>
      </c>
      <c r="I139" s="7" t="str">
        <f>IFERROR(VLOOKUP(E139,'(新)EG'!$A$3:$K$84,10,0),"")</f>
        <v/>
      </c>
    </row>
    <row r="140" spans="1:9" s="19" customFormat="1" ht="13.8" thickBot="1" x14ac:dyDescent="0.2">
      <c r="A140" s="11">
        <v>159</v>
      </c>
      <c r="B140" s="7" t="str">
        <f>IFERROR(VLOOKUP(E140,'(新)EG'!$A$3:$K$84,2,0),"")</f>
        <v/>
      </c>
      <c r="C140" s="7" t="str">
        <f>IFERROR(VLOOKUP(E140,'[1](新)EG'!$A$3:$K$84,4,0),"")</f>
        <v/>
      </c>
      <c r="D140" s="15" t="str">
        <f>IFERROR(VLOOKUP(E140,'(新)EG'!$A$3:$K$84,5,0),"")</f>
        <v/>
      </c>
      <c r="E140" s="23">
        <f>'[1](新)EG'!A143</f>
        <v>0</v>
      </c>
      <c r="F140" s="16" t="str">
        <f>IFERROR(VLOOKUP(E140,'(新)EG'!$A$3:$K$84,8,0),"")</f>
        <v/>
      </c>
      <c r="G140" s="7" t="str">
        <f>IFERROR(VLOOKUP(E140,'[1](旧)EG'!$A$3:$K$100,10,0),"")</f>
        <v/>
      </c>
      <c r="H140" s="12" t="s">
        <v>60</v>
      </c>
      <c r="I140" s="7" t="str">
        <f>IFERROR(VLOOKUP(E140,'(新)EG'!$A$3:$K$84,10,0),"")</f>
        <v/>
      </c>
    </row>
    <row r="141" spans="1:9" s="19" customFormat="1" ht="13.8" thickBot="1" x14ac:dyDescent="0.2">
      <c r="A141" s="11">
        <v>160</v>
      </c>
      <c r="B141" s="7" t="str">
        <f>IFERROR(VLOOKUP(E141,'(新)EG'!$A$3:$K$84,2,0),"")</f>
        <v/>
      </c>
      <c r="C141" s="7" t="str">
        <f>IFERROR(VLOOKUP(E141,'[1](新)EG'!$A$3:$K$84,4,0),"")</f>
        <v/>
      </c>
      <c r="D141" s="15" t="str">
        <f>IFERROR(VLOOKUP(E141,'(新)EG'!$A$3:$K$84,5,0),"")</f>
        <v/>
      </c>
      <c r="E141" s="23">
        <f>'[1](新)EG'!A144</f>
        <v>0</v>
      </c>
      <c r="F141" s="16" t="str">
        <f>IFERROR(VLOOKUP(E141,'(新)EG'!$A$3:$K$84,8,0),"")</f>
        <v/>
      </c>
      <c r="G141" s="7" t="str">
        <f>IFERROR(VLOOKUP(E141,'[1](旧)EG'!$A$3:$K$100,10,0),"")</f>
        <v/>
      </c>
      <c r="H141" s="12" t="s">
        <v>60</v>
      </c>
      <c r="I141" s="7" t="str">
        <f>IFERROR(VLOOKUP(E141,'(新)EG'!$A$3:$K$84,10,0),"")</f>
        <v/>
      </c>
    </row>
    <row r="142" spans="1:9" s="19" customFormat="1" ht="13.8" thickBot="1" x14ac:dyDescent="0.2">
      <c r="A142" s="11">
        <v>161</v>
      </c>
      <c r="B142" s="7" t="str">
        <f>IFERROR(VLOOKUP(E142,'(新)EG'!$A$3:$K$84,2,0),"")</f>
        <v/>
      </c>
      <c r="C142" s="7" t="str">
        <f>IFERROR(VLOOKUP(E142,'[1](新)EG'!$A$3:$K$84,4,0),"")</f>
        <v/>
      </c>
      <c r="D142" s="15" t="str">
        <f>IFERROR(VLOOKUP(E142,'(新)EG'!$A$3:$K$84,5,0),"")</f>
        <v/>
      </c>
      <c r="E142" s="23">
        <f>'[1](新)EG'!A145</f>
        <v>0</v>
      </c>
      <c r="F142" s="16" t="str">
        <f>IFERROR(VLOOKUP(E142,'(新)EG'!$A$3:$K$84,8,0),"")</f>
        <v/>
      </c>
      <c r="G142" s="7" t="str">
        <f>IFERROR(VLOOKUP(E142,'[1](旧)EG'!$A$3:$K$100,10,0),"")</f>
        <v/>
      </c>
      <c r="H142" s="12" t="s">
        <v>60</v>
      </c>
      <c r="I142" s="7" t="str">
        <f>IFERROR(VLOOKUP(E142,'(新)EG'!$A$3:$K$84,10,0),"")</f>
        <v/>
      </c>
    </row>
    <row r="143" spans="1:9" s="19" customFormat="1" ht="13.8" thickBot="1" x14ac:dyDescent="0.2">
      <c r="A143" s="11">
        <v>162</v>
      </c>
      <c r="B143" s="7" t="str">
        <f>IFERROR(VLOOKUP(E143,'[1](新)EG'!$A$3:$K$74,2,0),"")</f>
        <v/>
      </c>
      <c r="C143" s="7" t="str">
        <f>IFERROR(VLOOKUP(E143,'[1](新)EG'!$A$3:$K$84,4,0),"")</f>
        <v/>
      </c>
      <c r="D143" s="15" t="str">
        <f>IFERROR(VLOOKUP(E143,'(新)EG'!$A$3:$K$84,5,0),"")</f>
        <v/>
      </c>
      <c r="E143" s="23">
        <f>'[1](新)EG'!A146</f>
        <v>0</v>
      </c>
      <c r="F143" s="16" t="str">
        <f>IFERROR(VLOOKUP(E143,'(新)EG'!$A$3:$K$84,8,0),"")</f>
        <v/>
      </c>
      <c r="G143" s="7" t="str">
        <f>IFERROR(VLOOKUP(E143,'[1](旧)EG'!$A$3:$K$100,10,0),"")</f>
        <v/>
      </c>
      <c r="H143" s="12" t="s">
        <v>60</v>
      </c>
      <c r="I143" s="7" t="str">
        <f>IFERROR(VLOOKUP(E143,'(新)EG'!$A$3:$K$84,10,0),"")</f>
        <v/>
      </c>
    </row>
    <row r="144" spans="1:9" s="19" customFormat="1" ht="13.8" thickBot="1" x14ac:dyDescent="0.2">
      <c r="A144" s="11">
        <v>163</v>
      </c>
      <c r="B144" s="7" t="str">
        <f>IFERROR(VLOOKUP(E144,'[1](新)EG'!$A$3:$K$74,2,0),"")</f>
        <v/>
      </c>
      <c r="C144" s="7" t="str">
        <f>IFERROR(VLOOKUP(E144,'[1](新)EG'!$A$3:$K$84,4,0),"")</f>
        <v/>
      </c>
      <c r="D144" s="15" t="str">
        <f>IFERROR(VLOOKUP(E144,'(新)EG'!$A$3:$K$84,5,0),"")</f>
        <v/>
      </c>
      <c r="E144" s="23">
        <f>'[1](新)EG'!A147</f>
        <v>0</v>
      </c>
      <c r="F144" s="16" t="str">
        <f>IFERROR(VLOOKUP(E144,'(新)EG'!$A$3:$K$84,8,0),"")</f>
        <v/>
      </c>
      <c r="G144" s="7" t="str">
        <f>IFERROR(VLOOKUP(E144,'[1](旧)EG'!$A$3:$K$100,10,0),"")</f>
        <v/>
      </c>
      <c r="H144" s="12" t="s">
        <v>60</v>
      </c>
      <c r="I144" s="7" t="str">
        <f>IFERROR(VLOOKUP(E144,'(新)EG'!$A$3:$K$84,10,0),"")</f>
        <v/>
      </c>
    </row>
    <row r="145" spans="1:9" s="19" customFormat="1" ht="13.8" thickBot="1" x14ac:dyDescent="0.2">
      <c r="A145" s="11">
        <v>164</v>
      </c>
      <c r="B145" s="7" t="str">
        <f>IFERROR(VLOOKUP(E145,'[1](新)EG'!$A$3:$K$74,2,0),"")</f>
        <v/>
      </c>
      <c r="C145" s="7" t="str">
        <f>IFERROR(VLOOKUP(E145,'[1](新)EG'!$A$3:$K$84,4,0),"")</f>
        <v/>
      </c>
      <c r="D145" s="15" t="str">
        <f>IFERROR(VLOOKUP(E145,'(新)EG'!$A$3:$K$84,5,0),"")</f>
        <v/>
      </c>
      <c r="E145" s="23">
        <f>'[1](新)EG'!A148</f>
        <v>0</v>
      </c>
      <c r="F145" s="16" t="str">
        <f>IFERROR(VLOOKUP(E145,'(新)EG'!$A$3:$K$84,8,0),"")</f>
        <v/>
      </c>
      <c r="G145" s="7" t="str">
        <f>IFERROR(VLOOKUP(E145,'[1](旧)EG'!$A$3:$K$100,10,0),"")</f>
        <v/>
      </c>
      <c r="H145" s="12" t="s">
        <v>60</v>
      </c>
      <c r="I145" s="7" t="str">
        <f>IFERROR(VLOOKUP(E145,'(新)EG'!$A$3:$K$84,10,0),"")</f>
        <v/>
      </c>
    </row>
    <row r="146" spans="1:9" s="19" customFormat="1" ht="13.8" thickBot="1" x14ac:dyDescent="0.2">
      <c r="A146" s="11">
        <v>165</v>
      </c>
      <c r="B146" s="7" t="str">
        <f>IFERROR(VLOOKUP(E146,'[1](新)EG'!$A$3:$K$74,2,0),"")</f>
        <v/>
      </c>
      <c r="C146" s="7" t="str">
        <f>IFERROR(VLOOKUP(E146,'[1](新)EG'!$A$3:$K$84,4,0),"")</f>
        <v/>
      </c>
      <c r="D146" s="15" t="str">
        <f>IFERROR(VLOOKUP(E146,'(新)EG'!$A$3:$K$84,5,0),"")</f>
        <v/>
      </c>
      <c r="E146" s="23">
        <f>'[1](新)EG'!A149</f>
        <v>0</v>
      </c>
      <c r="F146" s="16" t="str">
        <f>IFERROR(VLOOKUP(E146,'(新)EG'!$A$3:$K$84,8,0),"")</f>
        <v/>
      </c>
      <c r="G146" s="7" t="str">
        <f>IFERROR(VLOOKUP(E146,'[1](旧)EG'!$A$3:$K$100,10,0),"")</f>
        <v/>
      </c>
      <c r="H146" s="12" t="s">
        <v>60</v>
      </c>
      <c r="I146" s="7" t="str">
        <f>IFERROR(VLOOKUP(E146,'(新)EG'!$A$3:$K$84,10,0),"")</f>
        <v/>
      </c>
    </row>
    <row r="147" spans="1:9" s="19" customFormat="1" ht="13.8" thickBot="1" x14ac:dyDescent="0.2">
      <c r="A147" s="11">
        <v>166</v>
      </c>
      <c r="B147" s="7" t="str">
        <f>IFERROR(VLOOKUP(E147,'[1](新)EG'!$A$3:$K$74,2,0),"")</f>
        <v/>
      </c>
      <c r="C147" s="7" t="str">
        <f>IFERROR(VLOOKUP(E147,'[1](新)EG'!$A$3:$K$84,4,0),"")</f>
        <v/>
      </c>
      <c r="D147" s="15" t="str">
        <f>IFERROR(VLOOKUP(E147,'(新)EG'!$A$3:$K$84,5,0),"")</f>
        <v/>
      </c>
      <c r="E147" s="23">
        <f>'[1](新)EG'!A150</f>
        <v>0</v>
      </c>
      <c r="F147" s="16" t="str">
        <f>IFERROR(VLOOKUP(E147,'(新)EG'!$A$3:$K$84,8,0),"")</f>
        <v/>
      </c>
      <c r="G147" s="7" t="str">
        <f>IFERROR(VLOOKUP(E147,'[1](旧)EG'!$A$3:$K$100,10,0),"")</f>
        <v/>
      </c>
      <c r="H147" s="12" t="s">
        <v>60</v>
      </c>
      <c r="I147" s="7" t="str">
        <f>IFERROR(VLOOKUP(E147,'(新)EG'!$A$3:$K$84,10,0),"")</f>
        <v/>
      </c>
    </row>
    <row r="148" spans="1:9" s="19" customFormat="1" ht="13.8" thickBot="1" x14ac:dyDescent="0.2">
      <c r="A148" s="11">
        <v>167</v>
      </c>
      <c r="B148" s="7" t="str">
        <f>IFERROR(VLOOKUP(E148,'[1](新)EG'!$A$3:$K$74,2,0),"")</f>
        <v/>
      </c>
      <c r="C148" s="7" t="str">
        <f>IFERROR(VLOOKUP(E148,'[1](新)EG'!$A$3:$K$84,4,0),"")</f>
        <v/>
      </c>
      <c r="D148" s="15" t="str">
        <f>IFERROR(VLOOKUP(E148,'(新)EG'!$A$3:$K$84,5,0),"")</f>
        <v/>
      </c>
      <c r="E148" s="23">
        <f>'[1](新)EG'!A151</f>
        <v>0</v>
      </c>
      <c r="F148" s="16" t="str">
        <f>IFERROR(VLOOKUP(E148,'(新)EG'!$A$3:$K$84,8,0),"")</f>
        <v/>
      </c>
      <c r="G148" s="7" t="str">
        <f>IFERROR(VLOOKUP(E148,'[1](旧)EG'!$A$3:$K$100,10,0),"")</f>
        <v/>
      </c>
      <c r="H148" s="12" t="s">
        <v>60</v>
      </c>
      <c r="I148" s="7" t="str">
        <f>IFERROR(VLOOKUP(E148,'(新)EG'!$A$3:$K$84,10,0),"")</f>
        <v/>
      </c>
    </row>
    <row r="149" spans="1:9" s="19" customFormat="1" ht="13.8" thickBot="1" x14ac:dyDescent="0.2">
      <c r="A149" s="11">
        <v>168</v>
      </c>
      <c r="B149" s="7" t="str">
        <f>IFERROR(VLOOKUP(E149,'[1](新)EG'!$A$3:$K$74,2,0),"")</f>
        <v/>
      </c>
      <c r="C149" s="7" t="str">
        <f>IFERROR(VLOOKUP(E149,'[1](新)EG'!$A$3:$K$84,4,0),"")</f>
        <v/>
      </c>
      <c r="D149" s="15" t="str">
        <f>IFERROR(VLOOKUP(E149,'(新)EG'!$A$3:$K$84,5,0),"")</f>
        <v/>
      </c>
      <c r="E149" s="23">
        <f>'[1](新)EG'!A152</f>
        <v>0</v>
      </c>
      <c r="F149" s="16" t="str">
        <f>IFERROR(VLOOKUP(E149,'(新)EG'!$A$3:$K$84,8,0),"")</f>
        <v/>
      </c>
      <c r="G149" s="7" t="str">
        <f>IFERROR(VLOOKUP(E149,'[1](旧)EG'!$A$3:$K$100,10,0),"")</f>
        <v/>
      </c>
      <c r="H149" s="12" t="s">
        <v>60</v>
      </c>
      <c r="I149" s="7" t="str">
        <f>IFERROR(VLOOKUP(E149,'(新)EG'!$A$3:$K$84,10,0),"")</f>
        <v/>
      </c>
    </row>
    <row r="150" spans="1:9" s="19" customFormat="1" ht="13.8" thickBot="1" x14ac:dyDescent="0.2">
      <c r="A150" s="11">
        <v>169</v>
      </c>
      <c r="B150" s="7" t="str">
        <f>IFERROR(VLOOKUP(E150,'[1](新)EG'!$A$3:$K$74,2,0),"")</f>
        <v/>
      </c>
      <c r="C150" s="7" t="str">
        <f>IFERROR(VLOOKUP(E150,'[1](新)EG'!$A$3:$K$84,4,0),"")</f>
        <v/>
      </c>
      <c r="D150" s="15" t="str">
        <f>IFERROR(VLOOKUP(E150,'(新)EG'!$A$3:$K$84,5,0),"")</f>
        <v/>
      </c>
      <c r="E150" s="23">
        <f>'[1](新)EG'!A153</f>
        <v>0</v>
      </c>
      <c r="F150" s="16" t="str">
        <f>IFERROR(VLOOKUP(E150,'(新)EG'!$A$3:$K$84,8,0),"")</f>
        <v/>
      </c>
      <c r="G150" s="7" t="str">
        <f>IFERROR(VLOOKUP(E150,'[1](旧)EG'!$A$3:$K$100,10,0),"")</f>
        <v/>
      </c>
      <c r="H150" s="12" t="s">
        <v>60</v>
      </c>
      <c r="I150" s="7" t="str">
        <f>IFERROR(VLOOKUP(E150,'(新)EG'!$A$3:$K$84,10,0),"")</f>
        <v/>
      </c>
    </row>
    <row r="151" spans="1:9" s="19" customFormat="1" ht="13.8" thickBot="1" x14ac:dyDescent="0.2">
      <c r="A151" s="11">
        <v>170</v>
      </c>
      <c r="B151" s="7" t="str">
        <f>IFERROR(VLOOKUP(E151,'[1](新)EG'!$A$3:$K$74,2,0),"")</f>
        <v/>
      </c>
      <c r="C151" s="7" t="str">
        <f>IFERROR(VLOOKUP(E151,'[1](新)EG'!$A$3:$K$84,4,0),"")</f>
        <v/>
      </c>
      <c r="D151" s="15" t="str">
        <f>IFERROR(VLOOKUP(E151,'(新)EG'!$A$3:$K$84,5,0),"")</f>
        <v/>
      </c>
      <c r="E151" s="23">
        <f>'[1](新)EG'!A154</f>
        <v>0</v>
      </c>
      <c r="F151" s="16" t="str">
        <f>IFERROR(VLOOKUP(E151,'(新)EG'!$A$3:$K$84,8,0),"")</f>
        <v/>
      </c>
      <c r="G151" s="7" t="str">
        <f>IFERROR(VLOOKUP(E151,'[1](旧)EG'!$A$3:$K$100,10,0),"")</f>
        <v/>
      </c>
      <c r="H151" s="12" t="s">
        <v>60</v>
      </c>
      <c r="I151" s="7" t="str">
        <f>IFERROR(VLOOKUP(E151,'(新)EG'!$A$3:$K$84,10,0),"")</f>
        <v/>
      </c>
    </row>
    <row r="152" spans="1:9" s="19" customFormat="1" ht="13.8" thickBot="1" x14ac:dyDescent="0.2">
      <c r="A152" s="11">
        <v>171</v>
      </c>
      <c r="B152" s="7" t="str">
        <f>IFERROR(VLOOKUP(E152,'[1](新)EG'!$A$3:$K$74,2,0),"")</f>
        <v/>
      </c>
      <c r="C152" s="7" t="str">
        <f>IFERROR(VLOOKUP(E152,'[1](新)EG'!$A$3:$K$84,4,0),"")</f>
        <v/>
      </c>
      <c r="D152" s="15" t="str">
        <f>IFERROR(VLOOKUP(E152,'(新)EG'!$A$3:$K$84,5,0),"")</f>
        <v/>
      </c>
      <c r="E152" s="23">
        <f>'[1](新)EG'!A155</f>
        <v>0</v>
      </c>
      <c r="F152" s="16" t="str">
        <f>IFERROR(VLOOKUP(E152,'(新)EG'!$A$3:$K$84,8,0),"")</f>
        <v/>
      </c>
      <c r="G152" s="7" t="str">
        <f>IFERROR(VLOOKUP(E152,'[1](旧)EG'!$A$3:$K$100,10,0),"")</f>
        <v/>
      </c>
      <c r="H152" s="12" t="s">
        <v>60</v>
      </c>
      <c r="I152" s="7" t="str">
        <f>IFERROR(VLOOKUP(E152,'(新)EG'!$A$3:$K$84,10,0),"")</f>
        <v/>
      </c>
    </row>
    <row r="153" spans="1:9" s="19" customFormat="1" ht="13.8" thickBot="1" x14ac:dyDescent="0.2">
      <c r="A153" s="11">
        <v>172</v>
      </c>
      <c r="B153" s="7" t="str">
        <f>IFERROR(VLOOKUP(E153,'[1](新)EG'!$A$3:$K$74,2,0),"")</f>
        <v/>
      </c>
      <c r="C153" s="7" t="str">
        <f>IFERROR(VLOOKUP(E153,'[1](新)EG'!$A$3:$K$84,4,0),"")</f>
        <v/>
      </c>
      <c r="D153" s="15" t="str">
        <f>IFERROR(VLOOKUP(E153,'(新)EG'!$A$3:$K$84,5,0),"")</f>
        <v/>
      </c>
      <c r="E153" s="23">
        <f>'[1](新)EG'!A156</f>
        <v>0</v>
      </c>
      <c r="F153" s="16" t="str">
        <f>IFERROR(VLOOKUP(E153,'(新)EG'!$A$3:$K$84,8,0),"")</f>
        <v/>
      </c>
      <c r="G153" s="7" t="str">
        <f>IFERROR(VLOOKUP(E153,'[1](旧)EG'!$A$3:$K$100,10,0),"")</f>
        <v/>
      </c>
      <c r="H153" s="12" t="s">
        <v>60</v>
      </c>
      <c r="I153" s="7" t="str">
        <f>IFERROR(VLOOKUP(E153,'(新)EG'!$A$3:$K$84,10,0),"")</f>
        <v/>
      </c>
    </row>
    <row r="154" spans="1:9" s="19" customFormat="1" ht="13.8" thickBot="1" x14ac:dyDescent="0.2">
      <c r="A154" s="11">
        <v>173</v>
      </c>
      <c r="B154" s="7" t="str">
        <f>IFERROR(VLOOKUP(E154,'[1](新)EG'!$A$3:$K$74,2,0),"")</f>
        <v/>
      </c>
      <c r="C154" s="7" t="str">
        <f>IFERROR(VLOOKUP(E154,'[1](新)EG'!$A$3:$K$84,4,0),"")</f>
        <v/>
      </c>
      <c r="D154" s="15" t="str">
        <f>IFERROR(VLOOKUP(E154,'(新)EG'!$A$3:$K$84,5,0),"")</f>
        <v/>
      </c>
      <c r="E154" s="23">
        <f>'[1](新)EG'!A157</f>
        <v>0</v>
      </c>
      <c r="F154" s="16" t="str">
        <f>IFERROR(VLOOKUP(E154,'(新)EG'!$A$3:$K$84,8,0),"")</f>
        <v/>
      </c>
      <c r="G154" s="7" t="str">
        <f>IFERROR(VLOOKUP(E154,'[1](旧)EG'!$A$3:$K$100,10,0),"")</f>
        <v/>
      </c>
      <c r="H154" s="12" t="s">
        <v>60</v>
      </c>
      <c r="I154" s="7" t="str">
        <f>IFERROR(VLOOKUP(E154,'(新)EG'!$A$3:$K$84,10,0),"")</f>
        <v/>
      </c>
    </row>
    <row r="155" spans="1:9" s="19" customFormat="1" ht="13.8" thickBot="1" x14ac:dyDescent="0.2">
      <c r="A155" s="11">
        <v>174</v>
      </c>
      <c r="B155" s="7" t="str">
        <f>IFERROR(VLOOKUP(E155,'[1](新)EG'!$A$3:$K$74,2,0),"")</f>
        <v/>
      </c>
      <c r="C155" s="7" t="str">
        <f>IFERROR(VLOOKUP(E155,'[1](新)EG'!$A$3:$K$84,4,0),"")</f>
        <v/>
      </c>
      <c r="D155" s="15" t="str">
        <f>IFERROR(VLOOKUP(E155,'(新)EG'!$A$3:$K$84,5,0),"")</f>
        <v/>
      </c>
      <c r="E155" s="23">
        <f>'[1](新)EG'!A158</f>
        <v>0</v>
      </c>
      <c r="F155" s="16" t="str">
        <f>IFERROR(VLOOKUP(E155,'(新)EG'!$A$3:$K$84,8,0),"")</f>
        <v/>
      </c>
      <c r="G155" s="7" t="str">
        <f>IFERROR(VLOOKUP(E155,'[1](旧)EG'!$A$3:$K$100,10,0),"")</f>
        <v/>
      </c>
      <c r="H155" s="12" t="s">
        <v>60</v>
      </c>
      <c r="I155" s="7" t="str">
        <f>IFERROR(VLOOKUP(E155,'(新)EG'!$A$3:$K$84,10,0),"")</f>
        <v/>
      </c>
    </row>
    <row r="156" spans="1:9" s="19" customFormat="1" ht="13.8" thickBot="1" x14ac:dyDescent="0.2">
      <c r="A156" s="11">
        <v>175</v>
      </c>
      <c r="B156" s="7" t="str">
        <f>IFERROR(VLOOKUP(E156,'[1](新)EG'!$A$3:$K$74,2,0),"")</f>
        <v/>
      </c>
      <c r="C156" s="7" t="str">
        <f>IFERROR(VLOOKUP(E156,'[1](新)EG'!$A$3:$K$84,4,0),"")</f>
        <v/>
      </c>
      <c r="D156" s="15" t="str">
        <f>IFERROR(VLOOKUP(E156,'(新)EG'!$A$3:$K$84,5,0),"")</f>
        <v/>
      </c>
      <c r="E156" s="23">
        <f>'[1](新)EG'!A159</f>
        <v>0</v>
      </c>
      <c r="F156" s="16" t="str">
        <f>IFERROR(VLOOKUP(E156,'(新)EG'!$A$3:$K$84,8,0),"")</f>
        <v/>
      </c>
      <c r="G156" s="7" t="str">
        <f>IFERROR(VLOOKUP(E156,'[1](旧)EG'!$A$3:$K$100,10,0),"")</f>
        <v/>
      </c>
      <c r="H156" s="12" t="s">
        <v>60</v>
      </c>
      <c r="I156" s="7" t="str">
        <f>IFERROR(VLOOKUP(E156,'(新)EG'!$A$3:$K$84,10,0),"")</f>
        <v/>
      </c>
    </row>
    <row r="157" spans="1:9" s="19" customFormat="1" ht="13.8" thickBot="1" x14ac:dyDescent="0.2">
      <c r="A157" s="11">
        <v>176</v>
      </c>
      <c r="B157" s="7" t="str">
        <f>IFERROR(VLOOKUP(E157,'[1](新)EG'!$A$3:$K$74,2,0),"")</f>
        <v/>
      </c>
      <c r="C157" s="7" t="str">
        <f>IFERROR(VLOOKUP(E157,'[1](新)EG'!$A$3:$K$84,4,0),"")</f>
        <v/>
      </c>
      <c r="D157" s="15" t="str">
        <f>IFERROR(VLOOKUP(E157,'(新)EG'!$A$3:$K$84,5,0),"")</f>
        <v/>
      </c>
      <c r="E157" s="23">
        <f>'[1](新)EG'!A160</f>
        <v>0</v>
      </c>
      <c r="F157" s="16" t="str">
        <f>IFERROR(VLOOKUP(E157,'(新)EG'!$A$3:$K$84,8,0),"")</f>
        <v/>
      </c>
      <c r="G157" s="7" t="str">
        <f>IFERROR(VLOOKUP(E157,'[1](旧)EG'!$A$3:$K$100,10,0),"")</f>
        <v/>
      </c>
      <c r="H157" s="12" t="s">
        <v>60</v>
      </c>
      <c r="I157" s="7" t="str">
        <f>IFERROR(VLOOKUP(E157,'(新)EG'!$A$3:$K$84,10,0),"")</f>
        <v/>
      </c>
    </row>
    <row r="158" spans="1:9" s="19" customFormat="1" ht="13.8" thickBot="1" x14ac:dyDescent="0.2">
      <c r="A158" s="11">
        <v>177</v>
      </c>
      <c r="B158" s="7" t="str">
        <f>IFERROR(VLOOKUP(E158,'[1](新)EG'!$A$3:$K$74,2,0),"")</f>
        <v/>
      </c>
      <c r="C158" s="7" t="str">
        <f>IFERROR(VLOOKUP(E158,'[1](新)EG'!$A$3:$K$84,4,0),"")</f>
        <v/>
      </c>
      <c r="D158" s="15" t="str">
        <f>IFERROR(VLOOKUP(E158,'(新)EG'!$A$3:$K$84,5,0),"")</f>
        <v/>
      </c>
      <c r="E158" s="23">
        <f>'[1](新)EG'!A161</f>
        <v>0</v>
      </c>
      <c r="F158" s="16" t="str">
        <f>IFERROR(VLOOKUP(E158,'(新)EG'!$A$3:$K$84,8,0),"")</f>
        <v/>
      </c>
      <c r="G158" s="7" t="str">
        <f>IFERROR(VLOOKUP(E158,'[1](旧)EG'!$A$3:$K$100,10,0),"")</f>
        <v/>
      </c>
      <c r="H158" s="12" t="s">
        <v>60</v>
      </c>
      <c r="I158" s="7" t="str">
        <f>IFERROR(VLOOKUP(E158,'(新)EG'!$A$3:$K$84,10,0),"")</f>
        <v/>
      </c>
    </row>
    <row r="159" spans="1:9" s="19" customFormat="1" ht="13.8" thickBot="1" x14ac:dyDescent="0.2">
      <c r="A159" s="11">
        <v>178</v>
      </c>
      <c r="B159" s="7" t="str">
        <f>IFERROR(VLOOKUP(E159,'[1](新)EG'!$A$3:$K$74,2,0),"")</f>
        <v/>
      </c>
      <c r="C159" s="7" t="str">
        <f>IFERROR(VLOOKUP(E159,'[1](新)EG'!$A$3:$K$84,4,0),"")</f>
        <v/>
      </c>
      <c r="D159" s="15" t="str">
        <f>IFERROR(VLOOKUP(E159,'(新)EG'!$A$3:$K$84,5,0),"")</f>
        <v/>
      </c>
      <c r="E159" s="23">
        <f>'[1](新)EG'!A162</f>
        <v>0</v>
      </c>
      <c r="F159" s="16" t="str">
        <f>IFERROR(VLOOKUP(E159,'(新)EG'!$A$3:$K$84,8,0),"")</f>
        <v/>
      </c>
      <c r="G159" s="7" t="str">
        <f>IFERROR(VLOOKUP(E159,'[1](旧)EG'!$A$3:$K$100,10,0),"")</f>
        <v/>
      </c>
      <c r="H159" s="12" t="s">
        <v>60</v>
      </c>
      <c r="I159" s="7" t="str">
        <f>IFERROR(VLOOKUP(E159,'(新)EG'!$A$3:$K$84,10,0),"")</f>
        <v/>
      </c>
    </row>
    <row r="160" spans="1:9" s="19" customFormat="1" ht="13.8" thickBot="1" x14ac:dyDescent="0.2">
      <c r="A160" s="11">
        <v>179</v>
      </c>
      <c r="B160" s="7" t="str">
        <f>IFERROR(VLOOKUP(E160,'[1](新)EG'!$A$3:$K$74,2,0),"")</f>
        <v/>
      </c>
      <c r="C160" s="7" t="str">
        <f>IFERROR(VLOOKUP(E160,'[1](新)EG'!$A$3:$K$84,4,0),"")</f>
        <v/>
      </c>
      <c r="D160" s="15" t="str">
        <f>IFERROR(VLOOKUP(E160,'(新)EG'!$A$3:$K$84,5,0),"")</f>
        <v/>
      </c>
      <c r="E160" s="23">
        <f>'[1](新)EG'!A163</f>
        <v>0</v>
      </c>
      <c r="F160" s="16" t="str">
        <f>IFERROR(VLOOKUP(E160,'(新)EG'!$A$3:$K$84,8,0),"")</f>
        <v/>
      </c>
      <c r="G160" s="7" t="str">
        <f>IFERROR(VLOOKUP(E160,'[1](旧)EG'!$A$3:$K$100,10,0),"")</f>
        <v/>
      </c>
      <c r="H160" s="12" t="s">
        <v>60</v>
      </c>
      <c r="I160" s="7" t="str">
        <f>IFERROR(VLOOKUP(E160,'(新)EG'!$A$3:$K$84,10,0),"")</f>
        <v/>
      </c>
    </row>
    <row r="161" spans="1:9" s="19" customFormat="1" ht="13.8" thickBot="1" x14ac:dyDescent="0.2">
      <c r="A161" s="11">
        <v>180</v>
      </c>
      <c r="B161" s="7" t="str">
        <f>IFERROR(VLOOKUP(E161,'[1](新)EG'!$A$3:$K$74,2,0),"")</f>
        <v/>
      </c>
      <c r="C161" s="7" t="str">
        <f>IFERROR(VLOOKUP(E161,'[1](新)EG'!$A$3:$K$84,4,0),"")</f>
        <v/>
      </c>
      <c r="D161" s="15" t="str">
        <f>IFERROR(VLOOKUP(E161,'(新)EG'!$A$3:$K$84,5,0),"")</f>
        <v/>
      </c>
      <c r="E161" s="23">
        <f>'[1](新)EG'!A164</f>
        <v>0</v>
      </c>
      <c r="F161" s="16" t="str">
        <f>IFERROR(VLOOKUP(E161,'(新)EG'!$A$3:$K$84,8,0),"")</f>
        <v/>
      </c>
      <c r="G161" s="7" t="str">
        <f>IFERROR(VLOOKUP(E161,'[1](旧)EG'!$A$3:$K$100,10,0),"")</f>
        <v/>
      </c>
      <c r="H161" s="12" t="s">
        <v>60</v>
      </c>
      <c r="I161" s="7" t="str">
        <f>IFERROR(VLOOKUP(E161,'(新)EG'!$A$3:$K$84,10,0),"")</f>
        <v/>
      </c>
    </row>
    <row r="162" spans="1:9" s="19" customFormat="1" ht="13.8" thickBot="1" x14ac:dyDescent="0.2">
      <c r="A162" s="11">
        <v>181</v>
      </c>
      <c r="B162" s="7" t="str">
        <f>IFERROR(VLOOKUP(E162,'[1](新)EG'!$A$3:$K$74,2,0),"")</f>
        <v/>
      </c>
      <c r="C162" s="7" t="str">
        <f>IFERROR(VLOOKUP(E162,'[1](新)EG'!$A$3:$K$84,4,0),"")</f>
        <v/>
      </c>
      <c r="D162" s="15" t="str">
        <f>IFERROR(VLOOKUP(E162,'(新)EG'!$A$3:$K$84,5,0),"")</f>
        <v/>
      </c>
      <c r="E162" s="23">
        <f>'[1](新)EG'!A165</f>
        <v>0</v>
      </c>
      <c r="F162" s="16" t="str">
        <f>IFERROR(VLOOKUP(E162,'(新)EG'!$A$3:$K$84,8,0),"")</f>
        <v/>
      </c>
      <c r="G162" s="7" t="str">
        <f>IFERROR(VLOOKUP(E162,'[1](旧)EG'!$A$3:$K$100,10,0),"")</f>
        <v/>
      </c>
      <c r="H162" s="12" t="s">
        <v>60</v>
      </c>
      <c r="I162" s="7" t="str">
        <f>IFERROR(VLOOKUP(E162,'(新)EG'!$A$3:$K$84,10,0),"")</f>
        <v/>
      </c>
    </row>
    <row r="163" spans="1:9" s="19" customFormat="1" ht="13.8" thickBot="1" x14ac:dyDescent="0.2">
      <c r="A163" s="11">
        <v>182</v>
      </c>
      <c r="B163" s="7" t="str">
        <f>IFERROR(VLOOKUP(E163,'[1](新)EG'!$A$3:$K$74,2,0),"")</f>
        <v/>
      </c>
      <c r="C163" s="7" t="str">
        <f>IFERROR(VLOOKUP(E163,'[1](新)EG'!$A$3:$K$84,4,0),"")</f>
        <v/>
      </c>
      <c r="D163" s="15" t="str">
        <f>IFERROR(VLOOKUP(E163,'(新)EG'!$A$3:$K$84,5,0),"")</f>
        <v/>
      </c>
      <c r="E163" s="23">
        <f>'[1](新)EG'!A166</f>
        <v>0</v>
      </c>
      <c r="F163" s="16" t="str">
        <f>IFERROR(VLOOKUP(E163,'(新)EG'!$A$3:$K$84,8,0),"")</f>
        <v/>
      </c>
      <c r="G163" s="7" t="str">
        <f>IFERROR(VLOOKUP(E163,'[1](旧)EG'!$A$3:$K$100,10,0),"")</f>
        <v/>
      </c>
      <c r="H163" s="12" t="s">
        <v>60</v>
      </c>
      <c r="I163" s="7" t="str">
        <f>IFERROR(VLOOKUP(E163,'(新)EG'!$A$3:$K$84,10,0),"")</f>
        <v/>
      </c>
    </row>
    <row r="164" spans="1:9" s="19" customFormat="1" ht="13.8" thickBot="1" x14ac:dyDescent="0.2">
      <c r="A164" s="11">
        <v>183</v>
      </c>
      <c r="B164" s="7" t="str">
        <f>IFERROR(VLOOKUP(E164,'[1](新)EG'!$A$3:$K$74,2,0),"")</f>
        <v/>
      </c>
      <c r="C164" s="7" t="str">
        <f>IFERROR(VLOOKUP(E164,'[1](新)EG'!$A$3:$K$84,4,0),"")</f>
        <v/>
      </c>
      <c r="D164" s="15" t="str">
        <f>IFERROR(VLOOKUP(E164,'(新)EG'!$A$3:$K$84,5,0),"")</f>
        <v/>
      </c>
      <c r="E164" s="23">
        <f>'[1](新)EG'!A167</f>
        <v>0</v>
      </c>
      <c r="F164" s="16" t="str">
        <f>IFERROR(VLOOKUP(E164,'(新)EG'!$A$3:$K$84,8,0),"")</f>
        <v/>
      </c>
      <c r="G164" s="7" t="str">
        <f>IFERROR(VLOOKUP(E164,'[1](旧)EG'!$A$3:$K$100,10,0),"")</f>
        <v/>
      </c>
      <c r="H164" s="12" t="s">
        <v>60</v>
      </c>
      <c r="I164" s="7" t="str">
        <f>IFERROR(VLOOKUP(E164,'(新)EG'!$A$3:$K$84,10,0),"")</f>
        <v/>
      </c>
    </row>
    <row r="165" spans="1:9" s="19" customFormat="1" ht="13.8" thickBot="1" x14ac:dyDescent="0.2">
      <c r="A165" s="11">
        <v>184</v>
      </c>
      <c r="B165" s="7" t="str">
        <f>IFERROR(VLOOKUP(E165,'[1](新)EG'!$A$3:$K$74,2,0),"")</f>
        <v/>
      </c>
      <c r="C165" s="7" t="str">
        <f>IFERROR(VLOOKUP(E165,'[1](新)EG'!$A$3:$K$84,4,0),"")</f>
        <v/>
      </c>
      <c r="D165" s="15" t="str">
        <f>IFERROR(VLOOKUP(E165,'(新)EG'!$A$3:$K$84,5,0),"")</f>
        <v/>
      </c>
      <c r="E165" s="23">
        <f>'[1](新)EG'!A168</f>
        <v>0</v>
      </c>
      <c r="F165" s="16" t="str">
        <f>IFERROR(VLOOKUP(E165,'(新)EG'!$A$3:$K$84,8,0),"")</f>
        <v/>
      </c>
      <c r="G165" s="7" t="str">
        <f>IFERROR(VLOOKUP(E165,'[1](旧)EG'!$A$3:$K$100,10,0),"")</f>
        <v/>
      </c>
      <c r="H165" s="12" t="s">
        <v>60</v>
      </c>
      <c r="I165" s="7" t="str">
        <f>IFERROR(VLOOKUP(E165,'(新)EG'!$A$3:$K$84,10,0),"")</f>
        <v/>
      </c>
    </row>
    <row r="166" spans="1:9" s="19" customFormat="1" ht="13.8" thickBot="1" x14ac:dyDescent="0.2">
      <c r="A166" s="11">
        <v>185</v>
      </c>
      <c r="B166" s="7" t="str">
        <f>IFERROR(VLOOKUP(E166,'[1](新)EG'!$A$3:$K$74,2,0),"")</f>
        <v/>
      </c>
      <c r="C166" s="7" t="str">
        <f>IFERROR(VLOOKUP(E166,'[1](新)EG'!$A$3:$K$84,4,0),"")</f>
        <v/>
      </c>
      <c r="D166" s="15" t="str">
        <f>IFERROR(VLOOKUP(E166,'(新)EG'!$A$3:$K$84,5,0),"")</f>
        <v/>
      </c>
      <c r="E166" s="23">
        <f>'[1](新)EG'!A169</f>
        <v>0</v>
      </c>
      <c r="F166" s="16" t="str">
        <f>IFERROR(VLOOKUP(E166,'(新)EG'!$A$3:$K$84,8,0),"")</f>
        <v/>
      </c>
      <c r="G166" s="7" t="str">
        <f>IFERROR(VLOOKUP(E166,'[1](旧)EG'!$A$3:$K$100,10,0),"")</f>
        <v/>
      </c>
      <c r="H166" s="12" t="s">
        <v>60</v>
      </c>
      <c r="I166" s="7" t="str">
        <f>IFERROR(VLOOKUP(E166,'(新)EG'!$A$3:$K$84,10,0),"")</f>
        <v/>
      </c>
    </row>
    <row r="167" spans="1:9" s="19" customFormat="1" ht="13.8" thickBot="1" x14ac:dyDescent="0.2">
      <c r="A167" s="11">
        <v>186</v>
      </c>
      <c r="B167" s="7" t="str">
        <f>IFERROR(VLOOKUP(E167,'[1](新)EG'!$A$3:$K$74,2,0),"")</f>
        <v/>
      </c>
      <c r="C167" s="7" t="str">
        <f>IFERROR(VLOOKUP(E167,'[1](新)EG'!$A$3:$K$84,4,0),"")</f>
        <v/>
      </c>
      <c r="D167" s="15" t="str">
        <f>IFERROR(VLOOKUP(E167,'(新)EG'!$A$3:$K$84,5,0),"")</f>
        <v/>
      </c>
      <c r="E167" s="23">
        <f>'[1](新)EG'!A170</f>
        <v>0</v>
      </c>
      <c r="F167" s="16" t="str">
        <f>IFERROR(VLOOKUP(E167,'(新)EG'!$A$3:$K$84,8,0),"")</f>
        <v/>
      </c>
      <c r="G167" s="7" t="str">
        <f>IFERROR(VLOOKUP(E167,'[1](旧)EG'!$A$3:$K$100,10,0),"")</f>
        <v/>
      </c>
      <c r="H167" s="12" t="s">
        <v>60</v>
      </c>
      <c r="I167" s="7" t="str">
        <f>IFERROR(VLOOKUP(E167,'(新)EG'!$A$3:$K$84,10,0),"")</f>
        <v/>
      </c>
    </row>
    <row r="168" spans="1:9" s="19" customFormat="1" ht="13.8" thickBot="1" x14ac:dyDescent="0.2">
      <c r="A168" s="11">
        <v>187</v>
      </c>
      <c r="B168" s="7" t="str">
        <f>IFERROR(VLOOKUP(E168,'[1](新)EG'!$A$3:$K$74,2,0),"")</f>
        <v/>
      </c>
      <c r="C168" s="7" t="str">
        <f>IFERROR(VLOOKUP(E168,'[1](新)EG'!$A$3:$K$84,4,0),"")</f>
        <v/>
      </c>
      <c r="D168" s="15" t="str">
        <f>IFERROR(VLOOKUP(E168,'(新)EG'!$A$3:$K$84,5,0),"")</f>
        <v/>
      </c>
      <c r="E168" s="23">
        <f>'[1](新)EG'!A171</f>
        <v>0</v>
      </c>
      <c r="F168" s="16" t="str">
        <f>IFERROR(VLOOKUP(E168,'(新)EG'!$A$3:$K$84,8,0),"")</f>
        <v/>
      </c>
      <c r="G168" s="7" t="str">
        <f>IFERROR(VLOOKUP(E168,'[1](旧)EG'!$A$3:$K$100,10,0),"")</f>
        <v/>
      </c>
      <c r="H168" s="12" t="s">
        <v>60</v>
      </c>
      <c r="I168" s="7" t="str">
        <f>IFERROR(VLOOKUP(E168,'(新)EG'!$A$3:$K$84,10,0),"")</f>
        <v/>
      </c>
    </row>
    <row r="169" spans="1:9" s="19" customFormat="1" ht="13.8" thickBot="1" x14ac:dyDescent="0.2">
      <c r="A169" s="11">
        <v>188</v>
      </c>
      <c r="B169" s="7" t="str">
        <f>IFERROR(VLOOKUP(E169,'[1](新)EG'!$A$3:$K$74,2,0),"")</f>
        <v/>
      </c>
      <c r="C169" s="7" t="str">
        <f>IFERROR(VLOOKUP(E169,'[1](新)EG'!$A$3:$K$84,4,0),"")</f>
        <v/>
      </c>
      <c r="D169" s="15" t="str">
        <f>IFERROR(VLOOKUP(E169,'(新)EG'!$A$3:$K$84,5,0),"")</f>
        <v/>
      </c>
      <c r="E169" s="23">
        <f>'[1](新)EG'!A172</f>
        <v>0</v>
      </c>
      <c r="F169" s="16" t="str">
        <f>IFERROR(VLOOKUP(E169,'(新)EG'!$A$3:$K$84,8,0),"")</f>
        <v/>
      </c>
      <c r="G169" s="7" t="str">
        <f>IFERROR(VLOOKUP(E169,'[1](旧)EG'!$A$3:$K$100,10,0),"")</f>
        <v/>
      </c>
      <c r="H169" s="12" t="s">
        <v>60</v>
      </c>
      <c r="I169" s="7" t="str">
        <f>IFERROR(VLOOKUP(E169,'(新)EG'!$A$3:$K$84,10,0),"")</f>
        <v/>
      </c>
    </row>
    <row r="170" spans="1:9" s="19" customFormat="1" ht="13.8" thickBot="1" x14ac:dyDescent="0.2">
      <c r="A170" s="11">
        <v>189</v>
      </c>
      <c r="B170" s="7" t="str">
        <f>IFERROR(VLOOKUP(E170,'[1](新)EG'!$A$3:$K$74,2,0),"")</f>
        <v/>
      </c>
      <c r="C170" s="7" t="str">
        <f>IFERROR(VLOOKUP(E170,'[1](新)EG'!$A$3:$K$84,4,0),"")</f>
        <v/>
      </c>
      <c r="D170" s="15" t="str">
        <f>IFERROR(VLOOKUP(E170,'(新)EG'!$A$3:$K$84,5,0),"")</f>
        <v/>
      </c>
      <c r="E170" s="23">
        <f>'[1](新)EG'!A173</f>
        <v>0</v>
      </c>
      <c r="F170" s="16" t="str">
        <f>IFERROR(VLOOKUP(E170,'(新)EG'!$A$3:$K$84,8,0),"")</f>
        <v/>
      </c>
      <c r="G170" s="7" t="str">
        <f>IFERROR(VLOOKUP(E170,'[1](旧)EG'!$A$3:$K$100,10,0),"")</f>
        <v/>
      </c>
      <c r="H170" s="12" t="s">
        <v>60</v>
      </c>
      <c r="I170" s="7" t="str">
        <f>IFERROR(VLOOKUP(E170,'(新)EG'!$A$3:$K$84,10,0),"")</f>
        <v/>
      </c>
    </row>
    <row r="171" spans="1:9" s="19" customFormat="1" ht="13.8" thickBot="1" x14ac:dyDescent="0.2">
      <c r="A171" s="11">
        <v>190</v>
      </c>
      <c r="B171" s="7" t="str">
        <f>IFERROR(VLOOKUP(E171,'[1](新)EG'!$A$3:$K$74,2,0),"")</f>
        <v/>
      </c>
      <c r="C171" s="7" t="str">
        <f>IFERROR(VLOOKUP(E171,'[1](新)EG'!$A$3:$K$84,4,0),"")</f>
        <v/>
      </c>
      <c r="D171" s="15" t="str">
        <f>IFERROR(VLOOKUP(E171,'(新)EG'!$A$3:$K$84,5,0),"")</f>
        <v/>
      </c>
      <c r="E171" s="23">
        <f>'[1](新)EG'!A174</f>
        <v>0</v>
      </c>
      <c r="F171" s="16" t="str">
        <f>IFERROR(VLOOKUP(E171,'(新)EG'!$A$3:$K$84,8,0),"")</f>
        <v/>
      </c>
      <c r="G171" s="7" t="str">
        <f>IFERROR(VLOOKUP(E171,'[1](旧)EG'!$A$3:$K$100,10,0),"")</f>
        <v/>
      </c>
      <c r="H171" s="12" t="s">
        <v>60</v>
      </c>
      <c r="I171" s="7" t="str">
        <f>IFERROR(VLOOKUP(E171,'(新)EG'!$A$3:$K$84,10,0),"")</f>
        <v/>
      </c>
    </row>
    <row r="172" spans="1:9" s="19" customFormat="1" ht="13.8" thickBot="1" x14ac:dyDescent="0.2">
      <c r="A172" s="11">
        <v>191</v>
      </c>
      <c r="B172" s="7" t="str">
        <f>IFERROR(VLOOKUP(E172,'[1](新)EG'!$A$3:$K$74,2,0),"")</f>
        <v/>
      </c>
      <c r="C172" s="7" t="str">
        <f>IFERROR(VLOOKUP(E172,'[1](新)EG'!$A$3:$K$84,4,0),"")</f>
        <v/>
      </c>
      <c r="D172" s="15" t="str">
        <f>IFERROR(VLOOKUP(E172,'(新)EG'!$A$3:$K$84,5,0),"")</f>
        <v/>
      </c>
      <c r="E172" s="23">
        <f>'[1](新)EG'!A175</f>
        <v>0</v>
      </c>
      <c r="F172" s="16" t="str">
        <f>IFERROR(VLOOKUP(E172,'(新)EG'!$A$3:$K$84,8,0),"")</f>
        <v/>
      </c>
      <c r="G172" s="7" t="str">
        <f>IFERROR(VLOOKUP(E172,'[1](旧)EG'!$A$3:$K$100,10,0),"")</f>
        <v/>
      </c>
      <c r="H172" s="12" t="s">
        <v>60</v>
      </c>
      <c r="I172" s="7" t="str">
        <f>IFERROR(VLOOKUP(E172,'(新)EG'!$A$3:$K$84,10,0),"")</f>
        <v/>
      </c>
    </row>
    <row r="173" spans="1:9" s="19" customFormat="1" ht="13.8" thickBot="1" x14ac:dyDescent="0.2">
      <c r="A173" s="11">
        <v>192</v>
      </c>
      <c r="B173" s="7" t="str">
        <f>IFERROR(VLOOKUP(E173,'[1](新)EG'!$A$3:$K$74,2,0),"")</f>
        <v/>
      </c>
      <c r="C173" s="7" t="str">
        <f>IFERROR(VLOOKUP(E173,'[1](新)EG'!$A$3:$K$84,4,0),"")</f>
        <v/>
      </c>
      <c r="D173" s="15" t="str">
        <f>IFERROR(VLOOKUP(E173,'(新)EG'!$A$3:$K$84,5,0),"")</f>
        <v/>
      </c>
      <c r="E173" s="23">
        <f>'[1](新)EG'!A176</f>
        <v>0</v>
      </c>
      <c r="F173" s="16" t="str">
        <f>IFERROR(VLOOKUP(E173,'(新)EG'!$A$3:$K$84,8,0),"")</f>
        <v/>
      </c>
      <c r="G173" s="7" t="str">
        <f>IFERROR(VLOOKUP(E173,'[1](旧)EG'!$A$3:$K$100,10,0),"")</f>
        <v/>
      </c>
      <c r="H173" s="12" t="s">
        <v>60</v>
      </c>
      <c r="I173" s="7" t="str">
        <f>IFERROR(VLOOKUP(E173,'(新)EG'!$A$3:$K$84,10,0),"")</f>
        <v/>
      </c>
    </row>
    <row r="174" spans="1:9" s="19" customFormat="1" ht="13.8" thickBot="1" x14ac:dyDescent="0.2">
      <c r="A174" s="11">
        <v>193</v>
      </c>
      <c r="B174" s="7" t="str">
        <f>IFERROR(VLOOKUP(E174,'[1](新)EG'!$A$3:$K$74,2,0),"")</f>
        <v/>
      </c>
      <c r="C174" s="7" t="str">
        <f>IFERROR(VLOOKUP(E174,'[1](新)EG'!$A$3:$K$84,4,0),"")</f>
        <v/>
      </c>
      <c r="D174" s="15" t="str">
        <f>IFERROR(VLOOKUP(E174,'(新)EG'!$A$3:$K$84,5,0),"")</f>
        <v/>
      </c>
      <c r="E174" s="23">
        <f>'[1](新)EG'!A177</f>
        <v>0</v>
      </c>
      <c r="F174" s="16" t="str">
        <f>IFERROR(VLOOKUP(E174,'(新)EG'!$A$3:$K$84,8,0),"")</f>
        <v/>
      </c>
      <c r="G174" s="7" t="str">
        <f>IFERROR(VLOOKUP(E174,'[1](旧)EG'!$A$3:$K$100,10,0),"")</f>
        <v/>
      </c>
      <c r="H174" s="12" t="s">
        <v>60</v>
      </c>
      <c r="I174" s="7" t="str">
        <f>IFERROR(VLOOKUP(E174,'(新)EG'!$A$3:$K$84,10,0),"")</f>
        <v/>
      </c>
    </row>
    <row r="175" spans="1:9" s="19" customFormat="1" ht="13.8" thickBot="1" x14ac:dyDescent="0.2">
      <c r="A175" s="11">
        <v>194</v>
      </c>
      <c r="B175" s="7" t="str">
        <f>IFERROR(VLOOKUP(E175,'[1](新)EG'!$A$3:$K$74,2,0),"")</f>
        <v/>
      </c>
      <c r="C175" s="7" t="str">
        <f>IFERROR(VLOOKUP(E175,'[1](新)EG'!$A$3:$K$84,4,0),"")</f>
        <v/>
      </c>
      <c r="D175" s="15" t="str">
        <f>IFERROR(VLOOKUP(E175,'(新)EG'!$A$3:$K$84,5,0),"")</f>
        <v/>
      </c>
      <c r="E175" s="23">
        <f>'[1](新)EG'!A178</f>
        <v>0</v>
      </c>
      <c r="F175" s="16" t="str">
        <f>IFERROR(VLOOKUP(E175,'(新)EG'!$A$3:$K$84,8,0),"")</f>
        <v/>
      </c>
      <c r="G175" s="7" t="str">
        <f>IFERROR(VLOOKUP(E175,'[1](旧)EG'!$A$3:$K$100,10,0),"")</f>
        <v/>
      </c>
      <c r="H175" s="12" t="s">
        <v>60</v>
      </c>
      <c r="I175" s="7" t="str">
        <f>IFERROR(VLOOKUP(E175,'(新)EG'!$A$3:$K$84,10,0),"")</f>
        <v/>
      </c>
    </row>
    <row r="176" spans="1:9" s="19" customFormat="1" ht="13.8" thickBot="1" x14ac:dyDescent="0.2">
      <c r="A176" s="11">
        <v>195</v>
      </c>
      <c r="B176" s="7" t="str">
        <f>IFERROR(VLOOKUP(E176,'[1](新)EG'!$A$3:$K$74,2,0),"")</f>
        <v/>
      </c>
      <c r="C176" s="7" t="str">
        <f>IFERROR(VLOOKUP(E176,'[1](新)EG'!$A$3:$K$84,4,0),"")</f>
        <v/>
      </c>
      <c r="D176" s="15" t="str">
        <f>IFERROR(VLOOKUP(E176,'(新)EG'!$A$3:$K$84,5,0),"")</f>
        <v/>
      </c>
      <c r="E176" s="23">
        <f>'[1](新)EG'!A179</f>
        <v>0</v>
      </c>
      <c r="F176" s="16" t="str">
        <f>IFERROR(VLOOKUP(E176,'(新)EG'!$A$3:$K$84,8,0),"")</f>
        <v/>
      </c>
      <c r="G176" s="7" t="str">
        <f>IFERROR(VLOOKUP(E176,'[1](旧)EG'!$A$3:$K$100,10,0),"")</f>
        <v/>
      </c>
      <c r="H176" s="12" t="s">
        <v>60</v>
      </c>
      <c r="I176" s="7" t="str">
        <f>IFERROR(VLOOKUP(E176,'(新)EG'!$A$3:$K$84,10,0),"")</f>
        <v/>
      </c>
    </row>
    <row r="177" spans="1:9" s="19" customFormat="1" ht="13.8" thickBot="1" x14ac:dyDescent="0.2">
      <c r="A177" s="11">
        <v>196</v>
      </c>
      <c r="B177" s="7" t="str">
        <f>IFERROR(VLOOKUP(E177,'[1](新)EG'!$A$3:$K$74,2,0),"")</f>
        <v/>
      </c>
      <c r="C177" s="7" t="str">
        <f>IFERROR(VLOOKUP(E177,'[1](新)EG'!$A$3:$K$84,4,0),"")</f>
        <v/>
      </c>
      <c r="D177" s="15" t="str">
        <f>IFERROR(VLOOKUP(E177,'(新)EG'!$A$3:$K$84,5,0),"")</f>
        <v/>
      </c>
      <c r="E177" s="23">
        <f>'[1](新)EG'!A180</f>
        <v>0</v>
      </c>
      <c r="F177" s="16" t="str">
        <f>IFERROR(VLOOKUP(E177,'(新)EG'!$A$3:$K$84,8,0),"")</f>
        <v/>
      </c>
      <c r="G177" s="7" t="str">
        <f>IFERROR(VLOOKUP(E177,'[1](旧)EG'!$A$3:$K$100,10,0),"")</f>
        <v/>
      </c>
      <c r="H177" s="12" t="s">
        <v>60</v>
      </c>
      <c r="I177" s="7" t="str">
        <f>IFERROR(VLOOKUP(E177,'(新)EG'!$A$3:$K$84,10,0),"")</f>
        <v/>
      </c>
    </row>
    <row r="178" spans="1:9" s="19" customFormat="1" ht="13.8" thickBot="1" x14ac:dyDescent="0.2">
      <c r="A178" s="11">
        <v>197</v>
      </c>
      <c r="B178" s="7" t="str">
        <f>IFERROR(VLOOKUP(E178,'[1](新)EG'!$A$3:$K$74,2,0),"")</f>
        <v/>
      </c>
      <c r="C178" s="7" t="str">
        <f>IFERROR(VLOOKUP(E178,'[1](新)EG'!$A$3:$K$84,4,0),"")</f>
        <v/>
      </c>
      <c r="D178" s="15" t="str">
        <f>IFERROR(VLOOKUP(E178,'(新)EG'!$A$3:$K$84,5,0),"")</f>
        <v/>
      </c>
      <c r="E178" s="23">
        <f>'[1](新)EG'!A181</f>
        <v>0</v>
      </c>
      <c r="F178" s="16" t="str">
        <f>IFERROR(VLOOKUP(E178,'(新)EG'!$A$3:$K$84,8,0),"")</f>
        <v/>
      </c>
      <c r="G178" s="7" t="str">
        <f>IFERROR(VLOOKUP(E178,'[1](旧)EG'!$A$3:$K$100,10,0),"")</f>
        <v/>
      </c>
      <c r="H178" s="12" t="s">
        <v>60</v>
      </c>
      <c r="I178" s="7" t="str">
        <f>IFERROR(VLOOKUP(E178,'(新)EG'!$A$3:$K$84,10,0),"")</f>
        <v/>
      </c>
    </row>
    <row r="179" spans="1:9" s="19" customFormat="1" ht="13.8" thickBot="1" x14ac:dyDescent="0.2">
      <c r="A179" s="11">
        <v>198</v>
      </c>
      <c r="B179" s="7" t="str">
        <f>IFERROR(VLOOKUP(E179,'[1](新)EG'!$A$3:$K$74,2,0),"")</f>
        <v/>
      </c>
      <c r="C179" s="7" t="str">
        <f>IFERROR(VLOOKUP(E179,'[1](新)EG'!$A$3:$K$84,4,0),"")</f>
        <v/>
      </c>
      <c r="D179" s="15" t="str">
        <f>IFERROR(VLOOKUP(E179,'(新)EG'!$A$3:$K$84,5,0),"")</f>
        <v/>
      </c>
      <c r="E179" s="23">
        <f>'[1](新)EG'!A182</f>
        <v>0</v>
      </c>
      <c r="F179" s="16" t="str">
        <f>IFERROR(VLOOKUP(E179,'(新)EG'!$A$3:$K$84,8,0),"")</f>
        <v/>
      </c>
      <c r="G179" s="7" t="str">
        <f>IFERROR(VLOOKUP(E179,'[1](旧)EG'!$A$3:$K$100,10,0),"")</f>
        <v/>
      </c>
      <c r="H179" s="12" t="s">
        <v>60</v>
      </c>
      <c r="I179" s="7" t="str">
        <f>IFERROR(VLOOKUP(E179,'(新)EG'!$A$3:$K$84,10,0),"")</f>
        <v/>
      </c>
    </row>
    <row r="180" spans="1:9" s="19" customFormat="1" ht="13.8" thickBot="1" x14ac:dyDescent="0.2">
      <c r="A180" s="11">
        <v>199</v>
      </c>
      <c r="B180" s="7" t="str">
        <f>IFERROR(VLOOKUP(E180,'[1](新)EG'!$A$3:$K$74,2,0),"")</f>
        <v/>
      </c>
      <c r="C180" s="7" t="str">
        <f>IFERROR(VLOOKUP(E180,'[1](新)EG'!$A$3:$K$84,4,0),"")</f>
        <v/>
      </c>
      <c r="D180" s="15" t="str">
        <f>IFERROR(VLOOKUP(E180,'(新)EG'!$A$3:$K$84,5,0),"")</f>
        <v/>
      </c>
      <c r="E180" s="23">
        <f>'[1](新)EG'!A183</f>
        <v>0</v>
      </c>
      <c r="F180" s="16" t="str">
        <f>IFERROR(VLOOKUP(E180,'(新)EG'!$A$3:$K$84,8,0),"")</f>
        <v/>
      </c>
      <c r="G180" s="7" t="str">
        <f>IFERROR(VLOOKUP(E180,'[1](旧)EG'!$A$3:$K$100,10,0),"")</f>
        <v/>
      </c>
      <c r="H180" s="12" t="s">
        <v>60</v>
      </c>
      <c r="I180" s="7" t="str">
        <f>IFERROR(VLOOKUP(E180,'(新)EG'!$A$3:$K$84,10,0),"")</f>
        <v/>
      </c>
    </row>
    <row r="181" spans="1:9" s="19" customFormat="1" ht="13.8" thickBot="1" x14ac:dyDescent="0.2">
      <c r="A181" s="11">
        <v>200</v>
      </c>
      <c r="B181" s="7" t="str">
        <f>IFERROR(VLOOKUP(E181,'[1](新)EG'!$A$3:$K$74,2,0),"")</f>
        <v/>
      </c>
      <c r="C181" s="7" t="str">
        <f>IFERROR(VLOOKUP(E181,'[1](新)EG'!$A$3:$K$84,4,0),"")</f>
        <v/>
      </c>
      <c r="D181" s="15" t="str">
        <f>IFERROR(VLOOKUP(E181,'(新)EG'!$A$3:$K$84,5,0),"")</f>
        <v/>
      </c>
      <c r="E181" s="23">
        <f>'[1](新)EG'!A184</f>
        <v>0</v>
      </c>
      <c r="F181" s="16" t="str">
        <f>IFERROR(VLOOKUP(E181,'(新)EG'!$A$3:$K$84,8,0),"")</f>
        <v/>
      </c>
      <c r="G181" s="7" t="str">
        <f>IFERROR(VLOOKUP(E181,'[1](旧)EG'!$A$3:$K$100,10,0),"")</f>
        <v/>
      </c>
      <c r="H181" s="12" t="s">
        <v>60</v>
      </c>
      <c r="I181" s="7" t="str">
        <f>IFERROR(VLOOKUP(E181,'(新)EG'!$A$3:$K$84,10,0),"")</f>
        <v/>
      </c>
    </row>
    <row r="182" spans="1:9" s="19" customFormat="1" ht="13.8" thickBot="1" x14ac:dyDescent="0.2">
      <c r="A182" s="11">
        <v>201</v>
      </c>
      <c r="B182" s="7" t="str">
        <f>IFERROR(VLOOKUP(E182,'[1](新)EG'!$A$3:$K$74,2,0),"")</f>
        <v/>
      </c>
      <c r="C182" s="7" t="str">
        <f>IFERROR(VLOOKUP(E182,'[1](新)EG'!$A$3:$K$84,4,0),"")</f>
        <v/>
      </c>
      <c r="D182" s="15" t="str">
        <f>IFERROR(VLOOKUP(E182,'(新)EG'!$A$3:$K$84,5,0),"")</f>
        <v/>
      </c>
      <c r="E182" s="23">
        <f>'[1](新)EG'!A185</f>
        <v>0</v>
      </c>
      <c r="F182" s="16" t="str">
        <f>IFERROR(VLOOKUP(E182,'(新)EG'!$A$3:$K$84,8,0),"")</f>
        <v/>
      </c>
      <c r="G182" s="7" t="str">
        <f>IFERROR(VLOOKUP(E182,'[1](旧)EG'!$A$3:$K$100,10,0),"")</f>
        <v/>
      </c>
      <c r="H182" s="12" t="s">
        <v>60</v>
      </c>
      <c r="I182" s="7" t="str">
        <f>IFERROR(VLOOKUP(E182,'(新)EG'!$A$3:$K$84,10,0),"")</f>
        <v/>
      </c>
    </row>
    <row r="183" spans="1:9" s="19" customFormat="1" ht="13.8" thickBot="1" x14ac:dyDescent="0.2">
      <c r="A183" s="11">
        <v>202</v>
      </c>
      <c r="B183" s="7" t="str">
        <f>IFERROR(VLOOKUP(E183,'[1](新)EG'!$A$3:$K$74,2,0),"")</f>
        <v/>
      </c>
      <c r="C183" s="7" t="str">
        <f>IFERROR(VLOOKUP(E183,'[1](新)EG'!$A$3:$K$84,4,0),"")</f>
        <v/>
      </c>
      <c r="D183" s="15" t="str">
        <f>IFERROR(VLOOKUP(E183,'(新)EG'!$A$3:$K$84,5,0),"")</f>
        <v/>
      </c>
      <c r="E183" s="23">
        <f>'[1](新)EG'!A186</f>
        <v>0</v>
      </c>
      <c r="F183" s="16" t="str">
        <f>IFERROR(VLOOKUP(E183,'(新)EG'!$A$3:$K$84,8,0),"")</f>
        <v/>
      </c>
      <c r="G183" s="7" t="str">
        <f>IFERROR(VLOOKUP(E183,'[1](旧)EG'!$A$3:$K$100,10,0),"")</f>
        <v/>
      </c>
      <c r="H183" s="12" t="s">
        <v>60</v>
      </c>
      <c r="I183" s="7" t="str">
        <f>IFERROR(VLOOKUP(E183,'(新)EG'!$A$3:$K$84,10,0),"")</f>
        <v/>
      </c>
    </row>
    <row r="184" spans="1:9" s="19" customFormat="1" ht="13.8" thickBot="1" x14ac:dyDescent="0.2">
      <c r="A184" s="11">
        <v>203</v>
      </c>
      <c r="B184" s="7" t="str">
        <f>IFERROR(VLOOKUP(E184,'[1](新)EG'!$A$3:$K$74,2,0),"")</f>
        <v/>
      </c>
      <c r="C184" s="7" t="str">
        <f>IFERROR(VLOOKUP(E184,'[1](新)EG'!$A$3:$K$84,4,0),"")</f>
        <v/>
      </c>
      <c r="D184" s="15" t="str">
        <f>IFERROR(VLOOKUP(E184,'(新)EG'!$A$3:$K$84,5,0),"")</f>
        <v/>
      </c>
      <c r="E184" s="23">
        <f>'[1](新)EG'!A187</f>
        <v>0</v>
      </c>
      <c r="F184" s="16" t="str">
        <f>IFERROR(VLOOKUP(E184,'(新)EG'!$A$3:$K$84,8,0),"")</f>
        <v/>
      </c>
      <c r="G184" s="7" t="str">
        <f>IFERROR(VLOOKUP(E184,'[1](旧)EG'!$A$3:$K$100,10,0),"")</f>
        <v/>
      </c>
      <c r="H184" s="12" t="s">
        <v>60</v>
      </c>
      <c r="I184" s="7" t="str">
        <f>IFERROR(VLOOKUP(E184,'(新)EG'!$A$3:$K$84,10,0),"")</f>
        <v/>
      </c>
    </row>
    <row r="185" spans="1:9" s="19" customFormat="1" ht="13.8" thickBot="1" x14ac:dyDescent="0.2">
      <c r="A185" s="11">
        <v>204</v>
      </c>
      <c r="B185" s="7" t="str">
        <f>IFERROR(VLOOKUP(E185,'[1](新)EG'!$A$3:$K$74,2,0),"")</f>
        <v/>
      </c>
      <c r="C185" s="7" t="str">
        <f>IFERROR(VLOOKUP(E185,'[1](新)EG'!$A$3:$K$84,4,0),"")</f>
        <v/>
      </c>
      <c r="D185" s="15" t="str">
        <f>IFERROR(VLOOKUP(E185,'(新)EG'!$A$3:$K$84,5,0),"")</f>
        <v/>
      </c>
      <c r="E185" s="23">
        <f>'[1](新)EG'!A188</f>
        <v>0</v>
      </c>
      <c r="F185" s="16" t="str">
        <f>IFERROR(VLOOKUP(E185,'(新)EG'!$A$3:$K$84,8,0),"")</f>
        <v/>
      </c>
      <c r="G185" s="7" t="str">
        <f>IFERROR(VLOOKUP(E185,'[1](旧)EG'!$A$3:$K$100,10,0),"")</f>
        <v/>
      </c>
      <c r="H185" s="12" t="s">
        <v>60</v>
      </c>
      <c r="I185" s="7" t="str">
        <f>IFERROR(VLOOKUP(E185,'(新)EG'!$A$3:$K$84,10,0),"")</f>
        <v/>
      </c>
    </row>
    <row r="186" spans="1:9" s="19" customFormat="1" ht="13.8" thickBot="1" x14ac:dyDescent="0.2">
      <c r="A186" s="11">
        <v>205</v>
      </c>
      <c r="B186" s="7" t="str">
        <f>IFERROR(VLOOKUP(E186,'[1](新)EG'!$A$3:$K$74,2,0),"")</f>
        <v/>
      </c>
      <c r="C186" s="7" t="str">
        <f>IFERROR(VLOOKUP(E186,'[1](新)EG'!$A$3:$K$84,4,0),"")</f>
        <v/>
      </c>
      <c r="D186" s="15" t="str">
        <f>IFERROR(VLOOKUP(E186,'(新)EG'!$A$3:$K$84,5,0),"")</f>
        <v/>
      </c>
      <c r="E186" s="23">
        <f>'[1](新)EG'!A189</f>
        <v>0</v>
      </c>
      <c r="F186" s="16" t="str">
        <f>IFERROR(VLOOKUP(E186,'(新)EG'!$A$3:$K$84,8,0),"")</f>
        <v/>
      </c>
      <c r="G186" s="7" t="str">
        <f>IFERROR(VLOOKUP(E186,'[1](旧)EG'!$A$3:$K$100,10,0),"")</f>
        <v/>
      </c>
      <c r="H186" s="12" t="s">
        <v>60</v>
      </c>
      <c r="I186" s="7" t="str">
        <f>IFERROR(VLOOKUP(E186,'(新)EG'!$A$3:$K$84,10,0),"")</f>
        <v/>
      </c>
    </row>
    <row r="187" spans="1:9" s="19" customFormat="1" ht="13.8" thickBot="1" x14ac:dyDescent="0.2">
      <c r="A187" s="11">
        <v>206</v>
      </c>
      <c r="B187" s="7" t="str">
        <f>IFERROR(VLOOKUP(E187,'[1](新)EG'!$A$3:$K$74,2,0),"")</f>
        <v/>
      </c>
      <c r="C187" s="7" t="str">
        <f>IFERROR(VLOOKUP(E187,'[1](新)EG'!$A$3:$K$84,4,0),"")</f>
        <v/>
      </c>
      <c r="D187" s="15" t="str">
        <f>IFERROR(VLOOKUP(E187,'(新)EG'!$A$3:$K$84,5,0),"")</f>
        <v/>
      </c>
      <c r="E187" s="23">
        <f>'[1](新)EG'!A190</f>
        <v>0</v>
      </c>
      <c r="F187" s="16" t="str">
        <f>IFERROR(VLOOKUP(E187,'(新)EG'!$A$3:$K$84,8,0),"")</f>
        <v/>
      </c>
      <c r="G187" s="7" t="str">
        <f>IFERROR(VLOOKUP(E187,'[1](旧)EG'!$A$3:$K$100,10,0),"")</f>
        <v/>
      </c>
      <c r="H187" s="12" t="s">
        <v>60</v>
      </c>
      <c r="I187" s="7" t="str">
        <f>IFERROR(VLOOKUP(E187,'(新)EG'!$A$3:$K$84,10,0),"")</f>
        <v/>
      </c>
    </row>
    <row r="188" spans="1:9" s="19" customFormat="1" ht="13.8" thickBot="1" x14ac:dyDescent="0.2">
      <c r="A188" s="11">
        <v>207</v>
      </c>
      <c r="B188" s="7" t="str">
        <f>IFERROR(VLOOKUP(E188,'[1](新)EG'!$A$3:$K$74,2,0),"")</f>
        <v/>
      </c>
      <c r="C188" s="7" t="str">
        <f>IFERROR(VLOOKUP(E188,'[1](新)EG'!$A$3:$K$84,4,0),"")</f>
        <v/>
      </c>
      <c r="D188" s="15" t="str">
        <f>IFERROR(VLOOKUP(E188,'(新)EG'!$A$3:$K$84,5,0),"")</f>
        <v/>
      </c>
      <c r="E188" s="23">
        <f>'[1](新)EG'!A191</f>
        <v>0</v>
      </c>
      <c r="F188" s="16" t="str">
        <f>IFERROR(VLOOKUP(E188,'(新)EG'!$A$3:$K$84,8,0),"")</f>
        <v/>
      </c>
      <c r="G188" s="7" t="str">
        <f>IFERROR(VLOOKUP(E188,'[1](旧)EG'!$A$3:$K$100,10,0),"")</f>
        <v/>
      </c>
      <c r="H188" s="12" t="s">
        <v>60</v>
      </c>
      <c r="I188" s="7" t="str">
        <f>IFERROR(VLOOKUP(E188,'(新)EG'!$A$3:$K$84,10,0),"")</f>
        <v/>
      </c>
    </row>
    <row r="189" spans="1:9" s="19" customFormat="1" ht="13.8" thickBot="1" x14ac:dyDescent="0.2">
      <c r="A189" s="11">
        <v>208</v>
      </c>
      <c r="B189" s="7" t="str">
        <f>IFERROR(VLOOKUP(E189,'[1](新)EG'!$A$3:$K$74,2,0),"")</f>
        <v/>
      </c>
      <c r="C189" s="7" t="str">
        <f>IFERROR(VLOOKUP(E189,'[1](新)EG'!$A$3:$K$84,4,0),"")</f>
        <v/>
      </c>
      <c r="D189" s="15" t="str">
        <f>IFERROR(VLOOKUP(E189,'(新)EG'!$A$3:$K$84,5,0),"")</f>
        <v/>
      </c>
      <c r="E189" s="23">
        <f>'[1](新)EG'!A192</f>
        <v>0</v>
      </c>
      <c r="F189" s="16" t="str">
        <f>IFERROR(VLOOKUP(E189,'(新)EG'!$A$3:$K$84,8,0),"")</f>
        <v/>
      </c>
      <c r="G189" s="7" t="str">
        <f>IFERROR(VLOOKUP(E189,'[1](旧)EG'!$A$3:$K$100,10,0),"")</f>
        <v/>
      </c>
      <c r="H189" s="12" t="s">
        <v>60</v>
      </c>
      <c r="I189" s="7" t="str">
        <f>IFERROR(VLOOKUP(E189,'(新)EG'!$A$3:$K$84,10,0),"")</f>
        <v/>
      </c>
    </row>
    <row r="190" spans="1:9" s="19" customFormat="1" ht="13.8" thickBot="1" x14ac:dyDescent="0.2">
      <c r="A190" s="11">
        <v>209</v>
      </c>
      <c r="B190" s="7" t="str">
        <f>IFERROR(VLOOKUP(E190,'[1](新)EG'!$A$3:$K$74,2,0),"")</f>
        <v/>
      </c>
      <c r="C190" s="7" t="str">
        <f>IFERROR(VLOOKUP(E190,'[1](新)EG'!$A$3:$K$84,4,0),"")</f>
        <v/>
      </c>
      <c r="D190" s="15" t="str">
        <f>IFERROR(VLOOKUP(E190,'(新)EG'!$A$3:$K$84,5,0),"")</f>
        <v/>
      </c>
      <c r="E190" s="23">
        <f>'[1](新)EG'!A193</f>
        <v>0</v>
      </c>
      <c r="F190" s="16" t="str">
        <f>IFERROR(VLOOKUP(E190,'(新)EG'!$A$3:$K$84,8,0),"")</f>
        <v/>
      </c>
      <c r="G190" s="7" t="str">
        <f>IFERROR(VLOOKUP(E190,'[1](旧)EG'!$A$3:$K$100,10,0),"")</f>
        <v/>
      </c>
      <c r="H190" s="12" t="s">
        <v>60</v>
      </c>
      <c r="I190" s="7" t="str">
        <f>IFERROR(VLOOKUP(E190,'(新)EG'!$A$3:$K$84,10,0),"")</f>
        <v/>
      </c>
    </row>
    <row r="191" spans="1:9" s="19" customFormat="1" ht="13.8" thickBot="1" x14ac:dyDescent="0.2">
      <c r="A191" s="11">
        <v>210</v>
      </c>
      <c r="B191" s="7" t="str">
        <f>IFERROR(VLOOKUP(E191,'[1](新)EG'!$A$3:$K$74,2,0),"")</f>
        <v/>
      </c>
      <c r="C191" s="7" t="str">
        <f>IFERROR(VLOOKUP(E191,'[1](新)EG'!$A$3:$K$84,4,0),"")</f>
        <v/>
      </c>
      <c r="D191" s="15" t="str">
        <f>IFERROR(VLOOKUP(E191,'(新)EG'!$A$3:$K$84,5,0),"")</f>
        <v/>
      </c>
      <c r="E191" s="23">
        <f>'[1](新)EG'!A194</f>
        <v>0</v>
      </c>
      <c r="F191" s="16" t="str">
        <f>IFERROR(VLOOKUP(E191,'(新)EG'!$A$3:$K$84,8,0),"")</f>
        <v/>
      </c>
      <c r="G191" s="7" t="str">
        <f>IFERROR(VLOOKUP(E191,'[1](旧)EG'!$A$3:$K$100,10,0),"")</f>
        <v/>
      </c>
      <c r="H191" s="12" t="s">
        <v>60</v>
      </c>
      <c r="I191" s="7" t="str">
        <f>IFERROR(VLOOKUP(E191,'(新)EG'!$A$3:$K$84,10,0),"")</f>
        <v/>
      </c>
    </row>
    <row r="192" spans="1:9" s="19" customFormat="1" ht="13.8" thickBot="1" x14ac:dyDescent="0.2">
      <c r="A192" s="11">
        <v>211</v>
      </c>
      <c r="B192" s="7" t="str">
        <f>IFERROR(VLOOKUP(E192,'[1](新)EG'!$A$3:$K$74,2,0),"")</f>
        <v/>
      </c>
      <c r="C192" s="7" t="str">
        <f>IFERROR(VLOOKUP(E192,'[1](新)EG'!$A$3:$K$84,4,0),"")</f>
        <v/>
      </c>
      <c r="D192" s="15" t="str">
        <f>IFERROR(VLOOKUP(E192,'(新)EG'!$A$3:$K$84,5,0),"")</f>
        <v/>
      </c>
      <c r="E192" s="23">
        <f>'[1](新)EG'!A195</f>
        <v>0</v>
      </c>
      <c r="F192" s="16" t="str">
        <f>IFERROR(VLOOKUP(E192,'(新)EG'!$A$3:$K$84,8,0),"")</f>
        <v/>
      </c>
      <c r="G192" s="7" t="str">
        <f>IFERROR(VLOOKUP(E192,'[1](旧)EG'!$A$3:$K$100,10,0),"")</f>
        <v/>
      </c>
      <c r="H192" s="12" t="s">
        <v>60</v>
      </c>
      <c r="I192" s="7" t="str">
        <f>IFERROR(VLOOKUP(E192,'(新)EG'!$A$3:$K$84,10,0),"")</f>
        <v/>
      </c>
    </row>
    <row r="193" spans="1:9" s="19" customFormat="1" ht="13.8" thickBot="1" x14ac:dyDescent="0.2">
      <c r="A193" s="11">
        <v>212</v>
      </c>
      <c r="B193" s="7" t="str">
        <f>IFERROR(VLOOKUP(E193,'[1](新)EG'!$A$3:$K$74,2,0),"")</f>
        <v/>
      </c>
      <c r="C193" s="7" t="str">
        <f>IFERROR(VLOOKUP(E193,'[1](新)EG'!$A$3:$K$84,4,0),"")</f>
        <v/>
      </c>
      <c r="D193" s="15" t="str">
        <f>IFERROR(VLOOKUP(E193,'(新)EG'!$A$3:$K$84,5,0),"")</f>
        <v/>
      </c>
      <c r="E193" s="23">
        <f>'[1](新)EG'!A196</f>
        <v>0</v>
      </c>
      <c r="F193" s="16" t="str">
        <f>IFERROR(VLOOKUP(E193,'(新)EG'!$A$3:$K$84,8,0),"")</f>
        <v/>
      </c>
      <c r="G193" s="7" t="str">
        <f>IFERROR(VLOOKUP(E193,'[1](旧)EG'!$A$3:$K$100,10,0),"")</f>
        <v/>
      </c>
      <c r="H193" s="12" t="s">
        <v>60</v>
      </c>
      <c r="I193" s="7" t="str">
        <f>IFERROR(VLOOKUP(E193,'(新)EG'!$A$3:$K$84,10,0),"")</f>
        <v/>
      </c>
    </row>
    <row r="194" spans="1:9" s="19" customFormat="1" ht="13.8" thickBot="1" x14ac:dyDescent="0.2">
      <c r="A194" s="11">
        <v>213</v>
      </c>
      <c r="B194" s="7" t="str">
        <f>IFERROR(VLOOKUP(E194,'(新)EG'!$A$3:$K$74,2,0),"")</f>
        <v/>
      </c>
      <c r="C194" s="7" t="str">
        <f>IFERROR(VLOOKUP(E194,'(新)EG'!$A$3:$K$84,4,0),"")</f>
        <v/>
      </c>
      <c r="D194" s="15" t="str">
        <f>IFERROR(VLOOKUP(E194,'(新)EG'!$A$3:$K$84,5,0),"")</f>
        <v/>
      </c>
      <c r="E194" s="23">
        <f>'(新)EG'!A197</f>
        <v>0</v>
      </c>
      <c r="F194" s="16" t="str">
        <f>IFERROR(VLOOKUP(E194,'(新)EG'!$A$3:$K$84,8,0),"")</f>
        <v/>
      </c>
      <c r="G194" s="7" t="str">
        <f>IFERROR(VLOOKUP(E194,'(旧)EG'!$A$3:$K$100,10,0),"")</f>
        <v/>
      </c>
      <c r="H194" s="12" t="s">
        <v>60</v>
      </c>
      <c r="I194" s="7" t="str">
        <f>IFERROR(VLOOKUP(E194,'(新)EG'!$A$3:$K$84,10,0),"")</f>
        <v/>
      </c>
    </row>
    <row r="195" spans="1:9" s="19" customFormat="1" ht="13.8" thickBot="1" x14ac:dyDescent="0.2">
      <c r="A195" s="11">
        <v>214</v>
      </c>
      <c r="B195" s="7" t="str">
        <f>IFERROR(VLOOKUP(E195,'(新)EG'!$A$3:$K$74,2,0),"")</f>
        <v/>
      </c>
      <c r="C195" s="7" t="str">
        <f>IFERROR(VLOOKUP(E195,'(新)EG'!$A$3:$K$84,4,0),"")</f>
        <v/>
      </c>
      <c r="D195" s="15" t="str">
        <f>IFERROR(VLOOKUP(E195,'(新)EG'!$A$3:$K$84,5,0),"")</f>
        <v/>
      </c>
      <c r="E195" s="23">
        <f>'(新)EG'!A198</f>
        <v>0</v>
      </c>
      <c r="F195" s="16" t="str">
        <f>IFERROR(VLOOKUP(E195,'(新)EG'!$A$3:$K$84,8,0),"")</f>
        <v/>
      </c>
      <c r="G195" s="7" t="str">
        <f>IFERROR(VLOOKUP(E195,'(旧)EG'!$A$3:$K$100,10,0),"")</f>
        <v/>
      </c>
      <c r="H195" s="12" t="s">
        <v>60</v>
      </c>
      <c r="I195" s="7" t="str">
        <f>IFERROR(VLOOKUP(E195,'(新)EG'!$A$3:$K$84,10,0),"")</f>
        <v/>
      </c>
    </row>
    <row r="196" spans="1:9" s="19" customFormat="1" ht="13.8" thickBot="1" x14ac:dyDescent="0.2">
      <c r="A196" s="11">
        <v>215</v>
      </c>
      <c r="B196" s="7" t="str">
        <f>IFERROR(VLOOKUP(E196,'(新)EG'!$A$3:$K$74,2,0),"")</f>
        <v/>
      </c>
      <c r="C196" s="7" t="str">
        <f>IFERROR(VLOOKUP(E196,'(新)EG'!$A$3:$K$84,4,0),"")</f>
        <v/>
      </c>
      <c r="D196" s="15" t="str">
        <f>IFERROR(VLOOKUP(E196,'(新)EG'!$A$3:$K$84,5,0),"")</f>
        <v/>
      </c>
      <c r="E196" s="23">
        <f>'(新)EG'!A199</f>
        <v>0</v>
      </c>
      <c r="F196" s="16" t="str">
        <f>IFERROR(VLOOKUP(E196,'(新)EG'!$A$3:$K$84,8,0),"")</f>
        <v/>
      </c>
      <c r="G196" s="7" t="str">
        <f>IFERROR(VLOOKUP(E196,'(旧)EG'!$A$3:$K$100,10,0),"")</f>
        <v/>
      </c>
      <c r="H196" s="12" t="s">
        <v>60</v>
      </c>
      <c r="I196" s="7" t="str">
        <f>IFERROR(VLOOKUP(E196,'(新)EG'!$A$3:$K$84,10,0),"")</f>
        <v/>
      </c>
    </row>
    <row r="197" spans="1:9" s="19" customFormat="1" ht="13.8" thickBot="1" x14ac:dyDescent="0.2">
      <c r="A197" s="11">
        <v>216</v>
      </c>
      <c r="B197" s="7" t="str">
        <f>IFERROR(VLOOKUP(E197,'(新)EG'!$A$3:$K$74,2,0),"")</f>
        <v/>
      </c>
      <c r="C197" s="7" t="str">
        <f>IFERROR(VLOOKUP(E197,'(新)EG'!$A$3:$K$84,4,0),"")</f>
        <v/>
      </c>
      <c r="D197" s="15" t="str">
        <f>IFERROR(VLOOKUP(E197,'(新)EG'!$A$3:$K$84,5,0),"")</f>
        <v/>
      </c>
      <c r="E197" s="23">
        <f>'(新)EG'!A200</f>
        <v>0</v>
      </c>
      <c r="F197" s="16" t="str">
        <f>IFERROR(VLOOKUP(E197,'(新)EG'!$A$3:$K$84,8,0),"")</f>
        <v/>
      </c>
      <c r="G197" s="7" t="str">
        <f>IFERROR(VLOOKUP(E197,'(旧)EG'!$A$3:$K$100,10,0),"")</f>
        <v/>
      </c>
      <c r="H197" s="12" t="s">
        <v>60</v>
      </c>
      <c r="I197" s="7" t="str">
        <f>IFERROR(VLOOKUP(E197,'(新)EG'!$A$3:$K$84,10,0),"")</f>
        <v/>
      </c>
    </row>
    <row r="198" spans="1:9" s="19" customFormat="1" ht="13.8" thickBot="1" x14ac:dyDescent="0.2">
      <c r="A198" s="11">
        <v>217</v>
      </c>
      <c r="B198" s="7" t="str">
        <f>IFERROR(VLOOKUP(E198,'(新)EG'!$A$3:$K$74,2,0),"")</f>
        <v/>
      </c>
      <c r="C198" s="7" t="str">
        <f>IFERROR(VLOOKUP(E198,'(新)EG'!$A$3:$K$84,4,0),"")</f>
        <v/>
      </c>
      <c r="D198" s="15" t="str">
        <f>IFERROR(VLOOKUP(E198,'(新)EG'!$A$3:$K$74,5,0),"")</f>
        <v/>
      </c>
      <c r="E198" s="23">
        <f>'(新)EG'!A201</f>
        <v>0</v>
      </c>
      <c r="F198" s="16" t="str">
        <f>IFERROR(VLOOKUP(E198,'(新)EG'!$A$3:$K$84,8,0),"")</f>
        <v/>
      </c>
      <c r="G198" s="7" t="str">
        <f>IFERROR(VLOOKUP(E198,'(旧)EG'!$A$3:$K$100,10,0),"")</f>
        <v/>
      </c>
      <c r="H198" s="12" t="s">
        <v>60</v>
      </c>
      <c r="I198" s="7" t="str">
        <f>IFERROR(VLOOKUP(E198,'(新)EG'!$A$3:$K$84,10,0),"")</f>
        <v/>
      </c>
    </row>
    <row r="199" spans="1:9" s="19" customFormat="1" ht="13.8" thickBot="1" x14ac:dyDescent="0.2">
      <c r="A199" s="11">
        <v>218</v>
      </c>
      <c r="B199" s="7" t="str">
        <f>IFERROR(VLOOKUP(E199,'(新)EG'!$A$3:$K$74,2,0),"")</f>
        <v/>
      </c>
      <c r="C199" s="7" t="str">
        <f>IFERROR(VLOOKUP(E199,'(新)EG'!$A$3:$K$84,4,0),"")</f>
        <v/>
      </c>
      <c r="D199" s="15" t="str">
        <f>IFERROR(VLOOKUP(E199,'(新)EG'!$A$3:$K$74,5,0),"")</f>
        <v/>
      </c>
      <c r="E199" s="23">
        <f>'(新)EG'!A202</f>
        <v>0</v>
      </c>
      <c r="F199" s="16" t="str">
        <f>IFERROR(VLOOKUP(E199,'(新)EG'!$A$3:$K$84,8,0),"")</f>
        <v/>
      </c>
      <c r="G199" s="7" t="str">
        <f>IFERROR(VLOOKUP(E199,'(旧)EG'!$A$3:$K$100,10,0),"")</f>
        <v/>
      </c>
      <c r="H199" s="12" t="s">
        <v>60</v>
      </c>
      <c r="I199" s="7" t="str">
        <f>IFERROR(VLOOKUP(E199,'(新)EG'!$A$3:$K$84,10,0),"")</f>
        <v/>
      </c>
    </row>
    <row r="200" spans="1:9" s="19" customFormat="1" ht="13.8" thickBot="1" x14ac:dyDescent="0.2">
      <c r="A200" s="11">
        <v>219</v>
      </c>
      <c r="B200" s="7" t="str">
        <f>IFERROR(VLOOKUP(E200,'(新)EG'!$A$3:$K$74,2,0),"")</f>
        <v/>
      </c>
      <c r="C200" s="7" t="str">
        <f>IFERROR(VLOOKUP(E200,'(新)EG'!$A$3:$K$84,4,0),"")</f>
        <v/>
      </c>
      <c r="D200" s="15" t="str">
        <f>IFERROR(VLOOKUP(E200,'(新)EG'!$A$3:$K$74,5,0),"")</f>
        <v/>
      </c>
      <c r="E200" s="23">
        <f>'(新)EG'!A203</f>
        <v>0</v>
      </c>
      <c r="F200" s="16" t="str">
        <f>IFERROR(VLOOKUP(E200,'(新)EG'!$A$3:$K$84,8,0),"")</f>
        <v/>
      </c>
      <c r="G200" s="7" t="str">
        <f>IFERROR(VLOOKUP(E200,'(旧)EG'!$A$3:$K$100,10,0),"")</f>
        <v/>
      </c>
      <c r="H200" s="12" t="s">
        <v>60</v>
      </c>
      <c r="I200" s="7" t="str">
        <f>IFERROR(VLOOKUP(E200,'(新)EG'!$A$3:$K$84,10,0),"")</f>
        <v/>
      </c>
    </row>
    <row r="201" spans="1:9" s="19" customFormat="1" ht="13.8" thickBot="1" x14ac:dyDescent="0.2">
      <c r="A201" s="11">
        <v>220</v>
      </c>
      <c r="B201" s="7" t="str">
        <f>IFERROR(VLOOKUP(E201,'(新)EG'!$A$3:$K$74,2,0),"")</f>
        <v/>
      </c>
      <c r="C201" s="7" t="str">
        <f>IFERROR(VLOOKUP(E201,'(新)EG'!$A$3:$K$84,4,0),"")</f>
        <v/>
      </c>
      <c r="D201" s="15" t="str">
        <f>IFERROR(VLOOKUP(E201,'(新)EG'!$A$3:$K$74,5,0),"")</f>
        <v/>
      </c>
      <c r="E201" s="23">
        <f>'(新)EG'!A204</f>
        <v>0</v>
      </c>
      <c r="F201" s="16" t="str">
        <f>IFERROR(VLOOKUP(E201,'(新)EG'!$A$3:$K$84,8,0),"")</f>
        <v/>
      </c>
      <c r="G201" s="7" t="str">
        <f>IFERROR(VLOOKUP(E201,'(旧)EG'!$A$3:$K$100,10,0),"")</f>
        <v/>
      </c>
      <c r="H201" s="12" t="s">
        <v>60</v>
      </c>
      <c r="I201" s="7" t="str">
        <f>IFERROR(VLOOKUP(E201,'(新)EG'!$A$3:$K$84,10,0),"")</f>
        <v/>
      </c>
    </row>
    <row r="202" spans="1:9" s="19" customFormat="1" ht="13.8" thickBot="1" x14ac:dyDescent="0.2">
      <c r="A202" s="11">
        <v>221</v>
      </c>
      <c r="B202" s="7" t="str">
        <f>IFERROR(VLOOKUP(E202,'(新)EG'!$A$3:$K$74,2,0),"")</f>
        <v/>
      </c>
      <c r="C202" s="7" t="str">
        <f>IFERROR(VLOOKUP(E202,'(新)EG'!$A$3:$K$84,4,0),"")</f>
        <v/>
      </c>
      <c r="D202" s="15" t="str">
        <f>IFERROR(VLOOKUP(E202,'(新)EG'!$A$3:$K$74,5,0),"")</f>
        <v/>
      </c>
      <c r="E202" s="23">
        <f>'(新)EG'!A205</f>
        <v>0</v>
      </c>
      <c r="F202" s="16" t="str">
        <f>IFERROR(VLOOKUP(E202,'(新)EG'!$A$3:$K$84,8,0),"")</f>
        <v/>
      </c>
      <c r="G202" s="7" t="str">
        <f>IFERROR(VLOOKUP(E202,'(旧)EG'!$A$3:$K$100,10,0),"")</f>
        <v/>
      </c>
      <c r="H202" s="12" t="s">
        <v>60</v>
      </c>
      <c r="I202" s="7" t="str">
        <f>IFERROR(VLOOKUP(E202,'(新)EG'!$A$3:$K$84,10,0),"")</f>
        <v/>
      </c>
    </row>
    <row r="203" spans="1:9" s="19" customFormat="1" ht="13.8" thickBot="1" x14ac:dyDescent="0.2">
      <c r="A203" s="11">
        <v>222</v>
      </c>
      <c r="B203" s="7" t="str">
        <f>IFERROR(VLOOKUP(E203,'(新)EG'!$A$3:$K$74,2,0),"")</f>
        <v/>
      </c>
      <c r="C203" s="7" t="str">
        <f>IFERROR(VLOOKUP(E203,'(新)EG'!$A$3:$K$84,4,0),"")</f>
        <v/>
      </c>
      <c r="D203" s="15" t="str">
        <f>IFERROR(VLOOKUP(E203,'(新)EG'!$A$3:$K$74,5,0),"")</f>
        <v/>
      </c>
      <c r="E203" s="23">
        <f>'(新)EG'!A206</f>
        <v>0</v>
      </c>
      <c r="F203" s="16" t="str">
        <f>IFERROR(VLOOKUP(E203,'(新)EG'!$A$3:$K$84,8,0),"")</f>
        <v/>
      </c>
      <c r="G203" s="7" t="str">
        <f>IFERROR(VLOOKUP(E203,'(旧)EG'!$A$3:$K$100,10,0),"")</f>
        <v/>
      </c>
      <c r="H203" s="12" t="s">
        <v>60</v>
      </c>
      <c r="I203" s="7" t="str">
        <f>IFERROR(VLOOKUP(E203,'(新)EG'!$A$3:$K$84,10,0),"")</f>
        <v/>
      </c>
    </row>
    <row r="204" spans="1:9" s="19" customFormat="1" ht="13.8" thickBot="1" x14ac:dyDescent="0.2">
      <c r="A204" s="11">
        <v>223</v>
      </c>
      <c r="B204" s="7" t="str">
        <f>IFERROR(VLOOKUP(E204,'(新)EG'!$A$3:$K$74,2,0),"")</f>
        <v/>
      </c>
      <c r="C204" s="7" t="str">
        <f>IFERROR(VLOOKUP(E204,'(新)EG'!$A$3:$K$84,4,0),"")</f>
        <v/>
      </c>
      <c r="D204" s="15" t="str">
        <f>IFERROR(VLOOKUP(E204,'(新)EG'!$A$3:$K$74,5,0),"")</f>
        <v/>
      </c>
      <c r="E204" s="23">
        <f>'(新)EG'!A207</f>
        <v>0</v>
      </c>
      <c r="F204" s="16" t="str">
        <f>IFERROR(VLOOKUP(E204,'(新)EG'!$A$3:$K$84,8,0),"")</f>
        <v/>
      </c>
      <c r="G204" s="7" t="str">
        <f>IFERROR(VLOOKUP(E204,'(旧)EG'!$A$3:$K$100,10,0),"")</f>
        <v/>
      </c>
      <c r="H204" s="12" t="s">
        <v>60</v>
      </c>
      <c r="I204" s="7" t="str">
        <f>IFERROR(VLOOKUP(E204,'(新)EG'!$A$3:$K$84,10,0),"")</f>
        <v/>
      </c>
    </row>
    <row r="205" spans="1:9" s="19" customFormat="1" ht="13.8" thickBot="1" x14ac:dyDescent="0.2">
      <c r="A205" s="11">
        <v>224</v>
      </c>
      <c r="B205" s="7" t="str">
        <f>IFERROR(VLOOKUP(E205,'(新)EG'!$A$3:$K$74,2,0),"")</f>
        <v/>
      </c>
      <c r="C205" s="7" t="str">
        <f>IFERROR(VLOOKUP(E205,'(新)EG'!$A$3:$K$84,4,0),"")</f>
        <v/>
      </c>
      <c r="D205" s="15" t="str">
        <f>IFERROR(VLOOKUP(E205,'(新)EG'!$A$3:$K$74,5,0),"")</f>
        <v/>
      </c>
      <c r="E205" s="23">
        <f>'(新)EG'!A208</f>
        <v>0</v>
      </c>
      <c r="F205" s="16" t="str">
        <f>IFERROR(VLOOKUP(E205,'(新)EG'!$A$3:$K$84,8,0),"")</f>
        <v/>
      </c>
      <c r="G205" s="7" t="str">
        <f>IFERROR(VLOOKUP(E205,'(旧)EG'!$A$3:$K$100,10,0),"")</f>
        <v/>
      </c>
      <c r="H205" s="12" t="s">
        <v>60</v>
      </c>
      <c r="I205" s="7" t="str">
        <f>IFERROR(VLOOKUP(E205,'(新)EG'!$A$3:$K$84,10,0),"")</f>
        <v/>
      </c>
    </row>
    <row r="206" spans="1:9" s="19" customFormat="1" ht="13.8" thickBot="1" x14ac:dyDescent="0.2">
      <c r="A206" s="11">
        <v>225</v>
      </c>
      <c r="B206" s="7" t="str">
        <f>IFERROR(VLOOKUP(E206,'(新)EG'!$A$3:$K$74,2,0),"")</f>
        <v/>
      </c>
      <c r="C206" s="7" t="str">
        <f>IFERROR(VLOOKUP(E206,'(新)EG'!$A$3:$K$84,4,0),"")</f>
        <v/>
      </c>
      <c r="D206" s="15" t="str">
        <f>IFERROR(VLOOKUP(E206,'(新)EG'!$A$3:$K$74,5,0),"")</f>
        <v/>
      </c>
      <c r="E206" s="23">
        <f>'(新)EG'!A209</f>
        <v>0</v>
      </c>
      <c r="F206" s="16" t="str">
        <f>IFERROR(VLOOKUP(E206,'(新)EG'!$A$3:$K$84,8,0),"")</f>
        <v/>
      </c>
      <c r="G206" s="7" t="str">
        <f>IFERROR(VLOOKUP(E206,'(旧)EG'!$A$3:$K$100,10,0),"")</f>
        <v/>
      </c>
      <c r="H206" s="12" t="s">
        <v>60</v>
      </c>
      <c r="I206" s="7" t="str">
        <f>IFERROR(VLOOKUP(E206,'(新)EG'!$A$3:$K$84,10,0),"")</f>
        <v/>
      </c>
    </row>
    <row r="207" spans="1:9" s="19" customFormat="1" ht="13.8" thickBot="1" x14ac:dyDescent="0.2">
      <c r="A207" s="11">
        <v>226</v>
      </c>
      <c r="B207" s="7" t="str">
        <f>IFERROR(VLOOKUP(E207,'(新)EG'!$A$3:$K$74,2,0),"")</f>
        <v/>
      </c>
      <c r="C207" s="7" t="str">
        <f>IFERROR(VLOOKUP(E207,'(新)EG'!$A$3:$K$84,4,0),"")</f>
        <v/>
      </c>
      <c r="D207" s="15" t="str">
        <f>IFERROR(VLOOKUP(E207,'(新)EG'!$A$3:$K$74,5,0),"")</f>
        <v/>
      </c>
      <c r="E207" s="23">
        <f>'(新)EG'!A210</f>
        <v>0</v>
      </c>
      <c r="F207" s="16" t="str">
        <f>IFERROR(VLOOKUP(E207,'(新)EG'!$A$3:$K$84,8,0),"")</f>
        <v/>
      </c>
      <c r="G207" s="7" t="str">
        <f>IFERROR(VLOOKUP(E207,'(旧)EG'!$A$3:$K$100,10,0),"")</f>
        <v/>
      </c>
      <c r="H207" s="12" t="s">
        <v>60</v>
      </c>
      <c r="I207" s="7" t="str">
        <f>IFERROR(VLOOKUP(E207,'(新)EG'!$A$3:$K$84,10,0),"")</f>
        <v/>
      </c>
    </row>
    <row r="208" spans="1:9" s="19" customFormat="1" ht="13.8" thickBot="1" x14ac:dyDescent="0.2">
      <c r="A208" s="11">
        <v>227</v>
      </c>
      <c r="B208" s="7" t="str">
        <f>IFERROR(VLOOKUP(E208,'(新)EG'!$A$3:$K$74,2,0),"")</f>
        <v/>
      </c>
      <c r="C208" s="7" t="str">
        <f>IFERROR(VLOOKUP(E208,'(新)EG'!$A$3:$K$84,4,0),"")</f>
        <v/>
      </c>
      <c r="D208" s="15" t="str">
        <f>IFERROR(VLOOKUP(E208,'(新)EG'!$A$3:$K$74,5,0),"")</f>
        <v/>
      </c>
      <c r="E208" s="23">
        <f>'(新)EG'!A211</f>
        <v>0</v>
      </c>
      <c r="F208" s="16" t="str">
        <f>IFERROR(VLOOKUP(E208,'(新)EG'!$A$3:$K$84,8,0),"")</f>
        <v/>
      </c>
      <c r="G208" s="7" t="str">
        <f>IFERROR(VLOOKUP(E208,'(旧)EG'!$A$3:$K$100,10,0),"")</f>
        <v/>
      </c>
      <c r="H208" s="12" t="s">
        <v>60</v>
      </c>
      <c r="I208" s="7" t="str">
        <f>IFERROR(VLOOKUP(E208,'(新)EG'!$A$3:$K$84,10,0),"")</f>
        <v/>
      </c>
    </row>
    <row r="209" spans="1:9" s="19" customFormat="1" ht="13.8" thickBot="1" x14ac:dyDescent="0.2">
      <c r="A209" s="11">
        <v>228</v>
      </c>
      <c r="B209" s="7" t="str">
        <f>IFERROR(VLOOKUP(E209,'(新)EG'!$A$3:$K$74,2,0),"")</f>
        <v/>
      </c>
      <c r="C209" s="7" t="str">
        <f>IFERROR(VLOOKUP(E209,'(新)EG'!$A$3:$K$84,4,0),"")</f>
        <v/>
      </c>
      <c r="D209" s="15" t="str">
        <f>IFERROR(VLOOKUP(E209,'(新)EG'!$A$3:$K$74,5,0),"")</f>
        <v/>
      </c>
      <c r="E209" s="23">
        <f>'(新)EG'!A212</f>
        <v>0</v>
      </c>
      <c r="F209" s="16" t="str">
        <f>IFERROR(VLOOKUP(E209,'(新)EG'!$A$3:$K$84,8,0),"")</f>
        <v/>
      </c>
      <c r="G209" s="7" t="str">
        <f>IFERROR(VLOOKUP(E209,'(旧)EG'!$A$3:$K$100,10,0),"")</f>
        <v/>
      </c>
      <c r="H209" s="12" t="s">
        <v>60</v>
      </c>
      <c r="I209" s="7" t="str">
        <f>IFERROR(VLOOKUP(E209,'(新)EG'!$A$3:$K$84,10,0),"")</f>
        <v/>
      </c>
    </row>
    <row r="210" spans="1:9" s="19" customFormat="1" ht="13.8" thickBot="1" x14ac:dyDescent="0.2">
      <c r="A210" s="11">
        <v>229</v>
      </c>
      <c r="B210" s="7" t="str">
        <f>IFERROR(VLOOKUP(E210,'(新)EG'!$A$3:$K$74,2,0),"")</f>
        <v/>
      </c>
      <c r="C210" s="7" t="str">
        <f>IFERROR(VLOOKUP(E210,'(新)EG'!$A$3:$K$84,4,0),"")</f>
        <v/>
      </c>
      <c r="D210" s="15" t="str">
        <f>IFERROR(VLOOKUP(E210,'(新)EG'!$A$3:$K$74,5,0),"")</f>
        <v/>
      </c>
      <c r="E210" s="23">
        <f>'(新)EG'!A213</f>
        <v>0</v>
      </c>
      <c r="F210" s="16" t="str">
        <f>IFERROR(VLOOKUP(E210,'(新)EG'!$A$3:$K$84,8,0),"")</f>
        <v/>
      </c>
      <c r="G210" s="7" t="str">
        <f>IFERROR(VLOOKUP(E210,'(旧)EG'!$A$3:$K$100,10,0),"")</f>
        <v/>
      </c>
      <c r="H210" s="12" t="s">
        <v>60</v>
      </c>
      <c r="I210" s="7" t="str">
        <f>IFERROR(VLOOKUP(E210,'(新)EG'!$A$3:$K$84,10,0),"")</f>
        <v/>
      </c>
    </row>
    <row r="211" spans="1:9" s="19" customFormat="1" ht="13.8" thickBot="1" x14ac:dyDescent="0.2">
      <c r="A211" s="11">
        <v>230</v>
      </c>
      <c r="B211" s="7" t="str">
        <f>IFERROR(VLOOKUP(E211,'(新)EG'!$A$3:$K$74,2,0),"")</f>
        <v/>
      </c>
      <c r="C211" s="7" t="str">
        <f>IFERROR(VLOOKUP(E211,'(新)EG'!$A$3:$K$84,4,0),"")</f>
        <v/>
      </c>
      <c r="D211" s="15" t="str">
        <f>IFERROR(VLOOKUP(E211,'(新)EG'!$A$3:$K$74,5,0),"")</f>
        <v/>
      </c>
      <c r="E211" s="23">
        <f>'(新)EG'!A214</f>
        <v>0</v>
      </c>
      <c r="F211" s="16" t="str">
        <f>IFERROR(VLOOKUP(E211,'(新)EG'!$A$3:$K$84,8,0),"")</f>
        <v/>
      </c>
      <c r="G211" s="7" t="str">
        <f>IFERROR(VLOOKUP(E211,'(旧)EG'!$A$3:$K$100,10,0),"")</f>
        <v/>
      </c>
      <c r="H211" s="12" t="s">
        <v>60</v>
      </c>
      <c r="I211" s="7" t="str">
        <f>IFERROR(VLOOKUP(E211,'(新)EG'!$A$3:$K$84,10,0),"")</f>
        <v/>
      </c>
    </row>
    <row r="212" spans="1:9" s="19" customFormat="1" ht="13.8" thickBot="1" x14ac:dyDescent="0.2">
      <c r="A212" s="11">
        <v>231</v>
      </c>
      <c r="B212" s="7" t="str">
        <f>IFERROR(VLOOKUP(E212,'(新)EG'!$A$3:$K$74,2,0),"")</f>
        <v/>
      </c>
      <c r="C212" s="7" t="str">
        <f>IFERROR(VLOOKUP(E212,'(新)EG'!$A$3:$K$84,4,0),"")</f>
        <v/>
      </c>
      <c r="D212" s="15" t="str">
        <f>IFERROR(VLOOKUP(E212,'(新)EG'!$A$3:$K$74,5,0),"")</f>
        <v/>
      </c>
      <c r="E212" s="23">
        <f>'(新)EG'!A215</f>
        <v>0</v>
      </c>
      <c r="F212" s="16" t="str">
        <f>IFERROR(VLOOKUP(E212,'(新)EG'!$A$3:$K$84,8,0),"")</f>
        <v/>
      </c>
      <c r="G212" s="7" t="str">
        <f>IFERROR(VLOOKUP(E212,'(旧)EG'!$A$3:$K$100,10,0),"")</f>
        <v/>
      </c>
      <c r="H212" s="12" t="s">
        <v>60</v>
      </c>
      <c r="I212" s="7" t="str">
        <f>IFERROR(VLOOKUP(E212,'(新)EG'!$A$3:$K$84,10,0),"")</f>
        <v/>
      </c>
    </row>
    <row r="213" spans="1:9" s="19" customFormat="1" ht="13.8" thickBot="1" x14ac:dyDescent="0.2">
      <c r="A213" s="11">
        <v>232</v>
      </c>
      <c r="B213" s="7" t="str">
        <f>IFERROR(VLOOKUP(E213,'(新)EG'!$A$3:$K$74,2,0),"")</f>
        <v/>
      </c>
      <c r="C213" s="7" t="str">
        <f>IFERROR(VLOOKUP(E213,'(新)EG'!$A$3:$K$84,4,0),"")</f>
        <v/>
      </c>
      <c r="D213" s="15" t="str">
        <f>IFERROR(VLOOKUP(E213,'(新)EG'!$A$3:$K$74,5,0),"")</f>
        <v/>
      </c>
      <c r="E213" s="23">
        <f>'(新)EG'!A216</f>
        <v>0</v>
      </c>
      <c r="F213" s="16" t="str">
        <f>IFERROR(VLOOKUP(E213,'(新)EG'!$A$3:$K$84,8,0),"")</f>
        <v/>
      </c>
      <c r="G213" s="7" t="str">
        <f>IFERROR(VLOOKUP(E213,'(旧)EG'!$A$3:$K$92,10,0),"")</f>
        <v/>
      </c>
      <c r="H213" s="12" t="s">
        <v>60</v>
      </c>
      <c r="I213" s="7" t="str">
        <f>IFERROR(VLOOKUP(E213,'(新)EG'!$A$3:$K$84,10,0),"")</f>
        <v/>
      </c>
    </row>
    <row r="214" spans="1:9" s="19" customFormat="1" ht="13.8" thickBot="1" x14ac:dyDescent="0.2">
      <c r="A214" s="11">
        <v>233</v>
      </c>
      <c r="B214" s="7" t="str">
        <f>IFERROR(VLOOKUP(E214,'(新)EG'!$A$3:$K$74,2,0),"")</f>
        <v/>
      </c>
      <c r="C214" s="7" t="str">
        <f>IFERROR(VLOOKUP(E214,'(新)EG'!$A$3:$K$84,4,0),"")</f>
        <v/>
      </c>
      <c r="D214" s="15" t="str">
        <f>IFERROR(VLOOKUP(E214,'(新)EG'!$A$3:$K$74,5,0),"")</f>
        <v/>
      </c>
      <c r="E214" s="23">
        <f>'(新)EG'!A217</f>
        <v>0</v>
      </c>
      <c r="F214" s="16" t="str">
        <f>IFERROR(VLOOKUP(E214,'(新)EG'!$A$3:$K$84,8,0),"")</f>
        <v/>
      </c>
      <c r="G214" s="7" t="str">
        <f>IFERROR(VLOOKUP(E214,'(旧)EG'!$A$3:$K$92,10,0),"")</f>
        <v/>
      </c>
      <c r="H214" s="12" t="s">
        <v>60</v>
      </c>
      <c r="I214" s="7" t="str">
        <f>IFERROR(VLOOKUP(E214,'(新)EG'!$A$3:$K$84,10,0),"")</f>
        <v/>
      </c>
    </row>
    <row r="215" spans="1:9" s="19" customFormat="1" ht="13.8" thickBot="1" x14ac:dyDescent="0.2">
      <c r="A215" s="11">
        <v>234</v>
      </c>
      <c r="B215" s="7" t="str">
        <f>IFERROR(VLOOKUP(E215,'(新)EG'!$A$3:$K$74,2,0),"")</f>
        <v/>
      </c>
      <c r="C215" s="7" t="str">
        <f>IFERROR(VLOOKUP(E215,'(新)EG'!$A$3:$K$84,4,0),"")</f>
        <v/>
      </c>
      <c r="D215" s="15" t="str">
        <f>IFERROR(VLOOKUP(E215,'(新)EG'!$A$3:$K$74,5,0),"")</f>
        <v/>
      </c>
      <c r="E215" s="23">
        <f>'(新)EG'!A218</f>
        <v>0</v>
      </c>
      <c r="F215" s="16" t="str">
        <f>IFERROR(VLOOKUP(E215,'(新)EG'!$A$3:$K$84,8,0),"")</f>
        <v/>
      </c>
      <c r="G215" s="7" t="str">
        <f>IFERROR(VLOOKUP(E215,'(旧)EG'!$A$3:$K$92,10,0),"")</f>
        <v/>
      </c>
      <c r="H215" s="12" t="s">
        <v>60</v>
      </c>
      <c r="I215" s="7" t="str">
        <f>IFERROR(VLOOKUP(E215,'(新)EG'!$A$3:$K$84,10,0),"")</f>
        <v/>
      </c>
    </row>
    <row r="216" spans="1:9" s="19" customFormat="1" ht="13.8" thickBot="1" x14ac:dyDescent="0.2">
      <c r="A216" s="11">
        <v>235</v>
      </c>
      <c r="B216" s="7" t="str">
        <f>IFERROR(VLOOKUP(E216,'(新)EG'!$A$3:$K$74,2,0),"")</f>
        <v/>
      </c>
      <c r="C216" s="7" t="str">
        <f>IFERROR(VLOOKUP(E216,'(新)EG'!$A$3:$K$84,4,0),"")</f>
        <v/>
      </c>
      <c r="D216" s="15" t="str">
        <f>IFERROR(VLOOKUP(E216,'(新)EG'!$A$3:$K$74,5,0),"")</f>
        <v/>
      </c>
      <c r="E216" s="23">
        <f>'(新)EG'!A219</f>
        <v>0</v>
      </c>
      <c r="F216" s="16" t="str">
        <f>IFERROR(VLOOKUP(E216,'(新)EG'!$A$3:$K$84,8,0),"")</f>
        <v/>
      </c>
      <c r="G216" s="7" t="str">
        <f>IFERROR(VLOOKUP(E216,'(旧)EG'!$A$3:$K$92,10,0),"")</f>
        <v/>
      </c>
      <c r="H216" s="12" t="s">
        <v>60</v>
      </c>
      <c r="I216" s="7" t="str">
        <f>IFERROR(VLOOKUP(E216,'(新)EG'!$A$3:$K$84,10,0),"")</f>
        <v/>
      </c>
    </row>
    <row r="217" spans="1:9" s="19" customFormat="1" ht="13.8" thickBot="1" x14ac:dyDescent="0.2">
      <c r="A217" s="11">
        <v>236</v>
      </c>
      <c r="B217" s="7" t="str">
        <f>IFERROR(VLOOKUP(E217,'(新)EG'!$A$3:$K$74,2,0),"")</f>
        <v/>
      </c>
      <c r="C217" s="7" t="str">
        <f>IFERROR(VLOOKUP(E217,'(新)EG'!$A$3:$K$84,4,0),"")</f>
        <v/>
      </c>
      <c r="D217" s="15" t="str">
        <f>IFERROR(VLOOKUP(E217,'(新)EG'!$A$3:$K$74,5,0),"")</f>
        <v/>
      </c>
      <c r="E217" s="23">
        <f>'(新)EG'!A220</f>
        <v>0</v>
      </c>
      <c r="F217" s="16" t="str">
        <f>IFERROR(VLOOKUP(E217,'(新)EG'!$A$3:$K$84,8,0),"")</f>
        <v/>
      </c>
      <c r="G217" s="7" t="str">
        <f>IFERROR(VLOOKUP(E217,'(旧)EG'!$A$3:$K$92,10,0),"")</f>
        <v/>
      </c>
      <c r="H217" s="12" t="s">
        <v>60</v>
      </c>
      <c r="I217" s="7" t="str">
        <f>IFERROR(VLOOKUP(E217,'(新)EG'!$A$3:$K$84,10,0),"")</f>
        <v/>
      </c>
    </row>
    <row r="218" spans="1:9" s="19" customFormat="1" ht="13.8" thickBot="1" x14ac:dyDescent="0.2">
      <c r="A218" s="11">
        <v>237</v>
      </c>
      <c r="B218" s="7" t="str">
        <f>IFERROR(VLOOKUP(E218,'(新)EG'!$A$3:$K$74,2,0),"")</f>
        <v/>
      </c>
      <c r="C218" s="7" t="str">
        <f>IFERROR(VLOOKUP(E218,'(新)EG'!$A$3:$K$84,4,0),"")</f>
        <v/>
      </c>
      <c r="D218" s="15" t="str">
        <f>IFERROR(VLOOKUP(E218,'(新)EG'!$A$3:$K$74,5,0),"")</f>
        <v/>
      </c>
      <c r="E218" s="23">
        <f>'(新)EG'!A221</f>
        <v>0</v>
      </c>
      <c r="F218" s="16" t="str">
        <f>IFERROR(VLOOKUP(E218,'(新)EG'!$A$3:$K$84,8,0),"")</f>
        <v/>
      </c>
      <c r="G218" s="7" t="str">
        <f>IFERROR(VLOOKUP(E218,'(旧)EG'!$A$3:$K$92,10,0),"")</f>
        <v/>
      </c>
      <c r="H218" s="12" t="s">
        <v>60</v>
      </c>
      <c r="I218" s="7" t="str">
        <f>IFERROR(VLOOKUP(E218,'(新)EG'!$A$3:$K$84,10,0),"")</f>
        <v/>
      </c>
    </row>
    <row r="219" spans="1:9" s="19" customFormat="1" ht="13.8" thickBot="1" x14ac:dyDescent="0.2">
      <c r="A219" s="11">
        <v>238</v>
      </c>
      <c r="B219" s="7" t="str">
        <f>IFERROR(VLOOKUP(E219,'(新)EG'!$A$3:$K$74,2,0),"")</f>
        <v/>
      </c>
      <c r="C219" s="7" t="str">
        <f>IFERROR(VLOOKUP(E219,'(新)EG'!$A$3:$K$84,4,0),"")</f>
        <v/>
      </c>
      <c r="D219" s="15" t="str">
        <f>IFERROR(VLOOKUP(E219,'(新)EG'!$A$3:$K$74,5,0),"")</f>
        <v/>
      </c>
      <c r="E219" s="23">
        <f>'(新)EG'!A222</f>
        <v>0</v>
      </c>
      <c r="F219" s="16" t="str">
        <f>IFERROR(VLOOKUP(E219,'(新)EG'!$A$3:$K$84,8,0),"")</f>
        <v/>
      </c>
      <c r="G219" s="7" t="str">
        <f>IFERROR(VLOOKUP(E219,'(旧)EG'!$A$3:$K$92,10,0),"")</f>
        <v/>
      </c>
      <c r="H219" s="12" t="s">
        <v>60</v>
      </c>
      <c r="I219" s="7" t="str">
        <f>IFERROR(VLOOKUP(E219,'(新)EG'!$A$3:$K$84,10,0),"")</f>
        <v/>
      </c>
    </row>
    <row r="220" spans="1:9" s="19" customFormat="1" ht="13.8" thickBot="1" x14ac:dyDescent="0.2">
      <c r="A220" s="11">
        <v>239</v>
      </c>
      <c r="B220" s="7" t="str">
        <f>IFERROR(VLOOKUP(E220,'(新)EG'!$A$3:$K$74,2,0),"")</f>
        <v/>
      </c>
      <c r="C220" s="7" t="str">
        <f>IFERROR(VLOOKUP(E220,'(新)EG'!$A$3:$K$84,4,0),"")</f>
        <v/>
      </c>
      <c r="D220" s="15" t="str">
        <f>IFERROR(VLOOKUP(E220,'(新)EG'!$A$3:$K$74,5,0),"")</f>
        <v/>
      </c>
      <c r="E220" s="23">
        <f>'(新)EG'!A223</f>
        <v>0</v>
      </c>
      <c r="F220" s="16" t="str">
        <f>IFERROR(VLOOKUP(E220,'(新)EG'!$A$3:$K$84,8,0),"")</f>
        <v/>
      </c>
      <c r="G220" s="7" t="str">
        <f>IFERROR(VLOOKUP(E220,'(旧)EG'!$A$3:$K$92,10,0),"")</f>
        <v/>
      </c>
      <c r="H220" s="12" t="s">
        <v>60</v>
      </c>
      <c r="I220" s="7" t="str">
        <f>IFERROR(VLOOKUP(E220,'(新)EG'!$A$3:$K$84,10,0),"")</f>
        <v/>
      </c>
    </row>
    <row r="221" spans="1:9" s="19" customFormat="1" ht="13.8" thickBot="1" x14ac:dyDescent="0.2">
      <c r="A221" s="11">
        <v>240</v>
      </c>
      <c r="B221" s="7" t="str">
        <f>IFERROR(VLOOKUP(E221,'(新)EG'!$A$3:$K$74,2,0),"")</f>
        <v/>
      </c>
      <c r="C221" s="7" t="str">
        <f>IFERROR(VLOOKUP(E221,'(新)EG'!$A$3:$K$84,4,0),"")</f>
        <v/>
      </c>
      <c r="D221" s="15" t="str">
        <f>IFERROR(VLOOKUP(E221,'(新)EG'!$A$3:$K$74,5,0),"")</f>
        <v/>
      </c>
      <c r="E221" s="23">
        <f>'(新)EG'!A224</f>
        <v>0</v>
      </c>
      <c r="F221" s="16" t="str">
        <f>IFERROR(VLOOKUP(E221,'(新)EG'!$A$3:$K$84,8,0),"")</f>
        <v/>
      </c>
      <c r="G221" s="7" t="str">
        <f>IFERROR(VLOOKUP(E221,'(旧)EG'!$A$3:$K$92,10,0),"")</f>
        <v/>
      </c>
      <c r="H221" s="12" t="s">
        <v>60</v>
      </c>
      <c r="I221" s="7" t="str">
        <f>IFERROR(VLOOKUP(E221,'(新)EG'!$A$3:$K$84,10,0),"")</f>
        <v/>
      </c>
    </row>
    <row r="222" spans="1:9" s="19" customFormat="1" ht="13.8" thickBot="1" x14ac:dyDescent="0.2">
      <c r="A222" s="11">
        <v>241</v>
      </c>
      <c r="B222" s="7" t="str">
        <f>IFERROR(VLOOKUP(E222,'(新)EG'!$A$3:$K$74,2,0),"")</f>
        <v/>
      </c>
      <c r="C222" s="7" t="str">
        <f>IFERROR(VLOOKUP(E222,'(新)EG'!$A$3:$K$84,4,0),"")</f>
        <v/>
      </c>
      <c r="D222" s="15" t="str">
        <f>IFERROR(VLOOKUP(E222,'(新)EG'!$A$3:$K$74,5,0),"")</f>
        <v/>
      </c>
      <c r="E222" s="23">
        <f>'(新)EG'!A225</f>
        <v>0</v>
      </c>
      <c r="F222" s="16" t="str">
        <f>IFERROR(VLOOKUP(E222,'(新)EG'!$A$3:$K$84,8,0),"")</f>
        <v/>
      </c>
      <c r="G222" s="7" t="str">
        <f>IFERROR(VLOOKUP(E222,'(旧)EG'!$A$3:$K$92,10,0),"")</f>
        <v/>
      </c>
      <c r="H222" s="12" t="s">
        <v>60</v>
      </c>
      <c r="I222" s="7" t="str">
        <f>IFERROR(VLOOKUP(E222,'(新)EG'!$A$3:$K$84,10,0),"")</f>
        <v/>
      </c>
    </row>
    <row r="223" spans="1:9" s="19" customFormat="1" ht="13.8" thickBot="1" x14ac:dyDescent="0.2">
      <c r="A223" s="11">
        <v>242</v>
      </c>
      <c r="B223" s="7" t="str">
        <f>IFERROR(VLOOKUP(E223,'(新)EG'!$A$3:$K$74,2,0),"")</f>
        <v/>
      </c>
      <c r="C223" s="7" t="str">
        <f>IFERROR(VLOOKUP(E223,'(新)EG'!$A$3:$K$84,4,0),"")</f>
        <v/>
      </c>
      <c r="D223" s="15" t="str">
        <f>IFERROR(VLOOKUP(E223,'(新)EG'!$A$3:$K$74,5,0),"")</f>
        <v/>
      </c>
      <c r="E223" s="23">
        <f>'(新)EG'!A226</f>
        <v>0</v>
      </c>
      <c r="F223" s="16" t="str">
        <f>IFERROR(VLOOKUP(E223,'(新)EG'!$A$3:$K$84,8,0),"")</f>
        <v/>
      </c>
      <c r="G223" s="7" t="str">
        <f>IFERROR(VLOOKUP(E223,'(旧)EG'!$A$3:$K$92,10,0),"")</f>
        <v/>
      </c>
      <c r="H223" s="12" t="s">
        <v>60</v>
      </c>
      <c r="I223" s="7" t="str">
        <f>IFERROR(VLOOKUP(E223,'(新)EG'!$A$3:$K$84,10,0),"")</f>
        <v/>
      </c>
    </row>
    <row r="224" spans="1:9" s="19" customFormat="1" ht="13.8" thickBot="1" x14ac:dyDescent="0.2">
      <c r="A224" s="11">
        <v>243</v>
      </c>
      <c r="B224" s="7" t="str">
        <f>IFERROR(VLOOKUP(E224,'(新)EG'!$A$3:$K$74,2,0),"")</f>
        <v/>
      </c>
      <c r="C224" s="7" t="str">
        <f>IFERROR(VLOOKUP(E224,'(新)EG'!$A$3:$K$84,4,0),"")</f>
        <v/>
      </c>
      <c r="D224" s="15" t="str">
        <f>IFERROR(VLOOKUP(E224,'(新)EG'!$A$3:$K$74,5,0),"")</f>
        <v/>
      </c>
      <c r="E224" s="23">
        <f>'(新)EG'!A227</f>
        <v>0</v>
      </c>
      <c r="F224" s="16" t="str">
        <f>IFERROR(VLOOKUP(E224,'(新)EG'!$A$3:$K$75,8,0),"")</f>
        <v/>
      </c>
      <c r="G224" s="7" t="str">
        <f>IFERROR(VLOOKUP(E224,'(旧)EG'!$A$3:$K$92,10,0),"")</f>
        <v/>
      </c>
      <c r="H224" s="12" t="s">
        <v>60</v>
      </c>
      <c r="I224" s="7" t="str">
        <f>IFERROR(VLOOKUP(E224,'(新)EG'!$A$3:$K$84,10,0),"")</f>
        <v/>
      </c>
    </row>
    <row r="225" spans="1:9" s="19" customFormat="1" ht="13.8" thickBot="1" x14ac:dyDescent="0.2">
      <c r="A225" s="11">
        <v>244</v>
      </c>
      <c r="B225" s="7" t="str">
        <f>IFERROR(VLOOKUP(E225,'(新)EG'!$A$3:$K$74,2,0),"")</f>
        <v/>
      </c>
      <c r="C225" s="7" t="str">
        <f>IFERROR(VLOOKUP(E225,'(新)EG'!$A$3:$K$84,4,0),"")</f>
        <v/>
      </c>
      <c r="D225" s="15" t="str">
        <f>IFERROR(VLOOKUP(E225,'(新)EG'!$A$3:$K$74,5,0),"")</f>
        <v/>
      </c>
      <c r="E225" s="23">
        <f>'(新)EG'!A228</f>
        <v>0</v>
      </c>
      <c r="F225" s="16" t="str">
        <f>IFERROR(VLOOKUP(E225,'(新)EG'!$A$3:$K$75,8,0),"")</f>
        <v/>
      </c>
      <c r="G225" s="7" t="str">
        <f>IFERROR(VLOOKUP(E225,'(旧)EG'!$A$3:$K$92,10,0),"")</f>
        <v/>
      </c>
      <c r="H225" s="12" t="s">
        <v>60</v>
      </c>
      <c r="I225" s="7" t="str">
        <f>IFERROR(VLOOKUP(E225,'(新)EG'!$A$3:$K$84,10,0),"")</f>
        <v/>
      </c>
    </row>
    <row r="226" spans="1:9" s="19" customFormat="1" ht="13.8" thickBot="1" x14ac:dyDescent="0.2">
      <c r="A226" s="11">
        <v>245</v>
      </c>
      <c r="B226" s="7" t="str">
        <f>IFERROR(VLOOKUP(E226,'(新)EG'!$A$3:$K$74,2,0),"")</f>
        <v/>
      </c>
      <c r="C226" s="7" t="str">
        <f>IFERROR(VLOOKUP(E226,'(新)EG'!$A$3:$K$84,4,0),"")</f>
        <v/>
      </c>
      <c r="D226" s="15" t="str">
        <f>IFERROR(VLOOKUP(E226,'(新)EG'!$A$3:$K$74,5,0),"")</f>
        <v/>
      </c>
      <c r="E226" s="25">
        <f>'(新)EG'!A229</f>
        <v>0</v>
      </c>
      <c r="F226" s="16" t="str">
        <f>IFERROR(VLOOKUP(E226,'(新)EG'!$A$3:$K$75,8,0),"")</f>
        <v/>
      </c>
      <c r="G226" s="7" t="str">
        <f>IFERROR(VLOOKUP(E226,'(旧)EG'!$A$3:$K$92,10,0),"")</f>
        <v/>
      </c>
      <c r="H226" s="12" t="s">
        <v>60</v>
      </c>
      <c r="I226" s="7" t="str">
        <f>IFERROR(VLOOKUP(E226,'(新)EG'!$A$3:$K$84,10,0),"")</f>
        <v/>
      </c>
    </row>
    <row r="227" spans="1:9" s="19" customFormat="1" ht="13.8" thickBot="1" x14ac:dyDescent="0.2">
      <c r="A227" s="11">
        <v>246</v>
      </c>
      <c r="B227" s="7" t="str">
        <f>IFERROR(VLOOKUP(E227,'(新)EG'!$A$3:$K$74,2,0),"")</f>
        <v/>
      </c>
      <c r="C227" s="7" t="str">
        <f>IFERROR(VLOOKUP(E227,'(新)EG'!$A$3:$K$84,4,0),"")</f>
        <v/>
      </c>
      <c r="D227" s="15" t="str">
        <f>IFERROR(VLOOKUP(E227,'(新)EG'!$A$3:$K$74,5,0),"")</f>
        <v/>
      </c>
      <c r="E227" s="25">
        <f>'(新)EG'!A230</f>
        <v>0</v>
      </c>
      <c r="F227" s="16" t="str">
        <f>IFERROR(VLOOKUP(E227,'(新)EG'!$A$3:$K$75,8,0),"")</f>
        <v/>
      </c>
      <c r="G227" s="7" t="str">
        <f>IFERROR(VLOOKUP(E227,'(旧)EG'!$A$3:$K$92,10,0),"")</f>
        <v/>
      </c>
      <c r="H227" s="12" t="s">
        <v>60</v>
      </c>
      <c r="I227" s="7" t="str">
        <f>IFERROR(VLOOKUP(E227,'(新)EG'!$A$3:$K$84,10,0),"")</f>
        <v/>
      </c>
    </row>
    <row r="228" spans="1:9" s="19" customFormat="1" ht="13.8" thickBot="1" x14ac:dyDescent="0.2">
      <c r="A228" s="11">
        <v>247</v>
      </c>
      <c r="B228" s="7" t="str">
        <f>IFERROR(VLOOKUP(E228,'(新)EG'!$A$3:$K$74,2,0),"")</f>
        <v/>
      </c>
      <c r="C228" s="7" t="str">
        <f>IFERROR(VLOOKUP(E228,'(新)EG'!$A$3:$K$84,4,0),"")</f>
        <v/>
      </c>
      <c r="D228" s="15" t="str">
        <f>IFERROR(VLOOKUP(E228,'(新)EG'!$A$3:$K$74,5,0),"")</f>
        <v/>
      </c>
      <c r="E228" s="25">
        <f>'(新)EG'!A231</f>
        <v>0</v>
      </c>
      <c r="F228" s="16" t="str">
        <f>IFERROR(VLOOKUP(E228,'(新)EG'!$A$3:$K$75,8,0),"")</f>
        <v/>
      </c>
      <c r="G228" s="7" t="str">
        <f>IFERROR(VLOOKUP(E228,'(旧)EG'!$A$3:$K$92,10,0),"")</f>
        <v/>
      </c>
      <c r="H228" s="12" t="s">
        <v>60</v>
      </c>
      <c r="I228" s="7" t="str">
        <f>IFERROR(VLOOKUP(E228,'(新)EG'!$A$3:$K$84,10,0),"")</f>
        <v/>
      </c>
    </row>
    <row r="229" spans="1:9" s="19" customFormat="1" ht="13.8" thickBot="1" x14ac:dyDescent="0.2">
      <c r="A229" s="11">
        <v>248</v>
      </c>
      <c r="B229" s="7" t="str">
        <f>IFERROR(VLOOKUP(E229,'(新)EG'!$A$3:$K$74,2,0),"")</f>
        <v/>
      </c>
      <c r="C229" s="7" t="str">
        <f>IFERROR(VLOOKUP(E229,'(新)EG'!$A$3:$K$84,4,0),"")</f>
        <v/>
      </c>
      <c r="D229" s="15" t="str">
        <f>IFERROR(VLOOKUP(E229,'(新)EG'!$A$3:$K$74,5,0),"")</f>
        <v/>
      </c>
      <c r="E229" s="25">
        <f>'(新)EG'!A232</f>
        <v>0</v>
      </c>
      <c r="F229" s="16" t="str">
        <f>IFERROR(VLOOKUP(E229,'(新)EG'!$A$3:$K$75,8,0),"")</f>
        <v/>
      </c>
      <c r="G229" s="7" t="str">
        <f>IFERROR(VLOOKUP(E229,'(旧)EG'!$A$3:$K$92,10,0),"")</f>
        <v/>
      </c>
      <c r="H229" s="12" t="s">
        <v>60</v>
      </c>
      <c r="I229" s="7" t="str">
        <f>IFERROR(VLOOKUP(E229,'(新)EG'!$A$3:$K$84,10,0),"")</f>
        <v/>
      </c>
    </row>
    <row r="230" spans="1:9" s="19" customFormat="1" ht="13.8" thickBot="1" x14ac:dyDescent="0.2">
      <c r="A230" s="11">
        <v>249</v>
      </c>
      <c r="B230" s="7" t="str">
        <f>IFERROR(VLOOKUP(E230,'(新)EG'!$A$3:$K$74,2,0),"")</f>
        <v/>
      </c>
      <c r="C230" s="7" t="str">
        <f>IFERROR(VLOOKUP(E230,'(新)EG'!$A$3:$K$84,4,0),"")</f>
        <v/>
      </c>
      <c r="D230" s="15" t="str">
        <f>IFERROR(VLOOKUP(E230,'(新)EG'!$A$3:$K$74,5,0),"")</f>
        <v/>
      </c>
      <c r="E230" s="25">
        <f>'(新)EG'!A233</f>
        <v>0</v>
      </c>
      <c r="F230" s="16" t="str">
        <f>IFERROR(VLOOKUP(E230,'(新)EG'!$A$3:$K$75,8,0),"")</f>
        <v/>
      </c>
      <c r="G230" s="7" t="str">
        <f>IFERROR(VLOOKUP(E230,'(旧)EG'!$A$3:$K$92,10,0),"")</f>
        <v/>
      </c>
      <c r="H230" s="12" t="s">
        <v>60</v>
      </c>
      <c r="I230" s="7" t="str">
        <f>IFERROR(VLOOKUP(E230,'(新)EG'!$A$3:$K$84,10,0),"")</f>
        <v/>
      </c>
    </row>
    <row r="231" spans="1:9" s="19" customFormat="1" ht="13.8" thickBot="1" x14ac:dyDescent="0.2">
      <c r="A231" s="11">
        <v>250</v>
      </c>
      <c r="B231" s="7" t="str">
        <f>IFERROR(VLOOKUP(E231,'(新)EG'!$A$3:$K$74,2,0),"")</f>
        <v/>
      </c>
      <c r="C231" s="7" t="str">
        <f>IFERROR(VLOOKUP(E231,'(新)EG'!$A$3:$K$84,4,0),"")</f>
        <v/>
      </c>
      <c r="D231" s="15" t="str">
        <f>IFERROR(VLOOKUP(E231,'(新)EG'!$A$3:$K$74,5,0),"")</f>
        <v/>
      </c>
      <c r="E231" s="25">
        <f>'(新)EG'!A234</f>
        <v>0</v>
      </c>
      <c r="F231" s="16" t="str">
        <f>IFERROR(VLOOKUP(E231,'(新)EG'!$A$3:$K$75,8,0),"")</f>
        <v/>
      </c>
      <c r="G231" s="7" t="str">
        <f>IFERROR(VLOOKUP(E231,'(旧)EG'!$A$3:$K$92,10,0),"")</f>
        <v/>
      </c>
      <c r="H231" s="12" t="s">
        <v>60</v>
      </c>
      <c r="I231" s="7" t="str">
        <f>IFERROR(VLOOKUP(E231,'(新)EG'!$A$3:$K$84,10,0),"")</f>
        <v/>
      </c>
    </row>
    <row r="232" spans="1:9" s="19" customFormat="1" ht="13.8" thickBot="1" x14ac:dyDescent="0.2">
      <c r="A232" s="11">
        <v>251</v>
      </c>
      <c r="B232" s="7" t="str">
        <f>IFERROR(VLOOKUP(E232,'(新)EG'!$A$3:$K$74,2,0),"")</f>
        <v/>
      </c>
      <c r="C232" s="7" t="str">
        <f>IFERROR(VLOOKUP(E232,'(新)EG'!$A$3:$K$84,4,0),"")</f>
        <v/>
      </c>
      <c r="D232" s="15" t="str">
        <f>IFERROR(VLOOKUP(E232,'(新)EG'!$A$3:$K$74,5,0),"")</f>
        <v/>
      </c>
      <c r="E232" s="25">
        <f>'(新)EG'!A235</f>
        <v>0</v>
      </c>
      <c r="F232" s="16" t="str">
        <f>IFERROR(VLOOKUP(E232,'(新)EG'!$A$3:$K$75,8,0),"")</f>
        <v/>
      </c>
      <c r="G232" s="7" t="str">
        <f>IFERROR(VLOOKUP(E232,'(旧)EG'!$A$3:$K$92,10,0),"")</f>
        <v/>
      </c>
      <c r="H232" s="12" t="s">
        <v>60</v>
      </c>
      <c r="I232" s="7" t="str">
        <f>IFERROR(VLOOKUP(E232,'(新)EG'!$A$3:$K$84,10,0),"")</f>
        <v/>
      </c>
    </row>
    <row r="233" spans="1:9" s="19" customFormat="1" ht="13.8" thickBot="1" x14ac:dyDescent="0.2">
      <c r="A233" s="11">
        <v>252</v>
      </c>
      <c r="B233" s="7" t="str">
        <f>IFERROR(VLOOKUP(E233,'(新)EG'!$A$3:$K$74,2,0),"")</f>
        <v/>
      </c>
      <c r="C233" s="7" t="str">
        <f>IFERROR(VLOOKUP(E233,'(新)EG'!$A$3:$K$84,4,0),"")</f>
        <v/>
      </c>
      <c r="D233" s="15" t="str">
        <f>IFERROR(VLOOKUP(E233,'(新)EG'!$A$3:$K$74,5,0),"")</f>
        <v/>
      </c>
      <c r="E233" s="25">
        <f>'(新)EG'!A236</f>
        <v>0</v>
      </c>
      <c r="F233" s="16" t="str">
        <f>IFERROR(VLOOKUP(E233,'(新)EG'!$A$3:$K$75,8,0),"")</f>
        <v/>
      </c>
      <c r="G233" s="7" t="str">
        <f>IFERROR(VLOOKUP(E233,'(旧)EG'!$A$3:$K$92,10,0),"")</f>
        <v/>
      </c>
      <c r="H233" s="12" t="s">
        <v>60</v>
      </c>
      <c r="I233" s="7" t="str">
        <f>IFERROR(VLOOKUP(E233,'(新)EG'!$A$3:$K$84,10,0),"")</f>
        <v/>
      </c>
    </row>
    <row r="234" spans="1:9" s="19" customFormat="1" ht="13.8" thickBot="1" x14ac:dyDescent="0.2">
      <c r="A234" s="11">
        <v>253</v>
      </c>
      <c r="B234" s="7" t="str">
        <f>IFERROR(VLOOKUP(E234,'(新)EG'!$A$3:$K$74,2,0),"")</f>
        <v/>
      </c>
      <c r="C234" s="7" t="str">
        <f>IFERROR(VLOOKUP(E234,'(新)EG'!$A$3:$K$84,4,0),"")</f>
        <v/>
      </c>
      <c r="D234" s="15" t="str">
        <f>IFERROR(VLOOKUP(E234,'(新)EG'!$A$3:$K$74,5,0),"")</f>
        <v/>
      </c>
      <c r="E234" s="25">
        <f>'(新)EG'!A237</f>
        <v>0</v>
      </c>
      <c r="F234" s="16" t="str">
        <f>IFERROR(VLOOKUP(E234,'(新)EG'!$A$3:$K$75,8,0),"")</f>
        <v/>
      </c>
      <c r="G234" s="7" t="str">
        <f>IFERROR(VLOOKUP(E234,'(旧)EG'!$A$3:$K$92,10,0),"")</f>
        <v/>
      </c>
      <c r="H234" s="12" t="s">
        <v>60</v>
      </c>
      <c r="I234" s="7" t="str">
        <f>IFERROR(VLOOKUP(E234,'(新)EG'!$A$3:$K$84,10,0),"")</f>
        <v/>
      </c>
    </row>
    <row r="235" spans="1:9" s="19" customFormat="1" ht="13.8" thickBot="1" x14ac:dyDescent="0.2">
      <c r="A235" s="11">
        <v>254</v>
      </c>
      <c r="B235" s="7" t="str">
        <f>IFERROR(VLOOKUP(E235,'(新)EG'!$A$3:$K$74,2,0),"")</f>
        <v/>
      </c>
      <c r="C235" s="7" t="str">
        <f>IFERROR(VLOOKUP(E235,'(新)EG'!$A$3:$K$74,4,0),"")</f>
        <v/>
      </c>
      <c r="D235" s="15" t="str">
        <f>IFERROR(VLOOKUP(E235,'(新)EG'!$A$3:$K$74,5,0),"")</f>
        <v/>
      </c>
      <c r="E235" s="25">
        <f>'(新)EG'!A238</f>
        <v>0</v>
      </c>
      <c r="F235" s="16" t="str">
        <f>IFERROR(VLOOKUP(E235,'(新)EG'!$A$3:$K$75,8,0),"")</f>
        <v/>
      </c>
      <c r="G235" s="7" t="str">
        <f>IFERROR(VLOOKUP(E235,'(旧)EG'!$A$3:$K$92,10,0),"")</f>
        <v/>
      </c>
      <c r="H235" s="12" t="s">
        <v>60</v>
      </c>
      <c r="I235" s="7" t="str">
        <f>IFERROR(VLOOKUP(E235,'(新)EG'!$A$3:$K$84,10,0),"")</f>
        <v/>
      </c>
    </row>
    <row r="236" spans="1:9" s="19" customFormat="1" ht="13.8" thickBot="1" x14ac:dyDescent="0.2">
      <c r="A236" s="11">
        <v>255</v>
      </c>
      <c r="B236" s="7" t="str">
        <f>IFERROR(VLOOKUP(E236,'(新)EG'!$A$3:$K$74,2,0),"")</f>
        <v/>
      </c>
      <c r="C236" s="7" t="str">
        <f>IFERROR(VLOOKUP(E236,'(新)EG'!$A$3:$K$74,4,0),"")</f>
        <v/>
      </c>
      <c r="D236" s="15" t="str">
        <f>IFERROR(VLOOKUP(E236,'(新)EG'!$A$3:$K$74,5,0),"")</f>
        <v/>
      </c>
      <c r="E236" s="25">
        <f>'(新)EG'!A239</f>
        <v>0</v>
      </c>
      <c r="F236" s="16" t="str">
        <f>IFERROR(VLOOKUP(E236,'(新)EG'!$A$3:$K$75,8,0),"")</f>
        <v/>
      </c>
      <c r="G236" s="7" t="str">
        <f>IFERROR(VLOOKUP(E236,'(旧)EG'!$A$3:$K$92,10,0),"")</f>
        <v/>
      </c>
      <c r="H236" s="12" t="s">
        <v>60</v>
      </c>
      <c r="I236" s="7" t="str">
        <f>IFERROR(VLOOKUP(E236,'(新)EG'!$A$3:$K$84,10,0),"")</f>
        <v/>
      </c>
    </row>
    <row r="237" spans="1:9" s="19" customFormat="1" ht="13.8" thickBot="1" x14ac:dyDescent="0.2">
      <c r="A237" s="11">
        <v>256</v>
      </c>
      <c r="B237" s="7" t="str">
        <f>IFERROR(VLOOKUP(E237,'(新)EG'!$A$3:$K$74,2,0),"")</f>
        <v/>
      </c>
      <c r="C237" s="7" t="str">
        <f>IFERROR(VLOOKUP(E237,'(新)EG'!$A$3:$K$74,4,0),"")</f>
        <v/>
      </c>
      <c r="D237" s="15" t="str">
        <f>IFERROR(VLOOKUP(E237,'(新)EG'!$A$3:$K$74,5,0),"")</f>
        <v/>
      </c>
      <c r="E237" s="25">
        <f>'(新)EG'!A240</f>
        <v>0</v>
      </c>
      <c r="F237" s="16" t="str">
        <f>IFERROR(VLOOKUP(E237,'(新)EG'!$A$3:$K$75,8,0),"")</f>
        <v/>
      </c>
      <c r="G237" s="7" t="str">
        <f>IFERROR(VLOOKUP(E237,'(旧)EG'!$A$3:$K$92,10,0),"")</f>
        <v/>
      </c>
      <c r="H237" s="12" t="s">
        <v>60</v>
      </c>
      <c r="I237" s="7" t="str">
        <f>IFERROR(VLOOKUP(E237,'(新)EG'!$A$3:$K$84,10,0),"")</f>
        <v/>
      </c>
    </row>
    <row r="238" spans="1:9" s="19" customFormat="1" ht="13.8" thickBot="1" x14ac:dyDescent="0.2">
      <c r="A238" s="11">
        <v>257</v>
      </c>
      <c r="B238" s="7" t="str">
        <f>IFERROR(VLOOKUP(E238,'(新)EG'!$A$3:$K$74,2,0),"")</f>
        <v/>
      </c>
      <c r="C238" s="7" t="str">
        <f>IFERROR(VLOOKUP(E238,'(新)EG'!$A$3:$K$74,4,0),"")</f>
        <v/>
      </c>
      <c r="D238" s="15" t="str">
        <f>IFERROR(VLOOKUP(E238,'(新)EG'!$A$3:$K$74,5,0),"")</f>
        <v/>
      </c>
      <c r="E238" s="25">
        <f>'(新)EG'!A241</f>
        <v>0</v>
      </c>
      <c r="F238" s="16" t="str">
        <f>IFERROR(VLOOKUP(E238,'(新)EG'!$A$3:$K$75,8,0),"")</f>
        <v/>
      </c>
      <c r="G238" s="7" t="str">
        <f>IFERROR(VLOOKUP(E238,'(旧)EG'!$A$3:$K$92,10,0),"")</f>
        <v/>
      </c>
      <c r="H238" s="12" t="s">
        <v>60</v>
      </c>
      <c r="I238" s="7" t="str">
        <f>IFERROR(VLOOKUP(E238,'(新)EG'!$A$3:$K$84,10,0),"")</f>
        <v/>
      </c>
    </row>
    <row r="239" spans="1:9" s="19" customFormat="1" ht="13.8" thickBot="1" x14ac:dyDescent="0.2">
      <c r="A239" s="11">
        <v>258</v>
      </c>
      <c r="B239" s="7" t="str">
        <f>IFERROR(VLOOKUP(E239,'(新)EG'!$A$3:$K$74,2,0),"")</f>
        <v/>
      </c>
      <c r="C239" s="7" t="str">
        <f>IFERROR(VLOOKUP(E239,'(新)EG'!$A$3:$K$74,4,0),"")</f>
        <v/>
      </c>
      <c r="D239" s="15" t="str">
        <f>IFERROR(VLOOKUP(E239,'(新)EG'!$A$3:$K$74,5,0),"")</f>
        <v/>
      </c>
      <c r="E239" s="25">
        <f>'(新)EG'!A242</f>
        <v>0</v>
      </c>
      <c r="F239" s="16" t="str">
        <f>IFERROR(VLOOKUP(E239,'(新)EG'!$A$3:$K$75,8,0),"")</f>
        <v/>
      </c>
      <c r="G239" s="7" t="str">
        <f>IFERROR(VLOOKUP(E239,'(旧)EG'!$A$3:$K$92,10,0),"")</f>
        <v/>
      </c>
      <c r="H239" s="12" t="s">
        <v>60</v>
      </c>
      <c r="I239" s="7" t="str">
        <f>IFERROR(VLOOKUP(E239,'(新)EG'!$A$3:$K$84,10,0),"")</f>
        <v/>
      </c>
    </row>
    <row r="240" spans="1:9" s="19" customFormat="1" ht="13.8" thickBot="1" x14ac:dyDescent="0.2">
      <c r="A240" s="11">
        <v>259</v>
      </c>
      <c r="B240" s="7" t="str">
        <f>IFERROR(VLOOKUP(E240,'(新)EG'!$A$3:$K$74,2,0),"")</f>
        <v/>
      </c>
      <c r="C240" s="7" t="str">
        <f>IFERROR(VLOOKUP(E240,'(新)EG'!$A$3:$K$74,4,0),"")</f>
        <v/>
      </c>
      <c r="D240" s="15" t="str">
        <f>IFERROR(VLOOKUP(E240,'(新)EG'!$A$3:$K$74,5,0),"")</f>
        <v/>
      </c>
      <c r="E240" s="25">
        <f>'(新)EG'!A243</f>
        <v>0</v>
      </c>
      <c r="F240" s="16" t="str">
        <f>IFERROR(VLOOKUP(E240,'(新)EG'!$A$3:$K$75,8,0),"")</f>
        <v/>
      </c>
      <c r="G240" s="7" t="str">
        <f>IFERROR(VLOOKUP(E240,'(旧)EG'!$A$3:$K$92,10,0),"")</f>
        <v/>
      </c>
      <c r="H240" s="12" t="s">
        <v>60</v>
      </c>
      <c r="I240" s="7" t="str">
        <f>IFERROR(VLOOKUP(E240,'(新)EG'!$A$3:$K$84,10,0),"")</f>
        <v/>
      </c>
    </row>
    <row r="241" spans="1:9" s="19" customFormat="1" ht="13.8" thickBot="1" x14ac:dyDescent="0.2">
      <c r="A241" s="11">
        <v>260</v>
      </c>
      <c r="B241" s="7" t="str">
        <f>IFERROR(VLOOKUP(E241,'(新)EG'!$A$3:$K$74,2,0),"")</f>
        <v/>
      </c>
      <c r="C241" s="7" t="str">
        <f>IFERROR(VLOOKUP(E241,'(新)EG'!$A$3:$K$74,4,0),"")</f>
        <v/>
      </c>
      <c r="D241" s="15" t="str">
        <f>IFERROR(VLOOKUP(E241,'(新)EG'!$A$3:$K$74,5,0),"")</f>
        <v/>
      </c>
      <c r="E241" s="25">
        <f>'(新)EG'!A244</f>
        <v>0</v>
      </c>
      <c r="F241" s="16" t="str">
        <f>IFERROR(VLOOKUP(E241,'(新)EG'!$A$3:$K$75,8,0),"")</f>
        <v/>
      </c>
      <c r="G241" s="7" t="str">
        <f>IFERROR(VLOOKUP(E241,'(旧)EG'!$A$3:$K$92,10,0),"")</f>
        <v/>
      </c>
      <c r="H241" s="12" t="s">
        <v>60</v>
      </c>
      <c r="I241" s="7" t="str">
        <f>IFERROR(VLOOKUP(E241,'(新)EG'!$A$3:$K$84,10,0),"")</f>
        <v/>
      </c>
    </row>
    <row r="242" spans="1:9" s="19" customFormat="1" ht="13.8" thickBot="1" x14ac:dyDescent="0.2">
      <c r="A242" s="11">
        <v>261</v>
      </c>
      <c r="B242" s="7" t="str">
        <f>IFERROR(VLOOKUP(E242,'(新)EG'!$A$3:$K$74,2,0),"")</f>
        <v/>
      </c>
      <c r="C242" s="7" t="str">
        <f>IFERROR(VLOOKUP(E242,'(新)EG'!$A$3:$K$74,4,0),"")</f>
        <v/>
      </c>
      <c r="D242" s="15" t="str">
        <f>IFERROR(VLOOKUP(E242,'(新)EG'!$A$3:$K$74,5,0),"")</f>
        <v/>
      </c>
      <c r="E242" s="25">
        <f>'(新)EG'!A245</f>
        <v>0</v>
      </c>
      <c r="F242" s="16" t="str">
        <f>IFERROR(VLOOKUP(E242,'(新)EG'!$A$3:$K$75,8,0),"")</f>
        <v/>
      </c>
      <c r="G242" s="7" t="str">
        <f>IFERROR(VLOOKUP(E242,'(旧)EG'!$A$3:$K$92,10,0),"")</f>
        <v/>
      </c>
      <c r="H242" s="12" t="s">
        <v>60</v>
      </c>
      <c r="I242" s="7" t="str">
        <f>IFERROR(VLOOKUP(E242,'(新)EG'!$A$3:$K$84,10,0),"")</f>
        <v/>
      </c>
    </row>
    <row r="243" spans="1:9" s="19" customFormat="1" ht="13.8" thickBot="1" x14ac:dyDescent="0.2">
      <c r="A243" s="11">
        <v>262</v>
      </c>
      <c r="B243" s="7" t="str">
        <f>IFERROR(VLOOKUP(E243,'(新)EG'!$A$3:$K$74,2,0),"")</f>
        <v/>
      </c>
      <c r="C243" s="7" t="str">
        <f>IFERROR(VLOOKUP(E243,'(新)EG'!$A$3:$K$74,4,0),"")</f>
        <v/>
      </c>
      <c r="D243" s="15" t="str">
        <f>IFERROR(VLOOKUP(E243,'(新)EG'!$A$3:$K$74,5,0),"")</f>
        <v/>
      </c>
      <c r="E243" s="25">
        <f>'(新)EG'!A246</f>
        <v>0</v>
      </c>
      <c r="F243" s="16" t="str">
        <f>IFERROR(VLOOKUP(E243,'(新)EG'!$A$3:$K$75,8,0),"")</f>
        <v/>
      </c>
      <c r="G243" s="7" t="str">
        <f>IFERROR(VLOOKUP(E243,'(旧)EG'!$A$3:$K$92,10,0),"")</f>
        <v/>
      </c>
      <c r="H243" s="12" t="s">
        <v>60</v>
      </c>
      <c r="I243" s="7" t="str">
        <f>IFERROR(VLOOKUP(E243,'(新)EG'!$A$3:$K$84,10,0),"")</f>
        <v/>
      </c>
    </row>
    <row r="244" spans="1:9" s="19" customFormat="1" ht="13.8" thickBot="1" x14ac:dyDescent="0.2">
      <c r="A244" s="11">
        <v>263</v>
      </c>
      <c r="B244" s="7" t="str">
        <f>IFERROR(VLOOKUP(E244,'(新)EG'!$A$3:$K$74,2,0),"")</f>
        <v/>
      </c>
      <c r="C244" s="7" t="str">
        <f>IFERROR(VLOOKUP(E244,'(新)EG'!$A$3:$K$74,4,0),"")</f>
        <v/>
      </c>
      <c r="D244" s="15" t="str">
        <f>IFERROR(VLOOKUP(E244,'(新)EG'!$A$3:$K$74,5,0),"")</f>
        <v/>
      </c>
      <c r="E244" s="25">
        <f>'(新)EG'!A247</f>
        <v>0</v>
      </c>
      <c r="F244" s="16" t="str">
        <f>IFERROR(VLOOKUP(E244,'(新)EG'!$A$3:$K$75,8,0),"")</f>
        <v/>
      </c>
      <c r="G244" s="7" t="str">
        <f>IFERROR(VLOOKUP(E244,'(旧)EG'!$A$3:$K$92,10,0),"")</f>
        <v/>
      </c>
      <c r="H244" s="12" t="s">
        <v>60</v>
      </c>
      <c r="I244" s="7" t="str">
        <f>IFERROR(VLOOKUP(E244,'(新)EG'!$A$3:$K$84,10,0),"")</f>
        <v/>
      </c>
    </row>
    <row r="245" spans="1:9" s="19" customFormat="1" ht="13.8" thickBot="1" x14ac:dyDescent="0.2">
      <c r="A245" s="11">
        <v>264</v>
      </c>
      <c r="B245" s="7" t="str">
        <f>IFERROR(VLOOKUP(E245,'(新)EG'!$A$3:$K$74,2,0),"")</f>
        <v/>
      </c>
      <c r="C245" s="7" t="str">
        <f>IFERROR(VLOOKUP(E245,'(新)EG'!$A$3:$K$74,4,0),"")</f>
        <v/>
      </c>
      <c r="D245" s="15" t="str">
        <f>IFERROR(VLOOKUP(E245,'(新)EG'!$A$3:$K$74,5,0),"")</f>
        <v/>
      </c>
      <c r="E245" s="25">
        <f>'(新)EG'!A248</f>
        <v>0</v>
      </c>
      <c r="F245" s="16" t="str">
        <f>IFERROR(VLOOKUP(E245,'(新)EG'!$A$3:$K$75,8,0),"")</f>
        <v/>
      </c>
      <c r="G245" s="7" t="str">
        <f>IFERROR(VLOOKUP(E245,'(旧)EG'!$A$3:$K$92,10,0),"")</f>
        <v/>
      </c>
      <c r="H245" s="12" t="s">
        <v>60</v>
      </c>
      <c r="I245" s="7" t="str">
        <f>IFERROR(VLOOKUP(E245,'(新)EG'!$A$3:$K$84,10,0),"")</f>
        <v/>
      </c>
    </row>
    <row r="246" spans="1:9" s="19" customFormat="1" ht="13.8" thickBot="1" x14ac:dyDescent="0.2">
      <c r="A246" s="11">
        <v>265</v>
      </c>
      <c r="B246" s="7" t="str">
        <f>IFERROR(VLOOKUP(E246,'(新)EG'!$A$3:$K$74,2,0),"")</f>
        <v/>
      </c>
      <c r="C246" s="7" t="str">
        <f>IFERROR(VLOOKUP(E246,'(新)EG'!$A$3:$K$74,4,0),"")</f>
        <v/>
      </c>
      <c r="D246" s="15" t="str">
        <f>IFERROR(VLOOKUP(E246,'(新)EG'!$A$3:$K$74,5,0),"")</f>
        <v/>
      </c>
      <c r="E246" s="25">
        <f>'(新)EG'!A249</f>
        <v>0</v>
      </c>
      <c r="F246" s="16" t="str">
        <f>IFERROR(VLOOKUP(E246,'(新)EG'!$A$3:$K$75,8,0),"")</f>
        <v/>
      </c>
      <c r="G246" s="7" t="str">
        <f>IFERROR(VLOOKUP(E246,'(旧)EG'!$A$3:$K$92,10,0),"")</f>
        <v/>
      </c>
      <c r="H246" s="12" t="s">
        <v>60</v>
      </c>
      <c r="I246" s="7" t="str">
        <f>IFERROR(VLOOKUP(E246,'(新)EG'!$A$3:$K$84,10,0),"")</f>
        <v/>
      </c>
    </row>
    <row r="247" spans="1:9" s="19" customFormat="1" ht="13.8" thickBot="1" x14ac:dyDescent="0.2">
      <c r="A247" s="11">
        <v>266</v>
      </c>
      <c r="B247" s="7" t="str">
        <f>IFERROR(VLOOKUP(E247,'(新)EG'!$A$3:$K$74,2,0),"")</f>
        <v/>
      </c>
      <c r="C247" s="7" t="str">
        <f>IFERROR(VLOOKUP(E247,'(新)EG'!$A$3:$K$74,4,0),"")</f>
        <v/>
      </c>
      <c r="D247" s="15" t="str">
        <f>IFERROR(VLOOKUP(E247,'(新)EG'!$A$3:$K$74,5,0),"")</f>
        <v/>
      </c>
      <c r="E247" s="25">
        <f>'(新)EG'!A250</f>
        <v>0</v>
      </c>
      <c r="F247" s="16" t="str">
        <f>IFERROR(VLOOKUP(E247,'(新)EG'!$A$3:$K$75,8,0),"")</f>
        <v/>
      </c>
      <c r="G247" s="7" t="str">
        <f>IFERROR(VLOOKUP(E247,'(旧)EG'!$A$3:$K$92,10,0),"")</f>
        <v/>
      </c>
      <c r="H247" s="12" t="s">
        <v>60</v>
      </c>
      <c r="I247" s="7" t="str">
        <f>IFERROR(VLOOKUP(E247,'(新)EG'!$A$3:$K$84,10,0),"")</f>
        <v/>
      </c>
    </row>
    <row r="248" spans="1:9" s="19" customFormat="1" ht="13.8" thickBot="1" x14ac:dyDescent="0.2">
      <c r="A248" s="11">
        <v>267</v>
      </c>
      <c r="B248" s="7" t="str">
        <f>IFERROR(VLOOKUP(E248,'(新)EG'!$A$3:$K$74,2,0),"")</f>
        <v/>
      </c>
      <c r="C248" s="7" t="str">
        <f>IFERROR(VLOOKUP(E248,'(新)EG'!$A$3:$K$74,4,0),"")</f>
        <v/>
      </c>
      <c r="D248" s="15" t="str">
        <f>IFERROR(VLOOKUP(E248,'(新)EG'!$A$3:$K$74,5,0),"")</f>
        <v/>
      </c>
      <c r="E248" s="25">
        <f>'(新)EG'!A251</f>
        <v>0</v>
      </c>
      <c r="F248" s="16" t="str">
        <f>IFERROR(VLOOKUP(E248,'(新)EG'!$A$3:$K$75,8,0),"")</f>
        <v/>
      </c>
      <c r="G248" s="7" t="str">
        <f>IFERROR(VLOOKUP(E248,'(旧)EG'!$A$3:$K$92,10,0),"")</f>
        <v/>
      </c>
      <c r="H248" s="12" t="s">
        <v>60</v>
      </c>
      <c r="I248" s="7" t="str">
        <f>IFERROR(VLOOKUP(E248,'(新)EG'!$A$3:$K$84,10,0),"")</f>
        <v/>
      </c>
    </row>
    <row r="249" spans="1:9" s="19" customFormat="1" ht="13.8" thickBot="1" x14ac:dyDescent="0.2">
      <c r="A249" s="11">
        <v>268</v>
      </c>
      <c r="B249" s="7" t="str">
        <f>IFERROR(VLOOKUP(E249,'(新)EG'!$A$3:$K$74,2,0),"")</f>
        <v/>
      </c>
      <c r="C249" s="7" t="str">
        <f>IFERROR(VLOOKUP(E249,'(新)EG'!$A$3:$K$74,4,0),"")</f>
        <v/>
      </c>
      <c r="D249" s="15" t="str">
        <f>IFERROR(VLOOKUP(E249,'(新)EG'!$A$3:$K$74,5,0),"")</f>
        <v/>
      </c>
      <c r="E249" s="25">
        <f>'(新)EG'!A252</f>
        <v>0</v>
      </c>
      <c r="F249" s="16" t="str">
        <f>IFERROR(VLOOKUP(E249,'(新)EG'!$A$3:$K$75,8,0),"")</f>
        <v/>
      </c>
      <c r="G249" s="7" t="str">
        <f>IFERROR(VLOOKUP(E249,'(旧)EG'!$A$3:$K$92,10,0),"")</f>
        <v/>
      </c>
      <c r="H249" s="12" t="s">
        <v>60</v>
      </c>
      <c r="I249" s="7" t="str">
        <f>IFERROR(VLOOKUP(E249,'(新)EG'!$A$3:$K$84,10,0),"")</f>
        <v/>
      </c>
    </row>
    <row r="250" spans="1:9" s="19" customFormat="1" ht="13.8" thickBot="1" x14ac:dyDescent="0.2">
      <c r="A250" s="11">
        <v>269</v>
      </c>
      <c r="B250" s="7" t="str">
        <f>IFERROR(VLOOKUP(E250,'(新)EG'!$A$3:$K$74,2,0),"")</f>
        <v/>
      </c>
      <c r="C250" s="7" t="str">
        <f>IFERROR(VLOOKUP(E250,'(新)EG'!$A$3:$K$74,4,0),"")</f>
        <v/>
      </c>
      <c r="D250" s="15" t="str">
        <f>IFERROR(VLOOKUP(E250,'(新)EG'!$A$3:$K$74,5,0),"")</f>
        <v/>
      </c>
      <c r="E250" s="25">
        <f>'(新)EG'!A253</f>
        <v>0</v>
      </c>
      <c r="F250" s="16" t="str">
        <f>IFERROR(VLOOKUP(E250,'(新)EG'!$A$3:$K$75,8,0),"")</f>
        <v/>
      </c>
      <c r="G250" s="7" t="str">
        <f>IFERROR(VLOOKUP(E250,'(旧)EG'!$A$3:$K$92,10,0),"")</f>
        <v/>
      </c>
      <c r="H250" s="12" t="s">
        <v>60</v>
      </c>
      <c r="I250" s="7" t="str">
        <f>IFERROR(VLOOKUP(E250,'(新)EG'!$A$3:$K$84,10,0),"")</f>
        <v/>
      </c>
    </row>
    <row r="251" spans="1:9" s="19" customFormat="1" ht="13.8" thickBot="1" x14ac:dyDescent="0.2">
      <c r="A251" s="11">
        <v>270</v>
      </c>
      <c r="B251" s="7" t="str">
        <f>IFERROR(VLOOKUP(E251,'(新)EG'!$A$3:$K$74,2,0),"")</f>
        <v/>
      </c>
      <c r="C251" s="7" t="str">
        <f>IFERROR(VLOOKUP(E251,'(新)EG'!$A$3:$K$74,4,0),"")</f>
        <v/>
      </c>
      <c r="D251" s="15" t="str">
        <f>IFERROR(VLOOKUP(E251,'(新)EG'!$A$3:$K$74,5,0),"")</f>
        <v/>
      </c>
      <c r="E251" s="25">
        <f>'(新)EG'!A254</f>
        <v>0</v>
      </c>
      <c r="F251" s="16" t="str">
        <f>IFERROR(VLOOKUP(E251,'(新)EG'!$A$3:$K$75,8,0),"")</f>
        <v/>
      </c>
      <c r="G251" s="7" t="str">
        <f>IFERROR(VLOOKUP(E251,'(旧)EG'!$A$3:$K$92,10,0),"")</f>
        <v/>
      </c>
      <c r="H251" s="12" t="s">
        <v>60</v>
      </c>
      <c r="I251" s="7" t="str">
        <f>IFERROR(VLOOKUP(E251,'(新)EG'!$A$3:$K$84,10,0),"")</f>
        <v/>
      </c>
    </row>
    <row r="252" spans="1:9" s="19" customFormat="1" ht="13.8" thickBot="1" x14ac:dyDescent="0.2">
      <c r="A252" s="11">
        <v>271</v>
      </c>
      <c r="B252" s="7" t="str">
        <f>IFERROR(VLOOKUP(E252,'(新)EG'!$A$3:$K$74,2,0),"")</f>
        <v/>
      </c>
      <c r="C252" s="7" t="str">
        <f>IFERROR(VLOOKUP(E252,'(新)EG'!$A$3:$K$74,4,0),"")</f>
        <v/>
      </c>
      <c r="D252" s="15" t="str">
        <f>IFERROR(VLOOKUP(E252,'(新)EG'!$A$3:$K$74,5,0),"")</f>
        <v/>
      </c>
      <c r="E252" s="25">
        <f>'(新)EG'!A255</f>
        <v>0</v>
      </c>
      <c r="F252" s="16" t="str">
        <f>IFERROR(VLOOKUP(E252,'(新)EG'!$A$3:$K$75,8,0),"")</f>
        <v/>
      </c>
      <c r="G252" s="7" t="str">
        <f>IFERROR(VLOOKUP(E252,'(旧)EG'!$A$3:$K$92,10,0),"")</f>
        <v/>
      </c>
      <c r="H252" s="12" t="s">
        <v>60</v>
      </c>
      <c r="I252" s="7" t="str">
        <f>IFERROR(VLOOKUP(E252,'(新)EG'!$A$3:$K$84,10,0),"")</f>
        <v/>
      </c>
    </row>
    <row r="253" spans="1:9" s="19" customFormat="1" ht="13.8" thickBot="1" x14ac:dyDescent="0.2">
      <c r="A253" s="11">
        <v>272</v>
      </c>
      <c r="B253" s="7" t="str">
        <f>IFERROR(VLOOKUP(E253,'(新)EG'!$A$3:$K$74,2,0),"")</f>
        <v/>
      </c>
      <c r="C253" s="7" t="str">
        <f>IFERROR(VLOOKUP(E253,'(新)EG'!$A$3:$K$74,4,0),"")</f>
        <v/>
      </c>
      <c r="D253" s="15" t="str">
        <f>IFERROR(VLOOKUP(E253,'(新)EG'!$A$3:$K$74,5,0),"")</f>
        <v/>
      </c>
      <c r="E253" s="25">
        <f>'(新)EG'!A256</f>
        <v>0</v>
      </c>
      <c r="F253" s="16" t="str">
        <f>IFERROR(VLOOKUP(E253,'(新)EG'!$A$3:$K$75,8,0),"")</f>
        <v/>
      </c>
      <c r="G253" s="7" t="str">
        <f>IFERROR(VLOOKUP(E253,'(旧)EG'!$A$3:$K$92,10,0),"")</f>
        <v/>
      </c>
      <c r="H253" s="12" t="s">
        <v>60</v>
      </c>
      <c r="I253" s="7" t="str">
        <f>IFERROR(VLOOKUP(E253,'(新)EG'!$A$3:$K$84,10,0),"")</f>
        <v/>
      </c>
    </row>
    <row r="254" spans="1:9" s="19" customFormat="1" ht="13.8" thickBot="1" x14ac:dyDescent="0.2">
      <c r="A254" s="11">
        <v>273</v>
      </c>
      <c r="B254" s="7" t="str">
        <f>IFERROR(VLOOKUP(E254,'(新)EG'!$A$3:$K$74,2,0),"")</f>
        <v/>
      </c>
      <c r="C254" s="7" t="str">
        <f>IFERROR(VLOOKUP(E254,'(新)EG'!$A$3:$K$74,4,0),"")</f>
        <v/>
      </c>
      <c r="D254" s="15" t="str">
        <f>IFERROR(VLOOKUP(E254,'(新)EG'!$A$3:$K$74,5,0),"")</f>
        <v/>
      </c>
      <c r="E254" s="25">
        <f>'(新)EG'!A257</f>
        <v>0</v>
      </c>
      <c r="F254" s="16" t="str">
        <f>IFERROR(VLOOKUP(E254,'(新)EG'!$A$3:$K$75,8,0),"")</f>
        <v/>
      </c>
      <c r="G254" s="7" t="str">
        <f>IFERROR(VLOOKUP(E254,'(旧)EG'!$A$3:$K$92,10,0),"")</f>
        <v/>
      </c>
      <c r="H254" s="12" t="s">
        <v>60</v>
      </c>
      <c r="I254" s="7" t="str">
        <f>IFERROR(VLOOKUP(E254,'(新)EG'!$A$3:$K$84,10,0),"")</f>
        <v/>
      </c>
    </row>
    <row r="255" spans="1:9" s="19" customFormat="1" ht="13.8" thickBot="1" x14ac:dyDescent="0.2">
      <c r="A255" s="11">
        <v>274</v>
      </c>
      <c r="B255" s="7" t="str">
        <f>IFERROR(VLOOKUP(E255,'(新)EG'!$A$3:$K$74,2,0),"")</f>
        <v/>
      </c>
      <c r="C255" s="7" t="str">
        <f>IFERROR(VLOOKUP(E255,'(新)EG'!$A$3:$K$74,4,0),"")</f>
        <v/>
      </c>
      <c r="D255" s="15" t="str">
        <f>IFERROR(VLOOKUP(E255,'(新)EG'!$A$3:$K$74,5,0),"")</f>
        <v/>
      </c>
      <c r="E255" s="25">
        <f>'(新)EG'!A258</f>
        <v>0</v>
      </c>
      <c r="F255" s="16" t="str">
        <f>IFERROR(VLOOKUP(E255,'(新)EG'!$A$3:$K$75,8,0),"")</f>
        <v/>
      </c>
      <c r="G255" s="7" t="str">
        <f>IFERROR(VLOOKUP(E255,'(旧)EG'!$A$3:$K$92,10,0),"")</f>
        <v/>
      </c>
      <c r="H255" s="12" t="s">
        <v>60</v>
      </c>
      <c r="I255" s="7" t="str">
        <f>IFERROR(VLOOKUP(E255,'(新)EG'!$A$3:$K$84,10,0),"")</f>
        <v/>
      </c>
    </row>
    <row r="256" spans="1:9" s="19" customFormat="1" ht="13.8" thickBot="1" x14ac:dyDescent="0.2">
      <c r="A256" s="11">
        <v>275</v>
      </c>
      <c r="B256" s="7" t="str">
        <f>IFERROR(VLOOKUP(E256,'(新)EG'!$A$3:$K$74,2,0),"")</f>
        <v/>
      </c>
      <c r="C256" s="7" t="str">
        <f>IFERROR(VLOOKUP(E256,'(新)EG'!$A$3:$K$74,4,0),"")</f>
        <v/>
      </c>
      <c r="D256" s="15" t="str">
        <f>IFERROR(VLOOKUP(E256,'(新)EG'!$A$3:$K$74,5,0),"")</f>
        <v/>
      </c>
      <c r="E256" s="25">
        <f>'(新)EG'!A259</f>
        <v>0</v>
      </c>
      <c r="F256" s="16" t="str">
        <f>IFERROR(VLOOKUP(E256,'(新)EG'!$A$3:$K$75,8,0),"")</f>
        <v/>
      </c>
      <c r="G256" s="7" t="str">
        <f>IFERROR(VLOOKUP(E256,'(旧)EG'!$A$3:$K$92,10,0),"")</f>
        <v/>
      </c>
      <c r="H256" s="12" t="s">
        <v>60</v>
      </c>
      <c r="I256" s="7" t="str">
        <f>IFERROR(VLOOKUP(E256,'(新)EG'!$A$3:$K$84,10,0),"")</f>
        <v/>
      </c>
    </row>
    <row r="257" spans="1:9" s="19" customFormat="1" ht="13.8" thickBot="1" x14ac:dyDescent="0.2">
      <c r="A257" s="11">
        <v>276</v>
      </c>
      <c r="B257" s="7" t="str">
        <f>IFERROR(VLOOKUP(E257,'(新)EG'!$A$3:$K$74,2,0),"")</f>
        <v/>
      </c>
      <c r="C257" s="7" t="str">
        <f>IFERROR(VLOOKUP(E257,'(新)EG'!$A$3:$K$74,4,0),"")</f>
        <v/>
      </c>
      <c r="D257" s="15" t="str">
        <f>IFERROR(VLOOKUP(E257,'(新)EG'!$A$3:$K$74,5,0),"")</f>
        <v/>
      </c>
      <c r="E257" s="25">
        <f>'(新)EG'!A260</f>
        <v>0</v>
      </c>
      <c r="F257" s="16" t="str">
        <f>IFERROR(VLOOKUP(E257,'(新)EG'!$A$3:$K$75,8,0),"")</f>
        <v/>
      </c>
      <c r="G257" s="7" t="str">
        <f>IFERROR(VLOOKUP(E257,'(旧)EG'!$A$3:$K$92,10,0),"")</f>
        <v/>
      </c>
      <c r="H257" s="12" t="s">
        <v>60</v>
      </c>
      <c r="I257" s="7" t="str">
        <f>IFERROR(VLOOKUP(E257,'(新)EG'!$A$3:$K$84,10,0),"")</f>
        <v/>
      </c>
    </row>
    <row r="258" spans="1:9" s="19" customFormat="1" ht="13.8" thickBot="1" x14ac:dyDescent="0.2">
      <c r="A258" s="11">
        <v>277</v>
      </c>
      <c r="B258" s="7" t="str">
        <f>IFERROR(VLOOKUP(E258,'(新)EG'!$A$3:$K$74,2,0),"")</f>
        <v/>
      </c>
      <c r="C258" s="7" t="str">
        <f>IFERROR(VLOOKUP(E258,'(新)EG'!$A$3:$K$74,4,0),"")</f>
        <v/>
      </c>
      <c r="D258" s="15" t="str">
        <f>IFERROR(VLOOKUP(E258,'(新)EG'!$A$3:$K$74,5,0),"")</f>
        <v/>
      </c>
      <c r="E258" s="25">
        <f>'(新)EG'!A261</f>
        <v>0</v>
      </c>
      <c r="F258" s="16" t="str">
        <f>IFERROR(VLOOKUP(E258,'(新)EG'!$A$3:$K$75,8,0),"")</f>
        <v/>
      </c>
      <c r="G258" s="7" t="str">
        <f>IFERROR(VLOOKUP(E258,'(旧)EG'!$A$3:$K$92,10,0),"")</f>
        <v/>
      </c>
      <c r="H258" s="12" t="s">
        <v>60</v>
      </c>
      <c r="I258" s="7" t="str">
        <f>IFERROR(VLOOKUP(E258,'(新)EG'!$A$3:$K$84,10,0),"")</f>
        <v/>
      </c>
    </row>
    <row r="259" spans="1:9" s="19" customFormat="1" ht="13.8" thickBot="1" x14ac:dyDescent="0.2">
      <c r="A259" s="11">
        <v>278</v>
      </c>
      <c r="B259" s="7" t="str">
        <f>IFERROR(VLOOKUP(E259,'(新)EG'!$A$3:$K$74,2,0),"")</f>
        <v/>
      </c>
      <c r="C259" s="7" t="str">
        <f>IFERROR(VLOOKUP(E259,'(新)EG'!$A$3:$K$74,4,0),"")</f>
        <v/>
      </c>
      <c r="D259" s="15" t="str">
        <f>IFERROR(VLOOKUP(E259,'(新)EG'!$A$3:$K$74,5,0),"")</f>
        <v/>
      </c>
      <c r="E259" s="25">
        <f>'(新)EG'!A262</f>
        <v>0</v>
      </c>
      <c r="F259" s="16" t="str">
        <f>IFERROR(VLOOKUP(E259,'(新)EG'!$A$3:$K$75,8,0),"")</f>
        <v/>
      </c>
      <c r="G259" s="7" t="str">
        <f>IFERROR(VLOOKUP(E259,'(旧)EG'!$A$3:$K$92,10,0),"")</f>
        <v/>
      </c>
      <c r="H259" s="12" t="s">
        <v>60</v>
      </c>
      <c r="I259" s="7" t="str">
        <f>IFERROR(VLOOKUP(E259,'(新)EG'!$A$3:$K$84,10,0),"")</f>
        <v/>
      </c>
    </row>
    <row r="260" spans="1:9" s="19" customFormat="1" ht="13.8" thickBot="1" x14ac:dyDescent="0.2">
      <c r="A260" s="11">
        <v>279</v>
      </c>
      <c r="B260" s="7" t="str">
        <f>IFERROR(VLOOKUP(E260,'(新)EG'!$A$3:$K$74,2,0),"")</f>
        <v/>
      </c>
      <c r="C260" s="7" t="str">
        <f>IFERROR(VLOOKUP(E260,'(新)EG'!$A$3:$K$74,4,0),"")</f>
        <v/>
      </c>
      <c r="D260" s="15" t="str">
        <f>IFERROR(VLOOKUP(E260,'(新)EG'!$A$3:$K$74,5,0),"")</f>
        <v/>
      </c>
      <c r="E260" s="25">
        <f>'(新)EG'!A263</f>
        <v>0</v>
      </c>
      <c r="F260" s="16" t="str">
        <f>IFERROR(VLOOKUP(E260,'(新)EG'!$A$3:$K$75,8,0),"")</f>
        <v/>
      </c>
      <c r="G260" s="7" t="str">
        <f>IFERROR(VLOOKUP(E260,'(旧)EG'!$A$3:$K$92,10,0),"")</f>
        <v/>
      </c>
      <c r="H260" s="12" t="s">
        <v>60</v>
      </c>
      <c r="I260" s="7" t="str">
        <f>IFERROR(VLOOKUP(E260,'(新)EG'!$A$3:$K$84,10,0),"")</f>
        <v/>
      </c>
    </row>
    <row r="261" spans="1:9" s="19" customFormat="1" ht="13.8" thickBot="1" x14ac:dyDescent="0.2">
      <c r="A261" s="11">
        <v>280</v>
      </c>
      <c r="B261" s="7" t="str">
        <f>IFERROR(VLOOKUP(E261,'(新)EG'!$A$3:$K$74,2,0),"")</f>
        <v/>
      </c>
      <c r="C261" s="7" t="str">
        <f>IFERROR(VLOOKUP(E261,'(新)EG'!$A$3:$K$74,4,0),"")</f>
        <v/>
      </c>
      <c r="D261" s="15" t="str">
        <f>IFERROR(VLOOKUP(E261,'(新)EG'!$A$3:$K$74,5,0),"")</f>
        <v/>
      </c>
      <c r="E261" s="25">
        <f>'(新)EG'!A264</f>
        <v>0</v>
      </c>
      <c r="F261" s="16" t="str">
        <f>IFERROR(VLOOKUP(E261,'(新)EG'!$A$3:$K$75,8,0),"")</f>
        <v/>
      </c>
      <c r="G261" s="7" t="str">
        <f>IFERROR(VLOOKUP(E261,'(旧)EG'!$A$3:$K$92,10,0),"")</f>
        <v/>
      </c>
      <c r="H261" s="12" t="s">
        <v>60</v>
      </c>
      <c r="I261" s="7" t="str">
        <f>IFERROR(VLOOKUP(E261,'(新)EG'!$A$3:$K$84,10,0),"")</f>
        <v/>
      </c>
    </row>
    <row r="262" spans="1:9" s="19" customFormat="1" ht="13.8" thickBot="1" x14ac:dyDescent="0.2">
      <c r="A262" s="11">
        <v>281</v>
      </c>
      <c r="B262" s="7" t="str">
        <f>IFERROR(VLOOKUP(E262,'(新)EG'!$A$3:$K$74,2,0),"")</f>
        <v/>
      </c>
      <c r="C262" s="7" t="str">
        <f>IFERROR(VLOOKUP(E262,'(新)EG'!$A$3:$K$74,4,0),"")</f>
        <v/>
      </c>
      <c r="D262" s="15" t="str">
        <f>IFERROR(VLOOKUP(E262,'(新)EG'!$A$3:$K$74,5,0),"")</f>
        <v/>
      </c>
      <c r="E262" s="25">
        <f>'(新)EG'!A265</f>
        <v>0</v>
      </c>
      <c r="F262" s="16" t="str">
        <f>IFERROR(VLOOKUP(E262,'(新)EG'!$A$3:$K$75,8,0),"")</f>
        <v/>
      </c>
      <c r="G262" s="7" t="str">
        <f>IFERROR(VLOOKUP(E262,'(旧)EG'!$A$3:$K$92,10,0),"")</f>
        <v/>
      </c>
      <c r="H262" s="12" t="s">
        <v>60</v>
      </c>
      <c r="I262" s="7" t="str">
        <f>IFERROR(VLOOKUP(E262,'(新)EG'!$A$3:$K$84,10,0),"")</f>
        <v/>
      </c>
    </row>
    <row r="263" spans="1:9" s="19" customFormat="1" ht="13.8" thickBot="1" x14ac:dyDescent="0.2">
      <c r="A263" s="11">
        <v>282</v>
      </c>
      <c r="B263" s="7" t="str">
        <f>IFERROR(VLOOKUP(E263,'(新)EG'!$A$3:$K$74,2,0),"")</f>
        <v/>
      </c>
      <c r="C263" s="7" t="str">
        <f>IFERROR(VLOOKUP(E263,'(新)EG'!$A$3:$K$74,4,0),"")</f>
        <v/>
      </c>
      <c r="D263" s="15" t="str">
        <f>IFERROR(VLOOKUP(E263,'(新)EG'!$A$3:$K$74,5,0),"")</f>
        <v/>
      </c>
      <c r="E263" s="25">
        <f>'(新)EG'!A266</f>
        <v>0</v>
      </c>
      <c r="F263" s="16" t="str">
        <f>IFERROR(VLOOKUP(E263,'(新)EG'!$A$3:$K$75,8,0),"")</f>
        <v/>
      </c>
      <c r="G263" s="7" t="str">
        <f>IFERROR(VLOOKUP(E263,'(旧)EG'!$A$3:$K$92,10,0),"")</f>
        <v/>
      </c>
      <c r="H263" s="12" t="s">
        <v>60</v>
      </c>
      <c r="I263" s="7" t="str">
        <f>IFERROR(VLOOKUP(E263,'(新)EG'!$A$3:$K$84,10,0),"")</f>
        <v/>
      </c>
    </row>
    <row r="264" spans="1:9" s="19" customFormat="1" ht="13.8" thickBot="1" x14ac:dyDescent="0.2">
      <c r="A264" s="11">
        <v>283</v>
      </c>
      <c r="B264" s="7" t="str">
        <f>IFERROR(VLOOKUP(E264,'(新)EG'!$A$3:$K$74,2,0),"")</f>
        <v/>
      </c>
      <c r="C264" s="7" t="str">
        <f>IFERROR(VLOOKUP(E264,'(新)EG'!$A$3:$K$74,4,0),"")</f>
        <v/>
      </c>
      <c r="D264" s="15" t="str">
        <f>IFERROR(VLOOKUP(E264,'(新)EG'!$A$3:$K$74,5,0),"")</f>
        <v/>
      </c>
      <c r="E264" s="25">
        <f>'(新)EG'!A267</f>
        <v>0</v>
      </c>
      <c r="F264" s="16" t="str">
        <f>IFERROR(VLOOKUP(E264,'(新)EG'!$A$3:$K$75,8,0),"")</f>
        <v/>
      </c>
      <c r="G264" s="7" t="str">
        <f>IFERROR(VLOOKUP(E264,'(旧)EG'!$A$3:$K$92,10,0),"")</f>
        <v/>
      </c>
      <c r="H264" s="12" t="s">
        <v>60</v>
      </c>
      <c r="I264" s="7" t="str">
        <f>IFERROR(VLOOKUP(E264,'(新)EG'!$A$3:$K$84,10,0),"")</f>
        <v/>
      </c>
    </row>
    <row r="265" spans="1:9" s="19" customFormat="1" ht="13.8" thickBot="1" x14ac:dyDescent="0.2">
      <c r="A265" s="11">
        <v>284</v>
      </c>
      <c r="B265" s="7" t="str">
        <f>IFERROR(VLOOKUP(E265,'(新)EG'!$A$3:$K$74,2,0),"")</f>
        <v/>
      </c>
      <c r="C265" s="7" t="str">
        <f>IFERROR(VLOOKUP(E265,'(新)EG'!$A$3:$K$74,4,0),"")</f>
        <v/>
      </c>
      <c r="D265" s="15" t="str">
        <f>IFERROR(VLOOKUP(E265,'(新)EG'!$A$3:$K$74,5,0),"")</f>
        <v/>
      </c>
      <c r="E265" s="25">
        <f>'(新)EG'!A268</f>
        <v>0</v>
      </c>
      <c r="F265" s="16" t="str">
        <f>IFERROR(VLOOKUP(E265,'(新)EG'!$A$3:$K$75,8,0),"")</f>
        <v/>
      </c>
      <c r="G265" s="7" t="str">
        <f>IFERROR(VLOOKUP(E265,'(旧)EG'!$A$3:$K$92,10,0),"")</f>
        <v/>
      </c>
      <c r="H265" s="12" t="s">
        <v>60</v>
      </c>
      <c r="I265" s="7" t="str">
        <f>IFERROR(VLOOKUP(E265,'(新)EG'!$A$3:$K$84,10,0),"")</f>
        <v/>
      </c>
    </row>
    <row r="266" spans="1:9" s="19" customFormat="1" ht="13.8" thickBot="1" x14ac:dyDescent="0.2">
      <c r="A266" s="11">
        <v>285</v>
      </c>
      <c r="B266" s="7" t="str">
        <f>IFERROR(VLOOKUP(E266,'(新)EG'!$A$3:$K$74,2,0),"")</f>
        <v/>
      </c>
      <c r="C266" s="7" t="str">
        <f>IFERROR(VLOOKUP(E266,'(新)EG'!$A$3:$K$74,4,0),"")</f>
        <v/>
      </c>
      <c r="D266" s="15" t="str">
        <f>IFERROR(VLOOKUP(E266,'(新)EG'!$A$3:$K$74,5,0),"")</f>
        <v/>
      </c>
      <c r="E266" s="25">
        <f>'(新)EG'!A269</f>
        <v>0</v>
      </c>
      <c r="F266" s="16" t="str">
        <f>IFERROR(VLOOKUP(E266,'(新)EG'!$A$3:$K$75,8,0),"")</f>
        <v/>
      </c>
      <c r="G266" s="7" t="str">
        <f>IFERROR(VLOOKUP(E266,'(旧)EG'!$A$3:$K$92,10,0),"")</f>
        <v/>
      </c>
      <c r="H266" s="12" t="s">
        <v>60</v>
      </c>
      <c r="I266" s="7" t="str">
        <f>IFERROR(VLOOKUP(E266,'(新)EG'!$A$3:$K$84,10,0),"")</f>
        <v/>
      </c>
    </row>
    <row r="267" spans="1:9" s="19" customFormat="1" ht="13.8" thickBot="1" x14ac:dyDescent="0.2">
      <c r="A267" s="11">
        <v>286</v>
      </c>
      <c r="B267" s="7" t="str">
        <f>IFERROR(VLOOKUP(E267,'(新)EG'!$A$3:$K$74,2,0),"")</f>
        <v/>
      </c>
      <c r="C267" s="7" t="str">
        <f>IFERROR(VLOOKUP(E267,'(新)EG'!$A$3:$K$74,4,0),"")</f>
        <v/>
      </c>
      <c r="D267" s="15" t="str">
        <f>IFERROR(VLOOKUP(E267,'(新)EG'!$A$3:$K$74,5,0),"")</f>
        <v/>
      </c>
      <c r="E267" s="25">
        <f>'(新)EG'!A270</f>
        <v>0</v>
      </c>
      <c r="F267" s="16" t="str">
        <f>IFERROR(VLOOKUP(E267,'(新)EG'!$A$3:$K$75,8,0),"")</f>
        <v/>
      </c>
      <c r="G267" s="7" t="str">
        <f>IFERROR(VLOOKUP(E267,'(旧)EG'!$A$3:$K$92,10,0),"")</f>
        <v/>
      </c>
      <c r="H267" s="12" t="s">
        <v>60</v>
      </c>
      <c r="I267" s="7" t="str">
        <f>IFERROR(VLOOKUP(E267,'(新)EG'!$A$3:$K$84,10,0),"")</f>
        <v/>
      </c>
    </row>
    <row r="268" spans="1:9" s="19" customFormat="1" ht="13.8" thickBot="1" x14ac:dyDescent="0.2">
      <c r="A268" s="11">
        <v>287</v>
      </c>
      <c r="B268" s="7" t="str">
        <f>IFERROR(VLOOKUP(E268,'(新)EG'!$A$3:$K$74,2,0),"")</f>
        <v/>
      </c>
      <c r="C268" s="7" t="str">
        <f>IFERROR(VLOOKUP(E268,'(新)EG'!$A$3:$K$74,4,0),"")</f>
        <v/>
      </c>
      <c r="D268" s="15" t="str">
        <f>IFERROR(VLOOKUP(E268,'(新)EG'!$A$3:$K$74,5,0),"")</f>
        <v/>
      </c>
      <c r="E268" s="25">
        <f>'(新)EG'!A271</f>
        <v>0</v>
      </c>
      <c r="F268" s="16" t="str">
        <f>IFERROR(VLOOKUP(E268,'(新)EG'!$A$3:$K$75,8,0),"")</f>
        <v/>
      </c>
      <c r="G268" s="7" t="str">
        <f>IFERROR(VLOOKUP(E268,'(旧)EG'!$A$3:$K$92,10,0),"")</f>
        <v/>
      </c>
      <c r="H268" s="12" t="s">
        <v>60</v>
      </c>
      <c r="I268" s="7" t="str">
        <f>IFERROR(VLOOKUP(E268,'(新)EG'!$A$3:$K$84,10,0),"")</f>
        <v/>
      </c>
    </row>
    <row r="269" spans="1:9" s="19" customFormat="1" ht="13.8" thickBot="1" x14ac:dyDescent="0.2">
      <c r="A269" s="11">
        <v>288</v>
      </c>
      <c r="B269" s="7" t="str">
        <f>IFERROR(VLOOKUP(E269,'(新)EG'!$A$3:$K$74,2,0),"")</f>
        <v/>
      </c>
      <c r="C269" s="7" t="str">
        <f>IFERROR(VLOOKUP(E269,'(新)EG'!$A$3:$K$74,4,0),"")</f>
        <v/>
      </c>
      <c r="D269" s="15" t="str">
        <f>IFERROR(VLOOKUP(E269,'(新)EG'!$A$3:$K$74,5,0),"")</f>
        <v/>
      </c>
      <c r="E269" s="25">
        <f>'(新)EG'!A272</f>
        <v>0</v>
      </c>
      <c r="F269" s="16" t="str">
        <f>IFERROR(VLOOKUP(E269,'(新)EG'!$A$3:$K$75,8,0),"")</f>
        <v/>
      </c>
      <c r="G269" s="7" t="str">
        <f>IFERROR(VLOOKUP(E269,'(旧)EG'!$A$3:$K$92,10,0),"")</f>
        <v/>
      </c>
      <c r="H269" s="12" t="s">
        <v>60</v>
      </c>
      <c r="I269" s="7" t="str">
        <f>IFERROR(VLOOKUP(E269,'(新)EG'!$A$3:$K$84,10,0),"")</f>
        <v/>
      </c>
    </row>
    <row r="270" spans="1:9" s="19" customFormat="1" ht="13.8" thickBot="1" x14ac:dyDescent="0.2">
      <c r="A270" s="11">
        <v>289</v>
      </c>
      <c r="B270" s="7" t="str">
        <f>IFERROR(VLOOKUP(E270,'(新)EG'!$A$3:$K$74,2,0),"")</f>
        <v/>
      </c>
      <c r="C270" s="7" t="str">
        <f>IFERROR(VLOOKUP(E270,'(新)EG'!$A$3:$K$74,4,0),"")</f>
        <v/>
      </c>
      <c r="D270" s="15" t="str">
        <f>IFERROR(VLOOKUP(E270,'(新)EG'!$A$3:$K$74,5,0),"")</f>
        <v/>
      </c>
      <c r="E270" s="25">
        <f>'(新)EG'!A273</f>
        <v>0</v>
      </c>
      <c r="F270" s="16" t="str">
        <f>IFERROR(VLOOKUP(E270,'(新)EG'!$A$3:$K$75,8,0),"")</f>
        <v/>
      </c>
      <c r="G270" s="7" t="str">
        <f>IFERROR(VLOOKUP(E270,'(旧)EG'!$A$3:$K$92,10,0),"")</f>
        <v/>
      </c>
      <c r="H270" s="12" t="s">
        <v>60</v>
      </c>
      <c r="I270" s="7" t="str">
        <f>IFERROR(VLOOKUP(E270,'(新)EG'!$A$3:$K$84,10,0),"")</f>
        <v/>
      </c>
    </row>
    <row r="271" spans="1:9" s="19" customFormat="1" ht="13.8" thickBot="1" x14ac:dyDescent="0.2">
      <c r="A271" s="11">
        <v>290</v>
      </c>
      <c r="B271" s="7" t="str">
        <f>IFERROR(VLOOKUP(E271,'(新)EG'!$A$3:$K$74,2,0),"")</f>
        <v/>
      </c>
      <c r="C271" s="7" t="str">
        <f>IFERROR(VLOOKUP(E271,'(新)EG'!$A$3:$K$74,4,0),"")</f>
        <v/>
      </c>
      <c r="D271" s="15" t="str">
        <f>IFERROR(VLOOKUP(E271,'(新)EG'!$A$3:$K$74,5,0),"")</f>
        <v/>
      </c>
      <c r="E271" s="25">
        <f>'(新)EG'!A274</f>
        <v>0</v>
      </c>
      <c r="F271" s="16" t="str">
        <f>IFERROR(VLOOKUP(E271,'(新)EG'!$A$3:$K$75,8,0),"")</f>
        <v/>
      </c>
      <c r="G271" s="7" t="str">
        <f>IFERROR(VLOOKUP(E271,'(旧)EG'!$A$3:$K$92,10,0),"")</f>
        <v/>
      </c>
      <c r="H271" s="12" t="s">
        <v>60</v>
      </c>
      <c r="I271" s="7" t="str">
        <f>IFERROR(VLOOKUP(E271,'(新)EG'!$A$3:$K$84,10,0),"")</f>
        <v/>
      </c>
    </row>
    <row r="272" spans="1:9" s="19" customFormat="1" ht="13.8" thickBot="1" x14ac:dyDescent="0.2">
      <c r="A272" s="11">
        <v>291</v>
      </c>
      <c r="B272" s="7" t="str">
        <f>IFERROR(VLOOKUP(E272,'(新)EG'!$A$3:$K$74,2,0),"")</f>
        <v/>
      </c>
      <c r="C272" s="7" t="str">
        <f>IFERROR(VLOOKUP(E272,'(新)EG'!$A$3:$K$74,4,0),"")</f>
        <v/>
      </c>
      <c r="D272" s="15" t="str">
        <f>IFERROR(VLOOKUP(E272,'(新)EG'!$A$3:$K$74,5,0),"")</f>
        <v/>
      </c>
      <c r="E272" s="25">
        <f>'(新)EG'!A275</f>
        <v>0</v>
      </c>
      <c r="F272" s="16" t="str">
        <f>IFERROR(VLOOKUP(E272,'(新)EG'!$A$3:$K$75,8,0),"")</f>
        <v/>
      </c>
      <c r="G272" s="7" t="str">
        <f>IFERROR(VLOOKUP(E272,'(旧)EG'!$A$3:$K$92,10,0),"")</f>
        <v/>
      </c>
      <c r="H272" s="12" t="s">
        <v>60</v>
      </c>
      <c r="I272" s="7" t="str">
        <f>IFERROR(VLOOKUP(E272,'(新)EG'!$A$3:$K$84,10,0),"")</f>
        <v/>
      </c>
    </row>
    <row r="273" spans="1:9" s="19" customFormat="1" ht="13.8" thickBot="1" x14ac:dyDescent="0.2">
      <c r="A273" s="11">
        <v>292</v>
      </c>
      <c r="B273" s="7" t="str">
        <f>IFERROR(VLOOKUP(E273,'(新)EG'!$A$3:$K$74,2,0),"")</f>
        <v/>
      </c>
      <c r="C273" s="7" t="str">
        <f>IFERROR(VLOOKUP(E273,'(新)EG'!$A$3:$K$74,4,0),"")</f>
        <v/>
      </c>
      <c r="D273" s="15" t="str">
        <f>IFERROR(VLOOKUP(E273,'(新)EG'!$A$3:$K$74,5,0),"")</f>
        <v/>
      </c>
      <c r="E273" s="25">
        <f>'(新)EG'!A276</f>
        <v>0</v>
      </c>
      <c r="F273" s="16" t="str">
        <f>IFERROR(VLOOKUP(E273,'(新)EG'!$A$3:$K$75,8,0),"")</f>
        <v/>
      </c>
      <c r="G273" s="7" t="str">
        <f>IFERROR(VLOOKUP(E273,'(旧)EG'!$A$3:$K$92,10,0),"")</f>
        <v/>
      </c>
      <c r="H273" s="12" t="s">
        <v>60</v>
      </c>
      <c r="I273" s="7" t="str">
        <f>IFERROR(VLOOKUP(E273,'(新)EG'!$A$3:$K$84,10,0),"")</f>
        <v/>
      </c>
    </row>
    <row r="274" spans="1:9" s="19" customFormat="1" ht="13.8" thickBot="1" x14ac:dyDescent="0.2">
      <c r="A274" s="11">
        <v>293</v>
      </c>
      <c r="B274" s="7" t="str">
        <f>IFERROR(VLOOKUP(E274,'(新)EG'!$A$3:$K$74,2,0),"")</f>
        <v/>
      </c>
      <c r="C274" s="7" t="str">
        <f>IFERROR(VLOOKUP(E274,'(新)EG'!$A$3:$K$74,4,0),"")</f>
        <v/>
      </c>
      <c r="D274" s="15" t="str">
        <f>IFERROR(VLOOKUP(E274,'(新)EG'!$A$3:$K$74,5,0),"")</f>
        <v/>
      </c>
      <c r="E274" s="25">
        <f>'(新)EG'!A277</f>
        <v>0</v>
      </c>
      <c r="F274" s="16" t="str">
        <f>IFERROR(VLOOKUP(E274,'(新)EG'!$A$3:$K$75,8,0),"")</f>
        <v/>
      </c>
      <c r="G274" s="7" t="str">
        <f>IFERROR(VLOOKUP(E274,'(旧)EG'!$A$3:$K$92,10,0),"")</f>
        <v/>
      </c>
      <c r="H274" s="12" t="s">
        <v>60</v>
      </c>
      <c r="I274" s="7" t="str">
        <f>IFERROR(VLOOKUP(E274,'(新)EG'!$A$3:$K$84,10,0),"")</f>
        <v/>
      </c>
    </row>
    <row r="275" spans="1:9" s="19" customFormat="1" ht="13.8" thickBot="1" x14ac:dyDescent="0.2">
      <c r="A275" s="11">
        <v>294</v>
      </c>
      <c r="B275" s="7" t="str">
        <f>IFERROR(VLOOKUP(E275,'(新)EG'!$A$3:$K$74,2,0),"")</f>
        <v/>
      </c>
      <c r="C275" s="7" t="str">
        <f>IFERROR(VLOOKUP(E275,'(新)EG'!$A$3:$K$74,4,0),"")</f>
        <v/>
      </c>
      <c r="D275" s="15" t="str">
        <f>IFERROR(VLOOKUP(E275,'(新)EG'!$A$3:$K$74,5,0),"")</f>
        <v/>
      </c>
      <c r="E275" s="25">
        <f>'(新)EG'!A278</f>
        <v>0</v>
      </c>
      <c r="F275" s="16" t="str">
        <f>IFERROR(VLOOKUP(E275,'(新)EG'!$A$3:$K$75,8,0),"")</f>
        <v/>
      </c>
      <c r="G275" s="7" t="str">
        <f>IFERROR(VLOOKUP(E275,'(旧)EG'!$A$3:$K$92,10,0),"")</f>
        <v/>
      </c>
      <c r="H275" s="12" t="s">
        <v>60</v>
      </c>
      <c r="I275" s="7" t="str">
        <f>IFERROR(VLOOKUP(E275,'(新)EG'!$A$3:$K$75,10,0),"")</f>
        <v/>
      </c>
    </row>
    <row r="276" spans="1:9" s="19" customFormat="1" ht="13.8" thickBot="1" x14ac:dyDescent="0.2">
      <c r="A276" s="11">
        <v>295</v>
      </c>
      <c r="B276" s="7" t="str">
        <f>IFERROR(VLOOKUP(E276,'(新)EG'!$A$3:$K$74,2,0),"")</f>
        <v/>
      </c>
      <c r="C276" s="7" t="str">
        <f>IFERROR(VLOOKUP(E276,'(新)EG'!$A$3:$K$74,4,0),"")</f>
        <v/>
      </c>
      <c r="D276" s="15" t="str">
        <f>IFERROR(VLOOKUP(E276,'(新)EG'!$A$3:$K$74,5,0),"")</f>
        <v/>
      </c>
      <c r="E276" s="25">
        <f>'(新)EG'!A279</f>
        <v>0</v>
      </c>
      <c r="F276" s="16" t="str">
        <f>IFERROR(VLOOKUP(E276,'(新)EG'!$A$3:$K$75,8,0),"")</f>
        <v/>
      </c>
      <c r="G276" s="7" t="str">
        <f>IFERROR(VLOOKUP(E276,'(旧)EG'!$A$3:$K$92,10,0),"")</f>
        <v/>
      </c>
      <c r="H276" s="12" t="s">
        <v>60</v>
      </c>
      <c r="I276" s="7" t="str">
        <f>IFERROR(VLOOKUP(E276,'(新)EG'!$A$3:$K$75,10,0),"")</f>
        <v/>
      </c>
    </row>
    <row r="277" spans="1:9" s="19" customFormat="1" ht="13.8" thickBot="1" x14ac:dyDescent="0.2">
      <c r="A277" s="11">
        <v>296</v>
      </c>
      <c r="B277" s="7" t="str">
        <f>IFERROR(VLOOKUP(E277,'(新)EG'!$A$3:$K$74,2,0),"")</f>
        <v/>
      </c>
      <c r="C277" s="7" t="str">
        <f>IFERROR(VLOOKUP(E277,'(新)EG'!$A$3:$K$74,4,0),"")</f>
        <v/>
      </c>
      <c r="D277" s="15" t="str">
        <f>IFERROR(VLOOKUP(E277,'(新)EG'!$A$3:$K$74,5,0),"")</f>
        <v/>
      </c>
      <c r="E277" s="25">
        <f>'(新)EG'!A280</f>
        <v>0</v>
      </c>
      <c r="F277" s="16" t="str">
        <f>IFERROR(VLOOKUP(E277,'(新)EG'!$A$3:$K$75,8,0),"")</f>
        <v/>
      </c>
      <c r="G277" s="7" t="str">
        <f>IFERROR(VLOOKUP(E277,'(旧)EG'!$A$3:$K$92,10,0),"")</f>
        <v/>
      </c>
      <c r="H277" s="12" t="s">
        <v>60</v>
      </c>
      <c r="I277" s="7" t="str">
        <f>IFERROR(VLOOKUP(E277,'(新)EG'!$A$3:$K$75,10,0),"")</f>
        <v/>
      </c>
    </row>
    <row r="278" spans="1:9" s="19" customFormat="1" ht="13.8" thickBot="1" x14ac:dyDescent="0.2">
      <c r="A278" s="11">
        <v>297</v>
      </c>
      <c r="B278" s="7" t="str">
        <f>IFERROR(VLOOKUP(E278,'(新)EG'!$A$3:$K$74,2,0),"")</f>
        <v/>
      </c>
      <c r="C278" s="7" t="str">
        <f>IFERROR(VLOOKUP(E278,'(新)EG'!$A$3:$K$74,4,0),"")</f>
        <v/>
      </c>
      <c r="D278" s="15" t="str">
        <f>IFERROR(VLOOKUP(E278,'(新)EG'!$A$3:$K$74,5,0),"")</f>
        <v/>
      </c>
      <c r="E278" s="25">
        <f>'(新)EG'!A281</f>
        <v>0</v>
      </c>
      <c r="F278" s="16" t="str">
        <f>IFERROR(VLOOKUP(E278,'(新)EG'!$A$3:$K$75,8,0),"")</f>
        <v/>
      </c>
      <c r="G278" s="7" t="str">
        <f>IFERROR(VLOOKUP(E278,'(旧)EG'!$A$3:$K$92,10,0),"")</f>
        <v/>
      </c>
      <c r="H278" s="12" t="s">
        <v>60</v>
      </c>
      <c r="I278" s="7" t="str">
        <f>IFERROR(VLOOKUP(E278,'(新)EG'!$A$3:$K$75,10,0),"")</f>
        <v/>
      </c>
    </row>
    <row r="279" spans="1:9" s="19" customFormat="1" ht="13.8" thickBot="1" x14ac:dyDescent="0.2">
      <c r="A279" s="11">
        <v>298</v>
      </c>
      <c r="B279" s="7" t="str">
        <f>IFERROR(VLOOKUP(E279,'(新)EG'!$A$3:$K$74,2,0),"")</f>
        <v/>
      </c>
      <c r="C279" s="7" t="str">
        <f>IFERROR(VLOOKUP(E279,'(新)EG'!$A$3:$K$74,4,0),"")</f>
        <v/>
      </c>
      <c r="D279" s="15" t="str">
        <f>IFERROR(VLOOKUP(E279,'(新)EG'!$A$3:$K$74,5,0),"")</f>
        <v/>
      </c>
      <c r="E279" s="25">
        <f>'(新)EG'!A282</f>
        <v>0</v>
      </c>
      <c r="F279" s="16" t="str">
        <f>IFERROR(VLOOKUP(E279,'(新)EG'!$A$3:$K$75,8,0),"")</f>
        <v/>
      </c>
      <c r="G279" s="7" t="str">
        <f>IFERROR(VLOOKUP(E279,'(旧)EG'!$A$3:$K$92,10,0),"")</f>
        <v/>
      </c>
      <c r="H279" s="12" t="s">
        <v>60</v>
      </c>
      <c r="I279" s="7" t="str">
        <f>IFERROR(VLOOKUP(E279,'(新)EG'!$A$3:$K$75,10,0),"")</f>
        <v/>
      </c>
    </row>
    <row r="280" spans="1:9" s="19" customFormat="1" ht="13.8" thickBot="1" x14ac:dyDescent="0.2">
      <c r="A280" s="11">
        <v>299</v>
      </c>
      <c r="B280" s="7" t="str">
        <f>IFERROR(VLOOKUP(E280,'(新)EG'!$A$3:$K$74,2,0),"")</f>
        <v/>
      </c>
      <c r="C280" s="7" t="str">
        <f>IFERROR(VLOOKUP(E280,'(新)EG'!$A$3:$K$74,4,0),"")</f>
        <v/>
      </c>
      <c r="D280" s="15" t="str">
        <f>IFERROR(VLOOKUP(E280,'(新)EG'!$A$3:$K$74,5,0),"")</f>
        <v/>
      </c>
      <c r="E280" s="25">
        <f>'(新)EG'!A283</f>
        <v>0</v>
      </c>
      <c r="F280" s="16" t="str">
        <f>IFERROR(VLOOKUP(E280,'(新)EG'!$A$3:$K$75,8,0),"")</f>
        <v/>
      </c>
      <c r="G280" s="7" t="str">
        <f>IFERROR(VLOOKUP(E280,'(旧)EG'!$A$3:$K$92,10,0),"")</f>
        <v/>
      </c>
      <c r="H280" s="12" t="s">
        <v>60</v>
      </c>
      <c r="I280" s="7" t="str">
        <f>IFERROR(VLOOKUP(E280,'(新)EG'!$A$3:$K$75,10,0),"")</f>
        <v/>
      </c>
    </row>
    <row r="281" spans="1:9" s="19" customFormat="1" ht="13.8" thickBot="1" x14ac:dyDescent="0.2">
      <c r="A281" s="11">
        <v>300</v>
      </c>
      <c r="B281" s="7" t="str">
        <f>IFERROR(VLOOKUP(E281,'(新)EG'!$A$3:$K$74,2,0),"")</f>
        <v/>
      </c>
      <c r="C281" s="7" t="str">
        <f>IFERROR(VLOOKUP(E281,'(新)EG'!$A$3:$K$74,4,0),"")</f>
        <v/>
      </c>
      <c r="D281" s="15" t="str">
        <f>IFERROR(VLOOKUP(E281,'(新)EG'!$A$3:$K$74,5,0),"")</f>
        <v/>
      </c>
      <c r="E281" s="25">
        <f>'(新)EG'!A284</f>
        <v>0</v>
      </c>
      <c r="F281" s="16" t="str">
        <f>IFERROR(VLOOKUP(E281,'(新)EG'!$A$3:$K$75,8,0),"")</f>
        <v/>
      </c>
      <c r="G281" s="7" t="str">
        <f>IFERROR(VLOOKUP(E281,'(旧)EG'!$A$3:$K$92,10,0),"")</f>
        <v/>
      </c>
      <c r="H281" s="12" t="s">
        <v>60</v>
      </c>
      <c r="I281" s="7" t="str">
        <f>IFERROR(VLOOKUP(E281,'(新)EG'!$A$3:$K$75,10,0),"")</f>
        <v/>
      </c>
    </row>
    <row r="282" spans="1:9" s="19" customFormat="1" ht="13.8" thickBot="1" x14ac:dyDescent="0.2">
      <c r="A282" s="11">
        <v>301</v>
      </c>
      <c r="B282" s="7" t="str">
        <f>IFERROR(VLOOKUP(E282,'(新)EG'!$A$3:$K$74,2,0),"")</f>
        <v/>
      </c>
      <c r="C282" s="7" t="str">
        <f>IFERROR(VLOOKUP(E282,'(新)EG'!$A$3:$K$74,4,0),"")</f>
        <v/>
      </c>
      <c r="D282" s="15" t="str">
        <f>IFERROR(VLOOKUP(E282,'(新)EG'!$A$3:$K$74,5,0),"")</f>
        <v/>
      </c>
      <c r="E282" s="25">
        <f>'(新)EG'!A285</f>
        <v>0</v>
      </c>
      <c r="F282" s="16" t="str">
        <f>IFERROR(VLOOKUP(E282,'(新)EG'!$A$3:$K$75,8,0),"")</f>
        <v/>
      </c>
      <c r="G282" s="7" t="str">
        <f>IFERROR(VLOOKUP(E282,'(旧)EG'!$A$3:$K$92,10,0),"")</f>
        <v/>
      </c>
      <c r="H282" s="12" t="s">
        <v>60</v>
      </c>
      <c r="I282" s="7" t="str">
        <f>IFERROR(VLOOKUP(E282,'(新)EG'!$A$3:$K$75,10,0),"")</f>
        <v/>
      </c>
    </row>
    <row r="283" spans="1:9" s="19" customFormat="1" ht="13.8" thickBot="1" x14ac:dyDescent="0.2">
      <c r="A283" s="11">
        <v>302</v>
      </c>
      <c r="B283" s="7" t="str">
        <f>IFERROR(VLOOKUP(E283,'(新)EG'!$A$3:$K$74,2,0),"")</f>
        <v/>
      </c>
      <c r="C283" s="7" t="str">
        <f>IFERROR(VLOOKUP(E283,'(新)EG'!$A$3:$K$74,4,0),"")</f>
        <v/>
      </c>
      <c r="D283" s="15" t="str">
        <f>IFERROR(VLOOKUP(E283,'(新)EG'!$A$3:$K$74,5,0),"")</f>
        <v/>
      </c>
      <c r="E283" s="25">
        <f>'(新)EG'!A286</f>
        <v>0</v>
      </c>
      <c r="F283" s="16" t="str">
        <f>IFERROR(VLOOKUP(E283,'(新)EG'!$A$3:$K$75,8,0),"")</f>
        <v/>
      </c>
      <c r="G283" s="7" t="str">
        <f>IFERROR(VLOOKUP(E283,'(旧)EG'!$A$3:$K$92,10,0),"")</f>
        <v/>
      </c>
      <c r="H283" s="12" t="s">
        <v>60</v>
      </c>
      <c r="I283" s="7" t="str">
        <f>IFERROR(VLOOKUP(E283,'(新)EG'!$A$3:$K$75,10,0),"")</f>
        <v/>
      </c>
    </row>
    <row r="284" spans="1:9" s="19" customFormat="1" ht="13.8" thickBot="1" x14ac:dyDescent="0.2">
      <c r="A284" s="11">
        <v>303</v>
      </c>
      <c r="B284" s="7" t="str">
        <f>IFERROR(VLOOKUP(E284,'(新)EG'!$A$3:$K$74,2,0),"")</f>
        <v/>
      </c>
      <c r="C284" s="7" t="str">
        <f>IFERROR(VLOOKUP(E284,'(新)EG'!$A$3:$K$74,4,0),"")</f>
        <v/>
      </c>
      <c r="D284" s="15" t="str">
        <f>IFERROR(VLOOKUP(E284,'(新)EG'!$A$3:$K$74,5,0),"")</f>
        <v/>
      </c>
      <c r="E284" s="25">
        <f>'(新)EG'!A287</f>
        <v>0</v>
      </c>
      <c r="F284" s="16" t="str">
        <f>IFERROR(VLOOKUP(E284,'(新)EG'!$A$3:$K$75,8,0),"")</f>
        <v/>
      </c>
      <c r="G284" s="7" t="str">
        <f>IFERROR(VLOOKUP(E284,'(旧)EG'!$A$3:$K$92,10,0),"")</f>
        <v/>
      </c>
      <c r="H284" s="12" t="s">
        <v>60</v>
      </c>
      <c r="I284" s="7" t="str">
        <f>IFERROR(VLOOKUP(E284,'(新)EG'!$A$3:$K$75,10,0),"")</f>
        <v/>
      </c>
    </row>
    <row r="285" spans="1:9" s="19" customFormat="1" ht="13.8" thickBot="1" x14ac:dyDescent="0.2">
      <c r="A285" s="11">
        <v>304</v>
      </c>
      <c r="B285" s="7" t="str">
        <f>IFERROR(VLOOKUP(E285,'(新)EG'!$A$3:$K$74,2,0),"")</f>
        <v/>
      </c>
      <c r="C285" s="7" t="str">
        <f>IFERROR(VLOOKUP(E285,'(新)EG'!$A$3:$K$74,4,0),"")</f>
        <v/>
      </c>
      <c r="D285" s="15" t="str">
        <f>IFERROR(VLOOKUP(E285,'(新)EG'!$A$3:$K$74,5,0),"")</f>
        <v/>
      </c>
      <c r="E285" s="25">
        <f>'(新)EG'!A288</f>
        <v>0</v>
      </c>
      <c r="F285" s="16" t="str">
        <f>IFERROR(VLOOKUP(E285,'(新)EG'!$A$3:$K$75,8,0),"")</f>
        <v/>
      </c>
      <c r="G285" s="7" t="str">
        <f>IFERROR(VLOOKUP(E285,'(旧)EG'!$A$3:$K$92,10,0),"")</f>
        <v/>
      </c>
      <c r="H285" s="12" t="s">
        <v>60</v>
      </c>
      <c r="I285" s="7" t="str">
        <f>IFERROR(VLOOKUP(E285,'(新)EG'!$A$3:$K$75,10,0),"")</f>
        <v/>
      </c>
    </row>
    <row r="286" spans="1:9" s="19" customFormat="1" ht="13.8" thickBot="1" x14ac:dyDescent="0.2">
      <c r="A286" s="11">
        <v>305</v>
      </c>
      <c r="B286" s="7" t="str">
        <f>IFERROR(VLOOKUP(E286,'(新)EG'!$A$3:$K$74,2,0),"")</f>
        <v/>
      </c>
      <c r="C286" s="7" t="str">
        <f>IFERROR(VLOOKUP(E286,'(新)EG'!$A$3:$K$74,4,0),"")</f>
        <v/>
      </c>
      <c r="D286" s="15" t="str">
        <f>IFERROR(VLOOKUP(E286,'(新)EG'!$A$3:$K$74,5,0),"")</f>
        <v/>
      </c>
      <c r="E286" s="25">
        <f>'(新)EG'!A289</f>
        <v>0</v>
      </c>
      <c r="F286" s="16" t="str">
        <f>IFERROR(VLOOKUP(E286,'(新)EG'!$A$3:$K$75,8,0),"")</f>
        <v/>
      </c>
      <c r="G286" s="7" t="str">
        <f>IFERROR(VLOOKUP(E286,'(旧)EG'!$A$3:$K$92,10,0),"")</f>
        <v/>
      </c>
      <c r="H286" s="12" t="s">
        <v>60</v>
      </c>
      <c r="I286" s="7" t="str">
        <f>IFERROR(VLOOKUP(E286,'(新)EG'!$A$3:$K$75,10,0),"")</f>
        <v/>
      </c>
    </row>
    <row r="287" spans="1:9" s="19" customFormat="1" ht="13.8" thickBot="1" x14ac:dyDescent="0.2">
      <c r="A287" s="11">
        <v>306</v>
      </c>
      <c r="B287" s="7" t="str">
        <f>IFERROR(VLOOKUP(E287,'(新)EG'!$A$3:$K$74,2,0),"")</f>
        <v/>
      </c>
      <c r="C287" s="7" t="str">
        <f>IFERROR(VLOOKUP(E287,'(新)EG'!$A$3:$K$74,4,0),"")</f>
        <v/>
      </c>
      <c r="D287" s="15" t="str">
        <f>IFERROR(VLOOKUP(E287,'(新)EG'!$A$3:$K$74,5,0),"")</f>
        <v/>
      </c>
      <c r="E287" s="25">
        <f>'(新)EG'!A290</f>
        <v>0</v>
      </c>
      <c r="F287" s="16" t="str">
        <f>IFERROR(VLOOKUP(E287,'(新)EG'!$A$3:$K$75,8,0),"")</f>
        <v/>
      </c>
      <c r="G287" s="7" t="str">
        <f>IFERROR(VLOOKUP(E287,'(旧)EG'!$A$3:$K$92,10,0),"")</f>
        <v/>
      </c>
      <c r="H287" s="12" t="s">
        <v>60</v>
      </c>
      <c r="I287" s="7" t="str">
        <f>IFERROR(VLOOKUP(E287,'(新)EG'!$A$3:$K$75,10,0),"")</f>
        <v/>
      </c>
    </row>
    <row r="288" spans="1:9" s="19" customFormat="1" ht="13.8" thickBot="1" x14ac:dyDescent="0.2">
      <c r="A288" s="11">
        <v>307</v>
      </c>
      <c r="B288" s="7" t="str">
        <f>IFERROR(VLOOKUP(E288,'(新)EG'!$A$3:$K$74,2,0),"")</f>
        <v/>
      </c>
      <c r="C288" s="7" t="str">
        <f>IFERROR(VLOOKUP(E288,'(新)EG'!$A$3:$K$74,4,0),"")</f>
        <v/>
      </c>
      <c r="D288" s="15" t="str">
        <f>IFERROR(VLOOKUP(E288,'(新)EG'!$A$3:$K$74,5,0),"")</f>
        <v/>
      </c>
      <c r="E288" s="25">
        <f>'(新)EG'!A291</f>
        <v>0</v>
      </c>
      <c r="F288" s="16" t="str">
        <f>IFERROR(VLOOKUP(E288,'(新)EG'!$A$3:$K$75,8,0),"")</f>
        <v/>
      </c>
      <c r="G288" s="7" t="str">
        <f>IFERROR(VLOOKUP(E288,'(旧)EG'!$A$3:$K$92,10,0),"")</f>
        <v/>
      </c>
      <c r="H288" s="12" t="s">
        <v>60</v>
      </c>
      <c r="I288" s="7" t="str">
        <f>IFERROR(VLOOKUP(E288,'(新)EG'!$A$3:$K$75,10,0),"")</f>
        <v/>
      </c>
    </row>
    <row r="289" spans="1:9" s="19" customFormat="1" ht="13.8" thickBot="1" x14ac:dyDescent="0.2">
      <c r="A289" s="11">
        <v>308</v>
      </c>
      <c r="B289" s="7" t="str">
        <f>IFERROR(VLOOKUP(E289,'(新)EG'!$A$3:$K$74,2,0),"")</f>
        <v/>
      </c>
      <c r="C289" s="7" t="str">
        <f>IFERROR(VLOOKUP(E289,'(新)EG'!$A$3:$K$74,4,0),"")</f>
        <v/>
      </c>
      <c r="D289" s="15" t="str">
        <f>IFERROR(VLOOKUP(E289,'(新)EG'!$A$3:$K$74,5,0),"")</f>
        <v/>
      </c>
      <c r="E289" s="25">
        <f>'(新)EG'!A292</f>
        <v>0</v>
      </c>
      <c r="F289" s="16" t="str">
        <f>IFERROR(VLOOKUP(E289,'(新)EG'!$A$3:$K$75,8,0),"")</f>
        <v/>
      </c>
      <c r="G289" s="7" t="str">
        <f>IFERROR(VLOOKUP(E289,'(旧)EG'!$A$3:$K$92,10,0),"")</f>
        <v/>
      </c>
      <c r="H289" s="12" t="s">
        <v>60</v>
      </c>
      <c r="I289" s="7" t="str">
        <f>IFERROR(VLOOKUP(E289,'(新)EG'!$A$3:$K$75,10,0),"")</f>
        <v/>
      </c>
    </row>
    <row r="290" spans="1:9" s="19" customFormat="1" ht="13.8" thickBot="1" x14ac:dyDescent="0.2">
      <c r="A290" s="11">
        <v>309</v>
      </c>
      <c r="B290" s="7" t="str">
        <f>IFERROR(VLOOKUP(E290,'(新)EG'!$A$3:$K$74,2,0),"")</f>
        <v/>
      </c>
      <c r="C290" s="7" t="str">
        <f>IFERROR(VLOOKUP(E290,'(新)EG'!$A$3:$K$74,4,0),"")</f>
        <v/>
      </c>
      <c r="D290" s="15" t="str">
        <f>IFERROR(VLOOKUP(E290,'(新)EG'!$A$3:$K$74,5,0),"")</f>
        <v/>
      </c>
      <c r="E290" s="25">
        <f>'(新)EG'!A293</f>
        <v>0</v>
      </c>
      <c r="F290" s="16" t="str">
        <f>IFERROR(VLOOKUP(E290,'(新)EG'!$A$3:$K$75,8,0),"")</f>
        <v/>
      </c>
      <c r="G290" s="7" t="str">
        <f>IFERROR(VLOOKUP(E290,'(旧)EG'!$A$3:$K$92,10,0),"")</f>
        <v/>
      </c>
      <c r="H290" s="12" t="s">
        <v>60</v>
      </c>
      <c r="I290" s="7" t="str">
        <f>IFERROR(VLOOKUP(E290,'(新)EG'!$A$3:$K$75,10,0),"")</f>
        <v/>
      </c>
    </row>
    <row r="291" spans="1:9" s="19" customFormat="1" ht="13.8" thickBot="1" x14ac:dyDescent="0.2">
      <c r="A291" s="11">
        <v>310</v>
      </c>
      <c r="B291" s="7" t="str">
        <f>IFERROR(VLOOKUP(E291,'(新)EG'!$A$3:$K$74,2,0),"")</f>
        <v/>
      </c>
      <c r="C291" s="7" t="str">
        <f>IFERROR(VLOOKUP(E291,'(新)EG'!$A$3:$K$74,4,0),"")</f>
        <v/>
      </c>
      <c r="D291" s="15" t="str">
        <f>IFERROR(VLOOKUP(E291,'(新)EG'!$A$3:$K$74,5,0),"")</f>
        <v/>
      </c>
      <c r="E291" s="25">
        <f>'(新)EG'!A294</f>
        <v>0</v>
      </c>
      <c r="F291" s="16" t="str">
        <f>IFERROR(VLOOKUP(E291,'(新)EG'!$A$3:$K$75,8,0),"")</f>
        <v/>
      </c>
      <c r="G291" s="7" t="str">
        <f>IFERROR(VLOOKUP(E291,'(旧)EG'!$A$3:$K$92,10,0),"")</f>
        <v/>
      </c>
      <c r="H291" s="12" t="s">
        <v>60</v>
      </c>
      <c r="I291" s="7" t="str">
        <f>IFERROR(VLOOKUP(E291,'(新)EG'!$A$3:$K$75,10,0),"")</f>
        <v/>
      </c>
    </row>
    <row r="292" spans="1:9" s="19" customFormat="1" ht="13.8" thickBot="1" x14ac:dyDescent="0.2">
      <c r="A292" s="11">
        <v>311</v>
      </c>
      <c r="B292" s="7" t="str">
        <f>IFERROR(VLOOKUP(E292,'(新)EG'!$A$3:$K$74,2,0),"")</f>
        <v/>
      </c>
      <c r="C292" s="7" t="str">
        <f>IFERROR(VLOOKUP(E292,'(新)EG'!$A$3:$K$74,4,0),"")</f>
        <v/>
      </c>
      <c r="D292" s="15" t="str">
        <f>IFERROR(VLOOKUP(E292,'(新)EG'!$A$3:$K$74,5,0),"")</f>
        <v/>
      </c>
      <c r="E292" s="25">
        <f>'(新)EG'!A295</f>
        <v>0</v>
      </c>
      <c r="F292" s="16" t="str">
        <f>IFERROR(VLOOKUP(E292,'(新)EG'!$A$3:$K$75,8,0),"")</f>
        <v/>
      </c>
      <c r="G292" s="7" t="str">
        <f>IFERROR(VLOOKUP(E292,'(旧)EG'!$A$3:$K$92,10,0),"")</f>
        <v/>
      </c>
      <c r="H292" s="12" t="s">
        <v>60</v>
      </c>
      <c r="I292" s="7" t="str">
        <f>IFERROR(VLOOKUP(E292,'(新)EG'!$A$3:$K$75,10,0),"")</f>
        <v/>
      </c>
    </row>
    <row r="293" spans="1:9" s="19" customFormat="1" ht="13.8" thickBot="1" x14ac:dyDescent="0.2">
      <c r="A293" s="11">
        <v>312</v>
      </c>
      <c r="B293" s="7" t="str">
        <f>IFERROR(VLOOKUP(E293,'(新)EG'!$A$3:$K$74,2,0),"")</f>
        <v/>
      </c>
      <c r="C293" s="7" t="str">
        <f>IFERROR(VLOOKUP(E293,'(新)EG'!$A$3:$K$74,4,0),"")</f>
        <v/>
      </c>
      <c r="D293" s="15" t="str">
        <f>IFERROR(VLOOKUP(E293,'(新)EG'!$A$3:$K$74,5,0),"")</f>
        <v/>
      </c>
      <c r="E293" s="25">
        <f>'(新)EG'!A296</f>
        <v>0</v>
      </c>
      <c r="F293" s="16" t="str">
        <f>IFERROR(VLOOKUP(E293,'(新)EG'!$A$3:$K$75,8,0),"")</f>
        <v/>
      </c>
      <c r="G293" s="7" t="str">
        <f>IFERROR(VLOOKUP(E293,'(旧)EG'!$A$3:$K$92,10,0),"")</f>
        <v/>
      </c>
      <c r="H293" s="12" t="s">
        <v>60</v>
      </c>
      <c r="I293" s="7" t="str">
        <f>IFERROR(VLOOKUP(E293,'(新)EG'!$A$3:$K$75,10,0),"")</f>
        <v/>
      </c>
    </row>
    <row r="294" spans="1:9" s="19" customFormat="1" ht="13.8" thickBot="1" x14ac:dyDescent="0.2">
      <c r="A294" s="11">
        <v>313</v>
      </c>
      <c r="B294" s="7" t="str">
        <f>IFERROR(VLOOKUP(E294,'(新)EG'!$A$3:$K$74,2,0),"")</f>
        <v/>
      </c>
      <c r="C294" s="7" t="str">
        <f>IFERROR(VLOOKUP(E294,'(新)EG'!$A$3:$K$74,4,0),"")</f>
        <v/>
      </c>
      <c r="D294" s="15" t="str">
        <f>IFERROR(VLOOKUP(E294,'(新)EG'!$A$3:$K$74,5,0),"")</f>
        <v/>
      </c>
      <c r="E294" s="25">
        <f>'(新)EG'!A297</f>
        <v>0</v>
      </c>
      <c r="F294" s="16" t="str">
        <f>IFERROR(VLOOKUP(E294,'(新)EG'!$A$3:$K$75,8,0),"")</f>
        <v/>
      </c>
      <c r="G294" s="7" t="str">
        <f>IFERROR(VLOOKUP(E294,'(旧)EG'!$A$3:$K$92,10,0),"")</f>
        <v/>
      </c>
      <c r="H294" s="12" t="s">
        <v>60</v>
      </c>
      <c r="I294" s="7" t="str">
        <f>IFERROR(VLOOKUP(E294,'(新)EG'!$A$3:$K$75,10,0),"")</f>
        <v/>
      </c>
    </row>
    <row r="295" spans="1:9" s="19" customFormat="1" ht="13.8" thickBot="1" x14ac:dyDescent="0.2">
      <c r="A295" s="11">
        <v>314</v>
      </c>
      <c r="B295" s="7" t="str">
        <f>IFERROR(VLOOKUP(E295,'(新)EG'!$A$3:$K$74,2,0),"")</f>
        <v/>
      </c>
      <c r="C295" s="7" t="str">
        <f>IFERROR(VLOOKUP(E295,'(新)EG'!$A$3:$K$74,4,0),"")</f>
        <v/>
      </c>
      <c r="D295" s="15" t="str">
        <f>IFERROR(VLOOKUP(E295,'(新)EG'!$A$3:$K$74,5,0),"")</f>
        <v/>
      </c>
      <c r="E295" s="25">
        <f>'(新)EG'!A298</f>
        <v>0</v>
      </c>
      <c r="F295" s="16" t="str">
        <f>IFERROR(VLOOKUP(E295,'(新)EG'!$A$3:$K$75,8,0),"")</f>
        <v/>
      </c>
      <c r="G295" s="7" t="str">
        <f>IFERROR(VLOOKUP(E295,'(旧)EG'!$A$3:$K$92,10,0),"")</f>
        <v/>
      </c>
      <c r="H295" s="12" t="s">
        <v>60</v>
      </c>
      <c r="I295" s="7" t="str">
        <f>IFERROR(VLOOKUP(E295,'(新)EG'!$A$3:$K$75,10,0),"")</f>
        <v/>
      </c>
    </row>
    <row r="296" spans="1:9" s="19" customFormat="1" ht="13.8" thickBot="1" x14ac:dyDescent="0.2">
      <c r="A296" s="11">
        <v>315</v>
      </c>
      <c r="B296" s="7" t="str">
        <f>IFERROR(VLOOKUP(E296,'(新)EG'!$A$3:$K$74,2,0),"")</f>
        <v/>
      </c>
      <c r="C296" s="7" t="str">
        <f>IFERROR(VLOOKUP(E296,'(新)EG'!$A$3:$K$74,4,0),"")</f>
        <v/>
      </c>
      <c r="D296" s="15" t="str">
        <f>IFERROR(VLOOKUP(E296,'(新)EG'!$A$3:$K$74,5,0),"")</f>
        <v/>
      </c>
      <c r="E296" s="25">
        <f>'(新)EG'!A299</f>
        <v>0</v>
      </c>
      <c r="F296" s="16" t="str">
        <f>IFERROR(VLOOKUP(E296,'(新)EG'!$A$3:$K$75,8,0),"")</f>
        <v/>
      </c>
      <c r="G296" s="7" t="str">
        <f>IFERROR(VLOOKUP(E296,'(旧)EG'!$A$3:$K$92,10,0),"")</f>
        <v/>
      </c>
      <c r="H296" s="12" t="s">
        <v>60</v>
      </c>
      <c r="I296" s="7" t="str">
        <f>IFERROR(VLOOKUP(E296,'(新)EG'!$A$3:$K$75,10,0),"")</f>
        <v/>
      </c>
    </row>
    <row r="297" spans="1:9" s="19" customFormat="1" ht="13.8" thickBot="1" x14ac:dyDescent="0.2">
      <c r="A297" s="11">
        <v>316</v>
      </c>
      <c r="B297" s="7" t="str">
        <f>IFERROR(VLOOKUP(E297,'(新)EG'!$A$3:$K$74,2,0),"")</f>
        <v/>
      </c>
      <c r="C297" s="7" t="str">
        <f>IFERROR(VLOOKUP(E297,'(新)EG'!$A$3:$K$74,4,0),"")</f>
        <v/>
      </c>
      <c r="D297" s="15" t="str">
        <f>IFERROR(VLOOKUP(E297,'(新)EG'!$A$3:$K$74,5,0),"")</f>
        <v/>
      </c>
      <c r="E297" s="25">
        <f>'(新)EG'!A300</f>
        <v>0</v>
      </c>
      <c r="F297" s="16" t="str">
        <f>IFERROR(VLOOKUP(E297,'(新)EG'!$A$3:$K$75,8,0),"")</f>
        <v/>
      </c>
      <c r="G297" s="7" t="str">
        <f>IFERROR(VLOOKUP(E297,'(旧)EG'!$A$3:$K$92,10,0),"")</f>
        <v/>
      </c>
      <c r="H297" s="12" t="s">
        <v>60</v>
      </c>
      <c r="I297" s="7" t="str">
        <f>IFERROR(VLOOKUP(E297,'(新)EG'!$A$3:$K$75,10,0),"")</f>
        <v/>
      </c>
    </row>
    <row r="298" spans="1:9" s="19" customFormat="1" ht="13.8" thickBot="1" x14ac:dyDescent="0.2">
      <c r="A298" s="11">
        <v>317</v>
      </c>
      <c r="B298" s="7" t="str">
        <f>IFERROR(VLOOKUP(E298,'(新)EG'!$A$3:$K$74,2,0),"")</f>
        <v/>
      </c>
      <c r="C298" s="7" t="str">
        <f>IFERROR(VLOOKUP(E298,'(新)EG'!$A$3:$K$74,4,0),"")</f>
        <v/>
      </c>
      <c r="D298" s="15" t="str">
        <f>IFERROR(VLOOKUP(E298,'(新)EG'!$A$3:$K$74,5,0),"")</f>
        <v/>
      </c>
      <c r="E298" s="25">
        <f>'(新)EG'!A301</f>
        <v>0</v>
      </c>
      <c r="F298" s="16" t="str">
        <f>IFERROR(VLOOKUP(E298,'(新)EG'!$A$3:$K$75,8,0),"")</f>
        <v/>
      </c>
      <c r="G298" s="7" t="str">
        <f>IFERROR(VLOOKUP(E298,'(旧)EG'!$A$3:$K$92,10,0),"")</f>
        <v/>
      </c>
      <c r="H298" s="12" t="s">
        <v>60</v>
      </c>
      <c r="I298" s="7" t="str">
        <f>IFERROR(VLOOKUP(E298,'(新)EG'!$A$3:$K$75,10,0),"")</f>
        <v/>
      </c>
    </row>
    <row r="299" spans="1:9" s="19" customFormat="1" ht="13.8" thickBot="1" x14ac:dyDescent="0.2">
      <c r="A299" s="11">
        <v>318</v>
      </c>
      <c r="B299" s="7" t="str">
        <f>IFERROR(VLOOKUP(E299,'(新)EG'!$A$3:$K$74,2,0),"")</f>
        <v/>
      </c>
      <c r="C299" s="7" t="str">
        <f>IFERROR(VLOOKUP(E299,'(新)EG'!$A$3:$K$74,4,0),"")</f>
        <v/>
      </c>
      <c r="D299" s="15" t="str">
        <f>IFERROR(VLOOKUP(E299,'(新)EG'!$A$3:$K$74,5,0),"")</f>
        <v/>
      </c>
      <c r="E299" s="25">
        <f>'(新)EG'!A302</f>
        <v>0</v>
      </c>
      <c r="F299" s="16" t="str">
        <f>IFERROR(VLOOKUP(E299,'(新)EG'!$A$3:$K$75,8,0),"")</f>
        <v/>
      </c>
      <c r="G299" s="7" t="str">
        <f>IFERROR(VLOOKUP(E299,'(旧)EG'!$A$3:$K$92,10,0),"")</f>
        <v/>
      </c>
      <c r="H299" s="12" t="s">
        <v>60</v>
      </c>
      <c r="I299" s="7" t="str">
        <f>IFERROR(VLOOKUP(E299,'(新)EG'!$A$3:$K$75,10,0),"")</f>
        <v/>
      </c>
    </row>
    <row r="300" spans="1:9" s="19" customFormat="1" ht="13.8" thickBot="1" x14ac:dyDescent="0.2">
      <c r="A300" s="11">
        <v>319</v>
      </c>
      <c r="B300" s="7" t="str">
        <f>IFERROR(VLOOKUP(E300,'(新)EG'!$A$3:$K$74,2,0),"")</f>
        <v/>
      </c>
      <c r="C300" s="7" t="str">
        <f>IFERROR(VLOOKUP(E300,'(新)EG'!$A$3:$K$74,4,0),"")</f>
        <v/>
      </c>
      <c r="D300" s="15" t="str">
        <f>IFERROR(VLOOKUP(E300,'(新)EG'!$A$3:$K$74,5,0),"")</f>
        <v/>
      </c>
      <c r="E300" s="25">
        <f>'(新)EG'!A303</f>
        <v>0</v>
      </c>
      <c r="F300" s="16" t="str">
        <f>IFERROR(VLOOKUP(E300,'(新)EG'!$A$3:$K$75,8,0),"")</f>
        <v/>
      </c>
      <c r="G300" s="7" t="str">
        <f>IFERROR(VLOOKUP(E300,'(旧)EG'!$A$3:$K$92,10,0),"")</f>
        <v/>
      </c>
      <c r="H300" s="12" t="s">
        <v>60</v>
      </c>
      <c r="I300" s="7" t="str">
        <f>IFERROR(VLOOKUP(E300,'(新)EG'!$A$3:$K$75,10,0),"")</f>
        <v/>
      </c>
    </row>
    <row r="301" spans="1:9" s="19" customFormat="1" ht="13.8" thickBot="1" x14ac:dyDescent="0.2">
      <c r="A301" s="11">
        <v>320</v>
      </c>
      <c r="B301" s="7" t="str">
        <f>IFERROR(VLOOKUP(E301,'(新)EG'!$A$3:$K$74,2,0),"")</f>
        <v/>
      </c>
      <c r="C301" s="7" t="str">
        <f>IFERROR(VLOOKUP(E301,'(新)EG'!$A$3:$K$74,4,0),"")</f>
        <v/>
      </c>
      <c r="D301" s="15" t="str">
        <f>IFERROR(VLOOKUP(E301,'(新)EG'!$A$3:$K$74,5,0),"")</f>
        <v/>
      </c>
      <c r="E301" s="25">
        <f>'(新)EG'!A304</f>
        <v>0</v>
      </c>
      <c r="F301" s="16" t="str">
        <f>IFERROR(VLOOKUP(E301,'(新)EG'!$A$3:$K$75,8,0),"")</f>
        <v/>
      </c>
      <c r="G301" s="7" t="str">
        <f>IFERROR(VLOOKUP(E301,'(旧)EG'!$A$3:$K$92,10,0),"")</f>
        <v/>
      </c>
      <c r="H301" s="12" t="s">
        <v>60</v>
      </c>
      <c r="I301" s="7" t="str">
        <f>IFERROR(VLOOKUP(E301,'(新)EG'!$A$3:$K$75,10,0),"")</f>
        <v/>
      </c>
    </row>
    <row r="302" spans="1:9" s="19" customFormat="1" ht="13.8" thickBot="1" x14ac:dyDescent="0.2">
      <c r="A302" s="11">
        <v>321</v>
      </c>
      <c r="B302" s="7" t="str">
        <f>IFERROR(VLOOKUP(E302,'(新)EG'!$A$3:$K$74,2,0),"")</f>
        <v/>
      </c>
      <c r="C302" s="7" t="str">
        <f>IFERROR(VLOOKUP(E302,'(新)EG'!$A$3:$K$74,4,0),"")</f>
        <v/>
      </c>
      <c r="D302" s="15" t="str">
        <f>IFERROR(VLOOKUP(E302,'(新)EG'!$A$3:$K$74,5,0),"")</f>
        <v/>
      </c>
      <c r="E302" s="25">
        <f>'(新)EG'!A305</f>
        <v>0</v>
      </c>
      <c r="F302" s="16" t="str">
        <f>IFERROR(VLOOKUP(E302,'(新)EG'!$A$3:$K$75,8,0),"")</f>
        <v/>
      </c>
      <c r="G302" s="7" t="str">
        <f>IFERROR(VLOOKUP(E302,'(旧)EG'!$A$3:$K$92,10,0),"")</f>
        <v/>
      </c>
      <c r="H302" s="12" t="s">
        <v>60</v>
      </c>
      <c r="I302" s="7" t="str">
        <f>IFERROR(VLOOKUP(E302,'(新)EG'!$A$3:$K$75,10,0),"")</f>
        <v/>
      </c>
    </row>
    <row r="303" spans="1:9" s="19" customFormat="1" ht="13.8" thickBot="1" x14ac:dyDescent="0.2">
      <c r="A303" s="11">
        <v>322</v>
      </c>
      <c r="B303" s="7" t="str">
        <f>IFERROR(VLOOKUP(E303,'(新)EG'!$A$3:$K$74,2,0),"")</f>
        <v/>
      </c>
      <c r="C303" s="7" t="str">
        <f>IFERROR(VLOOKUP(E303,'(新)EG'!$A$3:$K$74,4,0),"")</f>
        <v/>
      </c>
      <c r="D303" s="15" t="str">
        <f>IFERROR(VLOOKUP(E303,'(新)EG'!$A$3:$K$74,5,0),"")</f>
        <v/>
      </c>
      <c r="E303" s="25">
        <f>'(新)EG'!A306</f>
        <v>0</v>
      </c>
      <c r="F303" s="16" t="str">
        <f>IFERROR(VLOOKUP(E303,'(新)EG'!$A$3:$K$75,8,0),"")</f>
        <v/>
      </c>
      <c r="G303" s="7" t="str">
        <f>IFERROR(VLOOKUP(E303,'(旧)EG'!$A$3:$K$92,10,0),"")</f>
        <v/>
      </c>
      <c r="H303" s="12" t="s">
        <v>60</v>
      </c>
      <c r="I303" s="7" t="str">
        <f>IFERROR(VLOOKUP(E303,'(新)EG'!$A$3:$K$75,10,0),"")</f>
        <v/>
      </c>
    </row>
    <row r="304" spans="1:9" s="19" customFormat="1" ht="13.8" thickBot="1" x14ac:dyDescent="0.2">
      <c r="A304" s="11">
        <v>323</v>
      </c>
      <c r="B304" s="7" t="str">
        <f>IFERROR(VLOOKUP(E304,'(新)EG'!$A$3:$K$74,2,0),"")</f>
        <v/>
      </c>
      <c r="C304" s="7" t="str">
        <f>IFERROR(VLOOKUP(E304,'(新)EG'!$A$3:$K$74,4,0),"")</f>
        <v/>
      </c>
      <c r="D304" s="15" t="str">
        <f>IFERROR(VLOOKUP(E304,'(新)EG'!$A$3:$K$74,5,0),"")</f>
        <v/>
      </c>
      <c r="E304" s="25">
        <f>'(新)EG'!A307</f>
        <v>0</v>
      </c>
      <c r="F304" s="16" t="str">
        <f>IFERROR(VLOOKUP(E304,'(新)EG'!$A$3:$K$75,8,0),"")</f>
        <v/>
      </c>
      <c r="G304" s="7" t="str">
        <f>IFERROR(VLOOKUP(E304,'(旧)EG'!$A$3:$K$92,10,0),"")</f>
        <v/>
      </c>
      <c r="H304" s="12" t="s">
        <v>60</v>
      </c>
      <c r="I304" s="7" t="str">
        <f>IFERROR(VLOOKUP(E304,'(新)EG'!$A$3:$K$75,10,0),"")</f>
        <v/>
      </c>
    </row>
    <row r="305" spans="1:9" s="19" customFormat="1" ht="13.8" thickBot="1" x14ac:dyDescent="0.2">
      <c r="A305" s="11">
        <v>324</v>
      </c>
      <c r="B305" s="7" t="str">
        <f>IFERROR(VLOOKUP(E305,'(新)EG'!$A$3:$K$74,2,0),"")</f>
        <v/>
      </c>
      <c r="C305" s="7" t="str">
        <f>IFERROR(VLOOKUP(E305,'(新)EG'!$A$3:$K$74,4,0),"")</f>
        <v/>
      </c>
      <c r="D305" s="15" t="str">
        <f>IFERROR(VLOOKUP(E305,'(新)EG'!$A$3:$K$74,5,0),"")</f>
        <v/>
      </c>
      <c r="E305" s="25">
        <f>'(新)EG'!A308</f>
        <v>0</v>
      </c>
      <c r="F305" s="16" t="str">
        <f>IFERROR(VLOOKUP(E305,'(新)EG'!$A$3:$K$75,8,0),"")</f>
        <v/>
      </c>
      <c r="G305" s="7" t="str">
        <f>IFERROR(VLOOKUP(E305,'(旧)EG'!$A$3:$K$92,10,0),"")</f>
        <v/>
      </c>
      <c r="H305" s="12" t="s">
        <v>60</v>
      </c>
      <c r="I305" s="7" t="str">
        <f>IFERROR(VLOOKUP(E305,'(新)EG'!$A$3:$K$75,10,0),"")</f>
        <v/>
      </c>
    </row>
    <row r="306" spans="1:9" s="19" customFormat="1" ht="13.8" thickBot="1" x14ac:dyDescent="0.2">
      <c r="A306" s="11">
        <v>325</v>
      </c>
      <c r="B306" s="7" t="str">
        <f>IFERROR(VLOOKUP(E306,'(新)EG'!$A$3:$K$74,2,0),"")</f>
        <v/>
      </c>
      <c r="C306" s="7" t="str">
        <f>IFERROR(VLOOKUP(E306,'(新)EG'!$A$3:$K$74,4,0),"")</f>
        <v/>
      </c>
      <c r="D306" s="15" t="str">
        <f>IFERROR(VLOOKUP(E306,'(新)EG'!$A$3:$K$74,5,0),"")</f>
        <v/>
      </c>
      <c r="E306" s="25">
        <f>'(新)EG'!A309</f>
        <v>0</v>
      </c>
      <c r="F306" s="16" t="str">
        <f>IFERROR(VLOOKUP(E306,'(新)EG'!$A$3:$K$75,8,0),"")</f>
        <v/>
      </c>
      <c r="G306" s="7" t="str">
        <f>IFERROR(VLOOKUP(E306,'(旧)EG'!$A$3:$K$92,10,0),"")</f>
        <v/>
      </c>
      <c r="H306" s="12" t="s">
        <v>60</v>
      </c>
      <c r="I306" s="7" t="str">
        <f>IFERROR(VLOOKUP(E306,'(新)EG'!$A$3:$K$75,10,0),"")</f>
        <v/>
      </c>
    </row>
    <row r="307" spans="1:9" s="19" customFormat="1" ht="13.8" thickBot="1" x14ac:dyDescent="0.2">
      <c r="A307" s="11">
        <v>326</v>
      </c>
      <c r="B307" s="7" t="str">
        <f>IFERROR(VLOOKUP(E307,'(新)EG'!$A$3:$K$74,2,0),"")</f>
        <v/>
      </c>
      <c r="C307" s="7" t="str">
        <f>IFERROR(VLOOKUP(E307,'(新)EG'!$A$3:$K$74,4,0),"")</f>
        <v/>
      </c>
      <c r="D307" s="15" t="str">
        <f>IFERROR(VLOOKUP(E307,'(新)EG'!$A$3:$K$74,5,0),"")</f>
        <v/>
      </c>
      <c r="E307" s="25">
        <f>'(新)EG'!A310</f>
        <v>0</v>
      </c>
      <c r="F307" s="16" t="str">
        <f>IFERROR(VLOOKUP(E307,'(新)EG'!$A$3:$K$75,8,0),"")</f>
        <v/>
      </c>
      <c r="G307" s="7" t="str">
        <f>IFERROR(VLOOKUP(E307,'(旧)EG'!$A$3:$K$92,10,0),"")</f>
        <v/>
      </c>
      <c r="H307" s="12" t="s">
        <v>60</v>
      </c>
      <c r="I307" s="7" t="str">
        <f>IFERROR(VLOOKUP(E307,'(新)EG'!$A$3:$K$75,10,0),"")</f>
        <v/>
      </c>
    </row>
    <row r="308" spans="1:9" s="19" customFormat="1" ht="13.8" thickBot="1" x14ac:dyDescent="0.2">
      <c r="A308" s="11">
        <v>327</v>
      </c>
      <c r="B308" s="7" t="str">
        <f>IFERROR(VLOOKUP(E308,'(新)EG'!$A$3:$K$74,2,0),"")</f>
        <v/>
      </c>
      <c r="C308" s="7" t="str">
        <f>IFERROR(VLOOKUP(E308,'(新)EG'!$A$3:$K$74,4,0),"")</f>
        <v/>
      </c>
      <c r="D308" s="15" t="str">
        <f>IFERROR(VLOOKUP(E308,'(新)EG'!$A$3:$K$74,5,0),"")</f>
        <v/>
      </c>
      <c r="E308" s="25">
        <f>'(新)EG'!A311</f>
        <v>0</v>
      </c>
      <c r="F308" s="16" t="str">
        <f>IFERROR(VLOOKUP(E308,'(新)EG'!$A$3:$K$75,8,0),"")</f>
        <v/>
      </c>
      <c r="G308" s="7" t="str">
        <f>IFERROR(VLOOKUP(E308,'(旧)EG'!$A$3:$K$92,10,0),"")</f>
        <v/>
      </c>
      <c r="H308" s="12" t="s">
        <v>60</v>
      </c>
      <c r="I308" s="7" t="str">
        <f>IFERROR(VLOOKUP(E308,'(新)EG'!$A$3:$K$75,10,0),"")</f>
        <v/>
      </c>
    </row>
    <row r="309" spans="1:9" s="19" customFormat="1" ht="13.8" thickBot="1" x14ac:dyDescent="0.2">
      <c r="A309" s="11">
        <v>328</v>
      </c>
      <c r="B309" s="7" t="str">
        <f>IFERROR(VLOOKUP(E309,'(新)EG'!$A$3:$K$74,2,0),"")</f>
        <v/>
      </c>
      <c r="C309" s="7" t="str">
        <f>IFERROR(VLOOKUP(E309,'(新)EG'!$A$3:$K$74,4,0),"")</f>
        <v/>
      </c>
      <c r="D309" s="15" t="str">
        <f>IFERROR(VLOOKUP(E309,'(新)EG'!$A$3:$K$74,5,0),"")</f>
        <v/>
      </c>
      <c r="E309" s="25">
        <f>'(新)EG'!A312</f>
        <v>0</v>
      </c>
      <c r="F309" s="16" t="str">
        <f>IFERROR(VLOOKUP(E309,'(新)EG'!$A$3:$K$75,8,0),"")</f>
        <v/>
      </c>
      <c r="G309" s="7" t="str">
        <f>IFERROR(VLOOKUP(E309,'(旧)EG'!$A$3:$K$92,10,0),"")</f>
        <v/>
      </c>
      <c r="H309" s="12" t="s">
        <v>60</v>
      </c>
      <c r="I309" s="7" t="str">
        <f>IFERROR(VLOOKUP(E309,'(新)EG'!$A$3:$K$75,10,0),"")</f>
        <v/>
      </c>
    </row>
    <row r="310" spans="1:9" s="19" customFormat="1" ht="13.8" thickBot="1" x14ac:dyDescent="0.2">
      <c r="A310" s="11">
        <v>329</v>
      </c>
      <c r="B310" s="7" t="str">
        <f>IFERROR(VLOOKUP(E310,'(新)EG'!$A$3:$K$74,2,0),"")</f>
        <v/>
      </c>
      <c r="C310" s="7" t="str">
        <f>IFERROR(VLOOKUP(E310,'(新)EG'!$A$3:$K$74,4,0),"")</f>
        <v/>
      </c>
      <c r="D310" s="15" t="str">
        <f>IFERROR(VLOOKUP(E310,'(新)EG'!$A$3:$K$74,5,0),"")</f>
        <v/>
      </c>
      <c r="E310" s="25">
        <f>'(新)EG'!A313</f>
        <v>0</v>
      </c>
      <c r="F310" s="16" t="str">
        <f>IFERROR(VLOOKUP(E310,'(新)EG'!$A$3:$K$75,8,0),"")</f>
        <v/>
      </c>
      <c r="G310" s="7" t="str">
        <f>IFERROR(VLOOKUP(E310,'(旧)EG'!$A$3:$K$92,10,0),"")</f>
        <v/>
      </c>
      <c r="H310" s="12" t="s">
        <v>60</v>
      </c>
      <c r="I310" s="7" t="str">
        <f>IFERROR(VLOOKUP(E310,'(新)EG'!$A$3:$K$75,10,0),"")</f>
        <v/>
      </c>
    </row>
    <row r="311" spans="1:9" s="19" customFormat="1" ht="13.8" thickBot="1" x14ac:dyDescent="0.2">
      <c r="A311" s="11">
        <v>330</v>
      </c>
      <c r="B311" s="7" t="str">
        <f>IFERROR(VLOOKUP(E311,'(新)EG'!$A$3:$K$74,2,0),"")</f>
        <v/>
      </c>
      <c r="C311" s="7" t="str">
        <f>IFERROR(VLOOKUP(E311,'(新)EG'!$A$3:$K$74,4,0),"")</f>
        <v/>
      </c>
      <c r="D311" s="15" t="str">
        <f>IFERROR(VLOOKUP(E311,'(新)EG'!$A$3:$K$74,5,0),"")</f>
        <v/>
      </c>
      <c r="E311" s="25">
        <f>'(新)EG'!A314</f>
        <v>0</v>
      </c>
      <c r="F311" s="16" t="str">
        <f>IFERROR(VLOOKUP(E311,'(新)EG'!$A$3:$K$75,8,0),"")</f>
        <v/>
      </c>
      <c r="G311" s="7" t="str">
        <f>IFERROR(VLOOKUP(E311,'(旧)EG'!$A$3:$K$92,10,0),"")</f>
        <v/>
      </c>
      <c r="H311" s="12" t="s">
        <v>60</v>
      </c>
      <c r="I311" s="7" t="str">
        <f>IFERROR(VLOOKUP(E311,'(新)EG'!$A$3:$K$75,10,0),"")</f>
        <v/>
      </c>
    </row>
    <row r="312" spans="1:9" s="19" customFormat="1" ht="13.8" thickBot="1" x14ac:dyDescent="0.2">
      <c r="A312" s="11">
        <v>331</v>
      </c>
      <c r="B312" s="7" t="str">
        <f>IFERROR(VLOOKUP(E312,'(新)EG'!$A$3:$K$74,2,0),"")</f>
        <v/>
      </c>
      <c r="C312" s="7" t="str">
        <f>IFERROR(VLOOKUP(E312,'(新)EG'!$A$3:$K$74,4,0),"")</f>
        <v/>
      </c>
      <c r="D312" s="15" t="str">
        <f>IFERROR(VLOOKUP(E312,'(新)EG'!$A$3:$K$74,5,0),"")</f>
        <v/>
      </c>
      <c r="E312" s="25">
        <f>'(新)EG'!A315</f>
        <v>0</v>
      </c>
      <c r="F312" s="16" t="str">
        <f>IFERROR(VLOOKUP(E312,'(新)EG'!$A$3:$K$75,8,0),"")</f>
        <v/>
      </c>
      <c r="G312" s="7" t="str">
        <f>IFERROR(VLOOKUP(E312,'(旧)EG'!$A$3:$K$92,10,0),"")</f>
        <v/>
      </c>
      <c r="H312" s="12" t="s">
        <v>60</v>
      </c>
      <c r="I312" s="7" t="str">
        <f>IFERROR(VLOOKUP(E312,'(新)EG'!$A$3:$K$75,10,0),"")</f>
        <v/>
      </c>
    </row>
    <row r="313" spans="1:9" s="19" customFormat="1" ht="13.8" thickBot="1" x14ac:dyDescent="0.2">
      <c r="A313" s="11">
        <v>332</v>
      </c>
      <c r="B313" s="7" t="str">
        <f>IFERROR(VLOOKUP(E313,'(新)EG'!$A$3:$K$74,2,0),"")</f>
        <v/>
      </c>
      <c r="C313" s="7" t="str">
        <f>IFERROR(VLOOKUP(E313,'(新)EG'!$A$3:$K$74,4,0),"")</f>
        <v/>
      </c>
      <c r="D313" s="15" t="str">
        <f>IFERROR(VLOOKUP(E313,'(新)EG'!$A$3:$K$74,5,0),"")</f>
        <v/>
      </c>
      <c r="E313" s="25">
        <f>'(新)EG'!A316</f>
        <v>0</v>
      </c>
      <c r="F313" s="16" t="str">
        <f>IFERROR(VLOOKUP(E313,'(新)EG'!$A$3:$K$75,8,0),"")</f>
        <v/>
      </c>
      <c r="G313" s="7" t="str">
        <f>IFERROR(VLOOKUP(E313,'(旧)EG'!$A$3:$K$92,10,0),"")</f>
        <v/>
      </c>
      <c r="H313" s="12" t="s">
        <v>60</v>
      </c>
      <c r="I313" s="7" t="str">
        <f>IFERROR(VLOOKUP(E313,'(新)EG'!$A$3:$K$75,10,0),"")</f>
        <v/>
      </c>
    </row>
    <row r="314" spans="1:9" s="19" customFormat="1" ht="13.8" thickBot="1" x14ac:dyDescent="0.2">
      <c r="A314" s="11">
        <v>333</v>
      </c>
      <c r="B314" s="7" t="str">
        <f>IFERROR(VLOOKUP(E314,'(新)EG'!$A$3:$K$74,2,0),"")</f>
        <v/>
      </c>
      <c r="C314" s="7" t="str">
        <f>IFERROR(VLOOKUP(E314,'(新)EG'!$A$3:$K$74,4,0),"")</f>
        <v/>
      </c>
      <c r="D314" s="15" t="str">
        <f>IFERROR(VLOOKUP(E314,'(新)EG'!$A$3:$K$74,5,0),"")</f>
        <v/>
      </c>
      <c r="E314" s="25">
        <f>'(新)EG'!A317</f>
        <v>0</v>
      </c>
      <c r="F314" s="16" t="str">
        <f>IFERROR(VLOOKUP(E314,'(新)EG'!$A$3:$K$75,8,0),"")</f>
        <v/>
      </c>
      <c r="G314" s="7" t="str">
        <f>IFERROR(VLOOKUP(E314,'(旧)EG'!$A$3:$K$92,10,0),"")</f>
        <v/>
      </c>
      <c r="H314" s="12" t="s">
        <v>60</v>
      </c>
      <c r="I314" s="7" t="str">
        <f>IFERROR(VLOOKUP(E314,'(新)EG'!$A$3:$K$75,10,0),"")</f>
        <v/>
      </c>
    </row>
    <row r="315" spans="1:9" s="19" customFormat="1" ht="13.8" thickBot="1" x14ac:dyDescent="0.2">
      <c r="A315" s="11">
        <v>334</v>
      </c>
      <c r="B315" s="7" t="str">
        <f>IFERROR(VLOOKUP(E315,'(新)EG'!$A$3:$K$74,2,0),"")</f>
        <v/>
      </c>
      <c r="C315" s="7" t="str">
        <f>IFERROR(VLOOKUP(E315,'(新)EG'!$A$3:$K$74,4,0),"")</f>
        <v/>
      </c>
      <c r="D315" s="15" t="str">
        <f>IFERROR(VLOOKUP(E315,'(新)EG'!$A$3:$K$74,5,0),"")</f>
        <v/>
      </c>
      <c r="E315" s="25">
        <f>'(新)EG'!A318</f>
        <v>0</v>
      </c>
      <c r="F315" s="16" t="str">
        <f>IFERROR(VLOOKUP(E315,'(新)EG'!$A$3:$K$75,8,0),"")</f>
        <v/>
      </c>
      <c r="G315" s="7" t="str">
        <f>IFERROR(VLOOKUP(E315,'(旧)EG'!$A$3:$K$92,10,0),"")</f>
        <v/>
      </c>
      <c r="H315" s="12" t="s">
        <v>60</v>
      </c>
      <c r="I315" s="7" t="str">
        <f>IFERROR(VLOOKUP(E315,'(新)EG'!$A$3:$K$75,10,0),"")</f>
        <v/>
      </c>
    </row>
    <row r="316" spans="1:9" s="19" customFormat="1" ht="13.8" thickBot="1" x14ac:dyDescent="0.2">
      <c r="A316" s="11">
        <v>335</v>
      </c>
      <c r="B316" s="7" t="str">
        <f>IFERROR(VLOOKUP(E316,'(新)EG'!$A$3:$K$74,2,0),"")</f>
        <v/>
      </c>
      <c r="C316" s="7" t="str">
        <f>IFERROR(VLOOKUP(E316,'(新)EG'!$A$3:$K$74,4,0),"")</f>
        <v/>
      </c>
      <c r="D316" s="15" t="str">
        <f>IFERROR(VLOOKUP(E316,'(新)EG'!$A$3:$K$74,5,0),"")</f>
        <v/>
      </c>
      <c r="E316" s="25">
        <f>'(新)EG'!A319</f>
        <v>0</v>
      </c>
      <c r="F316" s="16" t="str">
        <f>IFERROR(VLOOKUP(E316,'(新)EG'!$A$3:$K$75,8,0),"")</f>
        <v/>
      </c>
      <c r="G316" s="7" t="str">
        <f>IFERROR(VLOOKUP(E316,'(旧)EG'!$A$3:$K$92,10,0),"")</f>
        <v/>
      </c>
      <c r="H316" s="12" t="s">
        <v>60</v>
      </c>
      <c r="I316" s="7" t="str">
        <f>IFERROR(VLOOKUP(E316,'(新)EG'!$A$3:$K$75,10,0),"")</f>
        <v/>
      </c>
    </row>
    <row r="317" spans="1:9" s="19" customFormat="1" ht="13.8" thickBot="1" x14ac:dyDescent="0.2">
      <c r="A317" s="11">
        <v>336</v>
      </c>
      <c r="B317" s="7" t="str">
        <f>IFERROR(VLOOKUP(E317,'(新)EG'!$A$3:$K$74,2,0),"")</f>
        <v/>
      </c>
      <c r="C317" s="7" t="str">
        <f>IFERROR(VLOOKUP(E317,'(新)EG'!$A$3:$K$74,4,0),"")</f>
        <v/>
      </c>
      <c r="D317" s="15" t="str">
        <f>IFERROR(VLOOKUP(E317,'(新)EG'!$A$3:$K$74,5,0),"")</f>
        <v/>
      </c>
      <c r="E317" s="25">
        <f>'(新)EG'!A320</f>
        <v>0</v>
      </c>
      <c r="F317" s="16" t="str">
        <f>IFERROR(VLOOKUP(E317,'(新)EG'!$A$3:$K$75,8,0),"")</f>
        <v/>
      </c>
      <c r="G317" s="7" t="str">
        <f>IFERROR(VLOOKUP(E317,'(旧)EG'!$A$3:$K$92,10,0),"")</f>
        <v/>
      </c>
      <c r="H317" s="12" t="s">
        <v>60</v>
      </c>
      <c r="I317" s="7" t="str">
        <f>IFERROR(VLOOKUP(E317,'(新)EG'!$A$3:$K$75,10,0),"")</f>
        <v/>
      </c>
    </row>
    <row r="318" spans="1:9" s="19" customFormat="1" ht="13.8" thickBot="1" x14ac:dyDescent="0.2">
      <c r="A318" s="11">
        <v>337</v>
      </c>
      <c r="B318" s="7" t="str">
        <f>IFERROR(VLOOKUP(E318,'(新)EG'!$A$3:$K$74,2,0),"")</f>
        <v/>
      </c>
      <c r="C318" s="7" t="str">
        <f>IFERROR(VLOOKUP(E318,'(新)EG'!$A$3:$K$74,4,0),"")</f>
        <v/>
      </c>
      <c r="D318" s="15" t="str">
        <f>IFERROR(VLOOKUP(E318,'(新)EG'!$A$3:$K$74,5,0),"")</f>
        <v/>
      </c>
      <c r="E318" s="25">
        <f>'(新)EG'!A321</f>
        <v>0</v>
      </c>
      <c r="F318" s="16" t="str">
        <f>IFERROR(VLOOKUP(E318,'(新)EG'!$A$3:$K$75,8,0),"")</f>
        <v/>
      </c>
      <c r="G318" s="7" t="str">
        <f>IFERROR(VLOOKUP(E318,'(旧)EG'!$A$3:$K$92,10,0),"")</f>
        <v/>
      </c>
      <c r="H318" s="12" t="s">
        <v>60</v>
      </c>
      <c r="I318" s="7" t="str">
        <f>IFERROR(VLOOKUP(E318,'(新)EG'!$A$3:$K$75,10,0),"")</f>
        <v/>
      </c>
    </row>
    <row r="319" spans="1:9" s="19" customFormat="1" ht="13.8" thickBot="1" x14ac:dyDescent="0.2">
      <c r="A319" s="11">
        <v>338</v>
      </c>
      <c r="B319" s="7" t="str">
        <f>IFERROR(VLOOKUP(E319,'(新)EG'!$A$3:$K$74,2,0),"")</f>
        <v/>
      </c>
      <c r="C319" s="7" t="str">
        <f>IFERROR(VLOOKUP(E319,'(新)EG'!$A$3:$K$74,4,0),"")</f>
        <v/>
      </c>
      <c r="D319" s="15" t="str">
        <f>IFERROR(VLOOKUP(E319,'(新)EG'!$A$3:$K$74,5,0),"")</f>
        <v/>
      </c>
      <c r="E319" s="25">
        <f>'(新)EG'!A322</f>
        <v>0</v>
      </c>
      <c r="F319" s="16" t="str">
        <f>IFERROR(VLOOKUP(E319,'(新)EG'!$A$3:$K$75,8,0),"")</f>
        <v/>
      </c>
      <c r="G319" s="7" t="str">
        <f>IFERROR(VLOOKUP(E319,'(旧)EG'!$A$3:$K$92,10,0),"")</f>
        <v/>
      </c>
      <c r="H319" s="12" t="s">
        <v>60</v>
      </c>
      <c r="I319" s="7" t="str">
        <f>IFERROR(VLOOKUP(E319,'(新)EG'!$A$3:$K$75,10,0),"")</f>
        <v/>
      </c>
    </row>
    <row r="320" spans="1:9" s="19" customFormat="1" ht="13.8" thickBot="1" x14ac:dyDescent="0.2">
      <c r="A320" s="11">
        <v>339</v>
      </c>
      <c r="B320" s="7" t="str">
        <f>IFERROR(VLOOKUP(E320,'(新)EG'!$A$3:$K$74,2,0),"")</f>
        <v/>
      </c>
      <c r="C320" s="7" t="str">
        <f>IFERROR(VLOOKUP(E320,'(新)EG'!$A$3:$K$74,4,0),"")</f>
        <v/>
      </c>
      <c r="D320" s="15" t="str">
        <f>IFERROR(VLOOKUP(E320,'(新)EG'!$A$3:$K$74,5,0),"")</f>
        <v/>
      </c>
      <c r="E320" s="25">
        <f>'(新)EG'!A323</f>
        <v>0</v>
      </c>
      <c r="F320" s="16" t="str">
        <f>IFERROR(VLOOKUP(E320,'(新)EG'!$A$3:$K$75,8,0),"")</f>
        <v/>
      </c>
      <c r="G320" s="7" t="str">
        <f>IFERROR(VLOOKUP(E320,'(旧)EG'!$A$3:$K$92,10,0),"")</f>
        <v/>
      </c>
      <c r="H320" s="12" t="s">
        <v>60</v>
      </c>
      <c r="I320" s="7" t="str">
        <f>IFERROR(VLOOKUP(E320,'(新)EG'!$A$3:$K$75,10,0),"")</f>
        <v/>
      </c>
    </row>
    <row r="321" spans="1:9" s="19" customFormat="1" ht="13.8" thickBot="1" x14ac:dyDescent="0.2">
      <c r="A321" s="11">
        <v>340</v>
      </c>
      <c r="B321" s="7" t="str">
        <f>IFERROR(VLOOKUP(E321,'(新)EG'!$A$3:$K$74,2,0),"")</f>
        <v/>
      </c>
      <c r="C321" s="7" t="str">
        <f>IFERROR(VLOOKUP(E321,'(新)EG'!$A$3:$K$74,4,0),"")</f>
        <v/>
      </c>
      <c r="D321" s="15" t="str">
        <f>IFERROR(VLOOKUP(E321,'(新)EG'!$A$3:$K$74,5,0),"")</f>
        <v/>
      </c>
      <c r="E321" s="25">
        <f>'(新)EG'!A324</f>
        <v>0</v>
      </c>
      <c r="F321" s="16" t="str">
        <f>IFERROR(VLOOKUP(E321,'(新)EG'!$A$3:$K$75,8,0),"")</f>
        <v/>
      </c>
      <c r="G321" s="7" t="str">
        <f>IFERROR(VLOOKUP(E321,'(旧)EG'!$A$3:$K$92,10,0),"")</f>
        <v/>
      </c>
      <c r="H321" s="12" t="s">
        <v>60</v>
      </c>
      <c r="I321" s="7" t="str">
        <f>IFERROR(VLOOKUP(E321,'(新)EG'!$A$3:$K$75,10,0),"")</f>
        <v/>
      </c>
    </row>
    <row r="322" spans="1:9" s="19" customFormat="1" ht="13.8" thickBot="1" x14ac:dyDescent="0.2">
      <c r="A322" s="11">
        <v>341</v>
      </c>
      <c r="B322" s="7" t="str">
        <f>IFERROR(VLOOKUP(E322,'(新)EG'!$A$3:$K$74,2,0),"")</f>
        <v/>
      </c>
      <c r="C322" s="7" t="str">
        <f>IFERROR(VLOOKUP(E322,'(新)EG'!$A$3:$K$74,4,0),"")</f>
        <v/>
      </c>
      <c r="D322" s="15" t="str">
        <f>IFERROR(VLOOKUP(E322,'(新)EG'!$A$3:$K$74,5,0),"")</f>
        <v/>
      </c>
      <c r="E322" s="25">
        <f>'(新)EG'!A325</f>
        <v>0</v>
      </c>
      <c r="F322" s="16" t="str">
        <f>IFERROR(VLOOKUP(E322,'(新)EG'!$A$3:$K$75,8,0),"")</f>
        <v/>
      </c>
      <c r="G322" s="7" t="str">
        <f>IFERROR(VLOOKUP(E322,'(旧)EG'!$A$3:$K$92,10,0),"")</f>
        <v/>
      </c>
      <c r="H322" s="12" t="s">
        <v>60</v>
      </c>
      <c r="I322" s="7" t="str">
        <f>IFERROR(VLOOKUP(E322,'(新)EG'!$A$3:$K$75,10,0),"")</f>
        <v/>
      </c>
    </row>
    <row r="323" spans="1:9" s="19" customFormat="1" ht="13.8" thickBot="1" x14ac:dyDescent="0.2">
      <c r="A323" s="11">
        <v>342</v>
      </c>
      <c r="B323" s="7" t="str">
        <f>IFERROR(VLOOKUP(E323,'(新)EG'!$A$3:$K$74,2,0),"")</f>
        <v/>
      </c>
      <c r="C323" s="7" t="str">
        <f>IFERROR(VLOOKUP(E323,'(新)EG'!$A$3:$K$74,4,0),"")</f>
        <v/>
      </c>
      <c r="D323" s="15" t="str">
        <f>IFERROR(VLOOKUP(E323,'(新)EG'!$A$3:$K$74,5,0),"")</f>
        <v/>
      </c>
      <c r="E323" s="25">
        <f>'(新)EG'!A326</f>
        <v>0</v>
      </c>
      <c r="F323" s="16" t="str">
        <f>IFERROR(VLOOKUP(E323,'(新)EG'!$A$3:$K$75,8,0),"")</f>
        <v/>
      </c>
      <c r="G323" s="7" t="str">
        <f>IFERROR(VLOOKUP(E323,'(旧)EG'!$A$3:$K$92,10,0),"")</f>
        <v/>
      </c>
      <c r="H323" s="12" t="s">
        <v>60</v>
      </c>
      <c r="I323" s="7" t="str">
        <f>IFERROR(VLOOKUP(E323,'(新)EG'!$A$3:$K$75,10,0),"")</f>
        <v/>
      </c>
    </row>
    <row r="324" spans="1:9" s="19" customFormat="1" ht="13.8" thickBot="1" x14ac:dyDescent="0.2">
      <c r="A324" s="11">
        <v>343</v>
      </c>
      <c r="B324" s="7" t="str">
        <f>IFERROR(VLOOKUP(E324,'(新)EG'!$A$3:$K$74,2,0),"")</f>
        <v/>
      </c>
      <c r="C324" s="7" t="str">
        <f>IFERROR(VLOOKUP(E324,'(新)EG'!$A$3:$K$74,4,0),"")</f>
        <v/>
      </c>
      <c r="D324" s="15" t="str">
        <f>IFERROR(VLOOKUP(E324,'(新)EG'!$A$3:$K$74,5,0),"")</f>
        <v/>
      </c>
      <c r="E324" s="25">
        <f>'(新)EG'!A327</f>
        <v>0</v>
      </c>
      <c r="F324" s="16" t="str">
        <f>IFERROR(VLOOKUP(E324,'(新)EG'!$A$3:$K$75,8,0),"")</f>
        <v/>
      </c>
      <c r="G324" s="7" t="str">
        <f>IFERROR(VLOOKUP(E324,'(旧)EG'!$A$3:$K$92,10,0),"")</f>
        <v/>
      </c>
      <c r="H324" s="12" t="s">
        <v>60</v>
      </c>
      <c r="I324" s="7" t="str">
        <f>IFERROR(VLOOKUP(E324,'(新)EG'!$A$3:$K$75,10,0),"")</f>
        <v/>
      </c>
    </row>
    <row r="325" spans="1:9" s="19" customFormat="1" ht="13.8" thickBot="1" x14ac:dyDescent="0.2">
      <c r="A325" s="11">
        <v>344</v>
      </c>
      <c r="B325" s="7" t="str">
        <f>IFERROR(VLOOKUP(E325,'(新)EG'!$A$3:$K$74,2,0),"")</f>
        <v/>
      </c>
      <c r="C325" s="7" t="str">
        <f>IFERROR(VLOOKUP(E325,'(新)EG'!$A$3:$K$74,4,0),"")</f>
        <v/>
      </c>
      <c r="D325" s="15" t="str">
        <f>IFERROR(VLOOKUP(E325,'(新)EG'!$A$3:$K$74,5,0),"")</f>
        <v/>
      </c>
      <c r="E325" s="25">
        <f>'(新)EG'!A328</f>
        <v>0</v>
      </c>
      <c r="F325" s="16" t="str">
        <f>IFERROR(VLOOKUP(E325,'(新)EG'!$A$3:$K$75,8,0),"")</f>
        <v/>
      </c>
      <c r="G325" s="7" t="str">
        <f>IFERROR(VLOOKUP(E325,'(旧)EG'!$A$3:$K$92,10,0),"")</f>
        <v/>
      </c>
      <c r="H325" s="12" t="s">
        <v>60</v>
      </c>
      <c r="I325" s="7" t="str">
        <f>IFERROR(VLOOKUP(E325,'(新)EG'!$A$3:$K$75,10,0),"")</f>
        <v/>
      </c>
    </row>
    <row r="326" spans="1:9" s="19" customFormat="1" ht="13.8" thickBot="1" x14ac:dyDescent="0.2">
      <c r="A326" s="11">
        <v>345</v>
      </c>
      <c r="B326" s="7" t="str">
        <f>IFERROR(VLOOKUP(E326,'(新)EG'!$A$3:$K$74,2,0),"")</f>
        <v/>
      </c>
      <c r="C326" s="7" t="str">
        <f>IFERROR(VLOOKUP(E326,'(新)EG'!$A$3:$K$74,4,0),"")</f>
        <v/>
      </c>
      <c r="D326" s="15" t="str">
        <f>IFERROR(VLOOKUP(E326,'(新)EG'!$A$3:$K$74,5,0),"")</f>
        <v/>
      </c>
      <c r="E326" s="25">
        <f>'(新)EG'!A329</f>
        <v>0</v>
      </c>
      <c r="F326" s="16" t="str">
        <f>IFERROR(VLOOKUP(E326,'(新)EG'!$A$3:$K$75,8,0),"")</f>
        <v/>
      </c>
      <c r="G326" s="7" t="str">
        <f>IFERROR(VLOOKUP(E326,'(旧)EG'!$A$3:$K$92,10,0),"")</f>
        <v/>
      </c>
      <c r="H326" s="12" t="s">
        <v>60</v>
      </c>
      <c r="I326" s="7" t="str">
        <f>IFERROR(VLOOKUP(E326,'(新)EG'!$A$3:$K$75,10,0),"")</f>
        <v/>
      </c>
    </row>
    <row r="327" spans="1:9" s="19" customFormat="1" ht="13.8" thickBot="1" x14ac:dyDescent="0.2">
      <c r="A327" s="11">
        <v>346</v>
      </c>
      <c r="B327" s="7" t="str">
        <f>IFERROR(VLOOKUP(E327,'(新)EG'!$A$3:$K$74,2,0),"")</f>
        <v/>
      </c>
      <c r="C327" s="7" t="str">
        <f>IFERROR(VLOOKUP(E327,'(新)EG'!$A$3:$K$74,4,0),"")</f>
        <v/>
      </c>
      <c r="D327" s="15" t="str">
        <f>IFERROR(VLOOKUP(E327,'(新)EG'!$A$3:$K$74,5,0),"")</f>
        <v/>
      </c>
      <c r="E327" s="25">
        <f>'(新)EG'!A330</f>
        <v>0</v>
      </c>
      <c r="F327" s="16" t="str">
        <f>IFERROR(VLOOKUP(E327,'(新)EG'!$A$3:$K$75,8,0),"")</f>
        <v/>
      </c>
      <c r="G327" s="7" t="str">
        <f>IFERROR(VLOOKUP(E327,'(旧)EG'!$A$3:$K$92,10,0),"")</f>
        <v/>
      </c>
      <c r="H327" s="12" t="s">
        <v>60</v>
      </c>
      <c r="I327" s="7" t="str">
        <f>IFERROR(VLOOKUP(E327,'(新)EG'!$A$3:$K$75,10,0),"")</f>
        <v/>
      </c>
    </row>
    <row r="328" spans="1:9" s="19" customFormat="1" ht="13.8" thickBot="1" x14ac:dyDescent="0.2">
      <c r="A328" s="11">
        <v>347</v>
      </c>
      <c r="B328" s="7" t="str">
        <f>IFERROR(VLOOKUP(E328,'(新)EG'!$A$3:$K$74,2,0),"")</f>
        <v/>
      </c>
      <c r="C328" s="7" t="str">
        <f>IFERROR(VLOOKUP(E328,'(新)EG'!$A$3:$K$74,4,0),"")</f>
        <v/>
      </c>
      <c r="D328" s="15" t="str">
        <f>IFERROR(VLOOKUP(E328,'(新)EG'!$A$3:$K$74,5,0),"")</f>
        <v/>
      </c>
      <c r="E328" s="25">
        <f>'(新)EG'!A331</f>
        <v>0</v>
      </c>
      <c r="F328" s="16" t="str">
        <f>IFERROR(VLOOKUP(E328,'(新)EG'!$A$3:$K$75,8,0),"")</f>
        <v/>
      </c>
      <c r="G328" s="7" t="str">
        <f>IFERROR(VLOOKUP(E328,'(旧)EG'!$A$3:$K$92,10,0),"")</f>
        <v/>
      </c>
      <c r="H328" s="12" t="s">
        <v>60</v>
      </c>
      <c r="I328" s="7" t="str">
        <f>IFERROR(VLOOKUP(E328,'(新)EG'!$A$3:$K$75,10,0),"")</f>
        <v/>
      </c>
    </row>
    <row r="329" spans="1:9" s="19" customFormat="1" ht="13.8" thickBot="1" x14ac:dyDescent="0.2">
      <c r="A329" s="11">
        <v>348</v>
      </c>
      <c r="B329" s="7" t="str">
        <f>IFERROR(VLOOKUP(E329,'(新)EG'!$A$3:$K$74,2,0),"")</f>
        <v/>
      </c>
      <c r="C329" s="7" t="str">
        <f>IFERROR(VLOOKUP(E329,'(新)EG'!$A$3:$K$74,4,0),"")</f>
        <v/>
      </c>
      <c r="D329" s="15" t="str">
        <f>IFERROR(VLOOKUP(E329,'(新)EG'!$A$3:$K$74,5,0),"")</f>
        <v/>
      </c>
      <c r="E329" s="25">
        <f>'(新)EG'!A332</f>
        <v>0</v>
      </c>
      <c r="F329" s="16" t="str">
        <f>IFERROR(VLOOKUP(E329,'(新)EG'!$A$3:$K$75,8,0),"")</f>
        <v/>
      </c>
      <c r="G329" s="7" t="str">
        <f>IFERROR(VLOOKUP(E329,'(旧)EG'!$A$3:$K$92,10,0),"")</f>
        <v/>
      </c>
      <c r="H329" s="12" t="s">
        <v>60</v>
      </c>
      <c r="I329" s="7" t="str">
        <f>IFERROR(VLOOKUP(E329,'(新)EG'!$A$3:$K$75,10,0),"")</f>
        <v/>
      </c>
    </row>
    <row r="330" spans="1:9" s="19" customFormat="1" ht="13.8" thickBot="1" x14ac:dyDescent="0.2">
      <c r="A330" s="11">
        <v>349</v>
      </c>
      <c r="B330" s="7" t="str">
        <f>IFERROR(VLOOKUP(E330,'(新)EG'!$A$3:$K$74,2,0),"")</f>
        <v/>
      </c>
      <c r="C330" s="7" t="str">
        <f>IFERROR(VLOOKUP(E330,'(新)EG'!$A$3:$K$74,4,0),"")</f>
        <v/>
      </c>
      <c r="D330" s="15" t="str">
        <f>IFERROR(VLOOKUP(E330,'(新)EG'!$A$3:$K$74,5,0),"")</f>
        <v/>
      </c>
      <c r="E330" s="25">
        <f>'(新)EG'!A333</f>
        <v>0</v>
      </c>
      <c r="F330" s="16" t="str">
        <f>IFERROR(VLOOKUP(E330,'(新)EG'!$A$3:$K$75,8,0),"")</f>
        <v/>
      </c>
      <c r="G330" s="7" t="str">
        <f>IFERROR(VLOOKUP(E330,'(旧)EG'!$A$3:$K$92,10,0),"")</f>
        <v/>
      </c>
      <c r="H330" s="12" t="s">
        <v>60</v>
      </c>
      <c r="I330" s="7" t="str">
        <f>IFERROR(VLOOKUP(E330,'(新)EG'!$A$3:$K$75,10,0),"")</f>
        <v/>
      </c>
    </row>
    <row r="331" spans="1:9" s="19" customFormat="1" ht="13.8" thickBot="1" x14ac:dyDescent="0.2">
      <c r="A331" s="11">
        <v>350</v>
      </c>
      <c r="B331" s="7" t="str">
        <f>IFERROR(VLOOKUP(E331,'(新)EG'!$A$3:$K$74,2,0),"")</f>
        <v/>
      </c>
      <c r="C331" s="7" t="str">
        <f>IFERROR(VLOOKUP(E331,'(新)EG'!$A$3:$K$74,4,0),"")</f>
        <v/>
      </c>
      <c r="D331" s="15" t="str">
        <f>IFERROR(VLOOKUP(E331,'(新)EG'!$A$3:$K$74,5,0),"")</f>
        <v/>
      </c>
      <c r="E331" s="25">
        <f>'(新)EG'!A334</f>
        <v>0</v>
      </c>
      <c r="F331" s="16" t="str">
        <f>IFERROR(VLOOKUP(E331,'(新)EG'!$A$3:$K$75,8,0),"")</f>
        <v/>
      </c>
      <c r="G331" s="7" t="str">
        <f>IFERROR(VLOOKUP(E331,'(旧)EG'!$A$3:$K$92,10,0),"")</f>
        <v/>
      </c>
      <c r="H331" s="12" t="s">
        <v>60</v>
      </c>
      <c r="I331" s="7" t="str">
        <f>IFERROR(VLOOKUP(E331,'(新)EG'!$A$3:$K$75,10,0),"")</f>
        <v/>
      </c>
    </row>
    <row r="332" spans="1:9" s="19" customFormat="1" ht="13.8" thickBot="1" x14ac:dyDescent="0.2">
      <c r="A332" s="11">
        <v>351</v>
      </c>
      <c r="B332" s="7" t="str">
        <f>IFERROR(VLOOKUP(E332,'(新)EG'!$A$3:$K$74,2,0),"")</f>
        <v/>
      </c>
      <c r="C332" s="7" t="str">
        <f>IFERROR(VLOOKUP(E332,'(新)EG'!$A$3:$K$74,4,0),"")</f>
        <v/>
      </c>
      <c r="D332" s="15" t="str">
        <f>IFERROR(VLOOKUP(E332,'(新)EG'!$A$3:$K$74,5,0),"")</f>
        <v/>
      </c>
      <c r="E332" s="25">
        <f>'(新)EG'!A335</f>
        <v>0</v>
      </c>
      <c r="F332" s="16" t="str">
        <f>IFERROR(VLOOKUP(E332,'(新)EG'!$A$3:$K$75,8,0),"")</f>
        <v/>
      </c>
      <c r="G332" s="7" t="str">
        <f>IFERROR(VLOOKUP(E332,'(旧)EG'!$A$3:$K$92,10,0),"")</f>
        <v/>
      </c>
      <c r="H332" s="12" t="s">
        <v>60</v>
      </c>
      <c r="I332" s="7" t="str">
        <f>IFERROR(VLOOKUP(E332,'(新)EG'!$A$3:$K$75,10,0),"")</f>
        <v/>
      </c>
    </row>
    <row r="333" spans="1:9" s="19" customFormat="1" ht="13.8" thickBot="1" x14ac:dyDescent="0.2">
      <c r="A333" s="11">
        <v>352</v>
      </c>
      <c r="B333" s="7" t="str">
        <f>IFERROR(VLOOKUP(E333,'(新)EG'!$A$3:$K$74,2,0),"")</f>
        <v/>
      </c>
      <c r="C333" s="7" t="str">
        <f>IFERROR(VLOOKUP(E333,'(新)EG'!$A$3:$K$74,4,0),"")</f>
        <v/>
      </c>
      <c r="D333" s="15" t="str">
        <f>IFERROR(VLOOKUP(E333,'(新)EG'!$A$3:$K$74,5,0),"")</f>
        <v/>
      </c>
      <c r="E333" s="25">
        <f>'(新)EG'!A336</f>
        <v>0</v>
      </c>
      <c r="F333" s="16" t="str">
        <f>IFERROR(VLOOKUP(E333,'(新)EG'!$A$3:$K$75,8,0),"")</f>
        <v/>
      </c>
      <c r="G333" s="7" t="str">
        <f>IFERROR(VLOOKUP(E333,'(旧)EG'!$A$3:$K$92,10,0),"")</f>
        <v/>
      </c>
      <c r="H333" s="12" t="s">
        <v>60</v>
      </c>
      <c r="I333" s="7" t="str">
        <f>IFERROR(VLOOKUP(E333,'(新)EG'!$A$3:$K$75,10,0),"")</f>
        <v/>
      </c>
    </row>
    <row r="334" spans="1:9" s="19" customFormat="1" ht="13.8" thickBot="1" x14ac:dyDescent="0.2">
      <c r="A334" s="11">
        <v>353</v>
      </c>
      <c r="B334" s="7" t="str">
        <f>IFERROR(VLOOKUP(E334,'(新)EG'!$A$3:$K$74,2,0),"")</f>
        <v/>
      </c>
      <c r="C334" s="7" t="str">
        <f>IFERROR(VLOOKUP(E334,'(新)EG'!$A$3:$K$74,4,0),"")</f>
        <v/>
      </c>
      <c r="D334" s="15" t="str">
        <f>IFERROR(VLOOKUP(E334,'(新)EG'!$A$3:$K$74,5,0),"")</f>
        <v/>
      </c>
      <c r="E334" s="25">
        <f>'(新)EG'!A337</f>
        <v>0</v>
      </c>
      <c r="F334" s="16" t="str">
        <f>IFERROR(VLOOKUP(E334,'(新)EG'!$A$3:$K$75,8,0),"")</f>
        <v/>
      </c>
      <c r="G334" s="7" t="str">
        <f>IFERROR(VLOOKUP(E334,'(旧)EG'!$A$3:$K$92,10,0),"")</f>
        <v/>
      </c>
      <c r="H334" s="12" t="s">
        <v>60</v>
      </c>
      <c r="I334" s="7" t="str">
        <f>IFERROR(VLOOKUP(E334,'(新)EG'!$A$3:$K$75,10,0),"")</f>
        <v/>
      </c>
    </row>
    <row r="335" spans="1:9" s="19" customFormat="1" ht="13.8" thickBot="1" x14ac:dyDescent="0.2">
      <c r="A335" s="11">
        <v>354</v>
      </c>
      <c r="B335" s="7" t="str">
        <f>IFERROR(VLOOKUP(E335,'(新)EG'!$A$3:$K$74,2,0),"")</f>
        <v/>
      </c>
      <c r="C335" s="7" t="str">
        <f>IFERROR(VLOOKUP(E335,'(新)EG'!$A$3:$K$74,4,0),"")</f>
        <v/>
      </c>
      <c r="D335" s="15" t="str">
        <f>IFERROR(VLOOKUP(E335,'(新)EG'!$A$3:$K$74,5,0),"")</f>
        <v/>
      </c>
      <c r="E335" s="25">
        <f>'(新)EG'!A338</f>
        <v>0</v>
      </c>
      <c r="F335" s="16" t="str">
        <f>IFERROR(VLOOKUP(E335,'(新)EG'!$A$3:$K$75,8,0),"")</f>
        <v/>
      </c>
      <c r="G335" s="7" t="str">
        <f>IFERROR(VLOOKUP(E335,'(旧)EG'!$A$3:$K$92,10,0),"")</f>
        <v/>
      </c>
      <c r="H335" s="12" t="s">
        <v>60</v>
      </c>
      <c r="I335" s="7" t="str">
        <f>IFERROR(VLOOKUP(E335,'(新)EG'!$A$3:$K$75,10,0),"")</f>
        <v/>
      </c>
    </row>
    <row r="336" spans="1:9" s="19" customFormat="1" ht="13.8" thickBot="1" x14ac:dyDescent="0.2">
      <c r="A336" s="11">
        <v>355</v>
      </c>
      <c r="B336" s="7" t="str">
        <f>IFERROR(VLOOKUP(E336,'(新)EG'!$A$3:$K$74,2,0),"")</f>
        <v/>
      </c>
      <c r="C336" s="7" t="str">
        <f>IFERROR(VLOOKUP(E336,'(新)EG'!$A$3:$K$74,4,0),"")</f>
        <v/>
      </c>
      <c r="D336" s="15" t="str">
        <f>IFERROR(VLOOKUP(E336,'(新)EG'!$A$3:$K$74,5,0),"")</f>
        <v/>
      </c>
      <c r="E336" s="25">
        <f>'(新)EG'!A339</f>
        <v>0</v>
      </c>
      <c r="F336" s="16" t="str">
        <f>IFERROR(VLOOKUP(E336,'(新)EG'!$A$3:$K$75,8,0),"")</f>
        <v/>
      </c>
      <c r="G336" s="7" t="str">
        <f>IFERROR(VLOOKUP(E336,'(旧)EG'!$A$3:$K$92,10,0),"")</f>
        <v/>
      </c>
      <c r="H336" s="12" t="s">
        <v>60</v>
      </c>
      <c r="I336" s="7" t="str">
        <f>IFERROR(VLOOKUP(E336,'(新)EG'!$A$3:$K$75,10,0),"")</f>
        <v/>
      </c>
    </row>
    <row r="337" spans="1:9" s="19" customFormat="1" ht="13.8" thickBot="1" x14ac:dyDescent="0.2">
      <c r="A337" s="11">
        <v>356</v>
      </c>
      <c r="B337" s="7" t="str">
        <f>IFERROR(VLOOKUP(E337,'(新)EG'!$A$3:$K$74,2,0),"")</f>
        <v/>
      </c>
      <c r="C337" s="7" t="str">
        <f>IFERROR(VLOOKUP(E337,'(新)EG'!$A$3:$K$74,4,0),"")</f>
        <v/>
      </c>
      <c r="D337" s="15" t="str">
        <f>IFERROR(VLOOKUP(E337,'(新)EG'!$A$3:$K$74,5,0),"")</f>
        <v/>
      </c>
      <c r="E337" s="25">
        <f>'(新)EG'!A340</f>
        <v>0</v>
      </c>
      <c r="F337" s="16" t="str">
        <f>IFERROR(VLOOKUP(E337,'(新)EG'!$A$3:$K$75,8,0),"")</f>
        <v/>
      </c>
      <c r="G337" s="7" t="str">
        <f>IFERROR(VLOOKUP(E337,'(旧)EG'!$A$3:$K$92,10,0),"")</f>
        <v/>
      </c>
      <c r="H337" s="12" t="s">
        <v>60</v>
      </c>
      <c r="I337" s="7" t="str">
        <f>IFERROR(VLOOKUP(E337,'(新)EG'!$A$3:$K$75,10,0),"")</f>
        <v/>
      </c>
    </row>
    <row r="338" spans="1:9" s="19" customFormat="1" ht="13.8" thickBot="1" x14ac:dyDescent="0.2">
      <c r="A338" s="11">
        <v>357</v>
      </c>
      <c r="B338" s="7" t="str">
        <f>IFERROR(VLOOKUP(E338,'(新)EG'!$A$3:$K$74,2,0),"")</f>
        <v/>
      </c>
      <c r="C338" s="7" t="str">
        <f>IFERROR(VLOOKUP(E338,'(新)EG'!$A$3:$K$74,4,0),"")</f>
        <v/>
      </c>
      <c r="D338" s="15" t="str">
        <f>IFERROR(VLOOKUP(E338,'(新)EG'!$A$3:$K$74,5,0),"")</f>
        <v/>
      </c>
      <c r="E338" s="25">
        <f>'(新)EG'!A341</f>
        <v>0</v>
      </c>
      <c r="F338" s="16" t="str">
        <f>IFERROR(VLOOKUP(E338,'(新)EG'!$A$3:$K$75,8,0),"")</f>
        <v/>
      </c>
      <c r="G338" s="7" t="str">
        <f>IFERROR(VLOOKUP(E338,'(旧)EG'!$A$3:$K$92,10,0),"")</f>
        <v/>
      </c>
      <c r="H338" s="12" t="s">
        <v>60</v>
      </c>
      <c r="I338" s="7" t="str">
        <f>IFERROR(VLOOKUP(E338,'(新)EG'!$A$3:$K$75,10,0),"")</f>
        <v/>
      </c>
    </row>
    <row r="339" spans="1:9" s="19" customFormat="1" ht="13.8" thickBot="1" x14ac:dyDescent="0.2">
      <c r="A339" s="11">
        <v>358</v>
      </c>
      <c r="B339" s="7" t="str">
        <f>IFERROR(VLOOKUP(E339,'(新)EG'!$A$3:$K$74,2,0),"")</f>
        <v/>
      </c>
      <c r="C339" s="7" t="str">
        <f>IFERROR(VLOOKUP(E339,'(新)EG'!$A$3:$K$74,4,0),"")</f>
        <v/>
      </c>
      <c r="D339" s="15" t="str">
        <f>IFERROR(VLOOKUP(E339,'(新)EG'!$A$3:$K$74,5,0),"")</f>
        <v/>
      </c>
      <c r="E339" s="25">
        <f>'(新)EG'!A342</f>
        <v>0</v>
      </c>
      <c r="F339" s="16" t="str">
        <f>IFERROR(VLOOKUP(E339,'(新)EG'!$A$3:$K$75,8,0),"")</f>
        <v/>
      </c>
      <c r="G339" s="7" t="str">
        <f>IFERROR(VLOOKUP(E339,'(旧)EG'!$A$3:$K$92,10,0),"")</f>
        <v/>
      </c>
      <c r="H339" s="12" t="s">
        <v>60</v>
      </c>
      <c r="I339" s="7" t="str">
        <f>IFERROR(VLOOKUP(E339,'(新)EG'!$A$3:$K$75,10,0),"")</f>
        <v/>
      </c>
    </row>
    <row r="340" spans="1:9" s="19" customFormat="1" ht="13.8" thickBot="1" x14ac:dyDescent="0.2">
      <c r="A340" s="11">
        <v>359</v>
      </c>
      <c r="B340" s="7" t="str">
        <f>IFERROR(VLOOKUP(E340,'(新)EG'!$A$3:$K$74,2,0),"")</f>
        <v/>
      </c>
      <c r="C340" s="7" t="str">
        <f>IFERROR(VLOOKUP(E340,'(新)EG'!$A$3:$K$74,4,0),"")</f>
        <v/>
      </c>
      <c r="D340" s="15" t="str">
        <f>IFERROR(VLOOKUP(E340,'(新)EG'!$A$3:$K$74,5,0),"")</f>
        <v/>
      </c>
      <c r="E340" s="25">
        <f>'(新)EG'!A343</f>
        <v>0</v>
      </c>
      <c r="F340" s="16" t="str">
        <f>IFERROR(VLOOKUP(E340,'(新)EG'!$A$3:$K$75,8,0),"")</f>
        <v/>
      </c>
      <c r="G340" s="7" t="str">
        <f>IFERROR(VLOOKUP(E340,'(旧)EG'!$A$3:$K$92,10,0),"")</f>
        <v/>
      </c>
      <c r="H340" s="12" t="s">
        <v>60</v>
      </c>
      <c r="I340" s="7" t="str">
        <f>IFERROR(VLOOKUP(E340,'(新)EG'!$A$3:$K$75,10,0),"")</f>
        <v/>
      </c>
    </row>
    <row r="341" spans="1:9" s="19" customFormat="1" ht="13.8" thickBot="1" x14ac:dyDescent="0.2">
      <c r="A341" s="11">
        <v>360</v>
      </c>
      <c r="B341" s="7" t="str">
        <f>IFERROR(VLOOKUP(E341,'(新)EG'!$A$3:$K$74,2,0),"")</f>
        <v/>
      </c>
      <c r="C341" s="7" t="str">
        <f>IFERROR(VLOOKUP(E341,'(新)EG'!$A$3:$K$74,4,0),"")</f>
        <v/>
      </c>
      <c r="D341" s="15" t="str">
        <f>IFERROR(VLOOKUP(E341,'(新)EG'!$A$3:$K$74,5,0),"")</f>
        <v/>
      </c>
      <c r="E341" s="25">
        <f>'(新)EG'!A344</f>
        <v>0</v>
      </c>
      <c r="F341" s="16" t="str">
        <f>IFERROR(VLOOKUP(E341,'(新)EG'!$A$3:$K$75,8,0),"")</f>
        <v/>
      </c>
      <c r="G341" s="7" t="str">
        <f>IFERROR(VLOOKUP(E341,'(旧)EG'!$A$3:$K$92,10,0),"")</f>
        <v/>
      </c>
      <c r="H341" s="12" t="s">
        <v>60</v>
      </c>
      <c r="I341" s="7" t="str">
        <f>IFERROR(VLOOKUP(E341,'(新)EG'!$A$3:$K$75,10,0),"")</f>
        <v/>
      </c>
    </row>
    <row r="342" spans="1:9" s="19" customFormat="1" ht="13.8" thickBot="1" x14ac:dyDescent="0.2">
      <c r="A342" s="11">
        <v>361</v>
      </c>
      <c r="B342" s="7" t="str">
        <f>IFERROR(VLOOKUP(E342,'(新)EG'!$A$3:$K$74,2,0),"")</f>
        <v/>
      </c>
      <c r="C342" s="7" t="str">
        <f>IFERROR(VLOOKUP(E342,'(新)EG'!$A$3:$K$74,4,0),"")</f>
        <v/>
      </c>
      <c r="D342" s="15" t="str">
        <f>IFERROR(VLOOKUP(E342,'(新)EG'!$A$3:$K$74,5,0),"")</f>
        <v/>
      </c>
      <c r="E342" s="25">
        <f>'(新)EG'!A345</f>
        <v>0</v>
      </c>
      <c r="F342" s="16" t="str">
        <f>IFERROR(VLOOKUP(E342,'(新)EG'!$A$3:$K$75,8,0),"")</f>
        <v/>
      </c>
      <c r="G342" s="7" t="str">
        <f>IFERROR(VLOOKUP(E342,'(旧)EG'!$A$3:$K$92,10,0),"")</f>
        <v/>
      </c>
      <c r="H342" s="12" t="s">
        <v>60</v>
      </c>
      <c r="I342" s="7" t="str">
        <f>IFERROR(VLOOKUP(E342,'(新)EG'!$A$3:$K$75,10,0),"")</f>
        <v/>
      </c>
    </row>
    <row r="343" spans="1:9" s="19" customFormat="1" ht="13.8" thickBot="1" x14ac:dyDescent="0.2">
      <c r="A343" s="11">
        <v>362</v>
      </c>
      <c r="B343" s="7" t="str">
        <f>IFERROR(VLOOKUP(E343,'(新)EG'!$A$3:$K$74,2,0),"")</f>
        <v/>
      </c>
      <c r="C343" s="7" t="str">
        <f>IFERROR(VLOOKUP(E343,'(新)EG'!$A$3:$K$74,4,0),"")</f>
        <v/>
      </c>
      <c r="D343" s="15" t="str">
        <f>IFERROR(VLOOKUP(E343,'(新)EG'!$A$3:$K$74,5,0),"")</f>
        <v/>
      </c>
      <c r="E343" s="25">
        <f>'(新)EG'!A346</f>
        <v>0</v>
      </c>
      <c r="F343" s="16" t="str">
        <f>IFERROR(VLOOKUP(E343,'(新)EG'!$A$3:$K$75,8,0),"")</f>
        <v/>
      </c>
      <c r="G343" s="7" t="str">
        <f>IFERROR(VLOOKUP(E343,'(旧)EG'!$A$3:$K$92,10,0),"")</f>
        <v/>
      </c>
      <c r="H343" s="12" t="s">
        <v>60</v>
      </c>
      <c r="I343" s="7" t="str">
        <f>IFERROR(VLOOKUP(E343,'(新)EG'!$A$3:$K$75,10,0),"")</f>
        <v/>
      </c>
    </row>
    <row r="344" spans="1:9" s="19" customFormat="1" ht="13.8" thickBot="1" x14ac:dyDescent="0.2">
      <c r="A344" s="11">
        <v>363</v>
      </c>
      <c r="B344" s="7" t="str">
        <f>IFERROR(VLOOKUP(E344,'(新)EG'!$A$3:$K$74,2,0),"")</f>
        <v/>
      </c>
      <c r="C344" s="7" t="str">
        <f>IFERROR(VLOOKUP(E344,'(新)EG'!$A$3:$K$74,4,0),"")</f>
        <v/>
      </c>
      <c r="D344" s="15" t="str">
        <f>IFERROR(VLOOKUP(E344,'(新)EG'!$A$3:$K$74,5,0),"")</f>
        <v/>
      </c>
      <c r="E344" s="25">
        <f>'(新)EG'!A347</f>
        <v>0</v>
      </c>
      <c r="F344" s="16" t="str">
        <f>IFERROR(VLOOKUP(E344,'(新)EG'!$A$3:$K$75,8,0),"")</f>
        <v/>
      </c>
      <c r="G344" s="7" t="str">
        <f>IFERROR(VLOOKUP(E344,'(旧)EG'!$A$3:$K$92,10,0),"")</f>
        <v/>
      </c>
      <c r="H344" s="12" t="s">
        <v>60</v>
      </c>
      <c r="I344" s="7" t="str">
        <f>IFERROR(VLOOKUP(E344,'(新)EG'!$A$3:$K$75,10,0),"")</f>
        <v/>
      </c>
    </row>
    <row r="345" spans="1:9" s="19" customFormat="1" ht="13.8" thickBot="1" x14ac:dyDescent="0.2">
      <c r="A345" s="11">
        <v>364</v>
      </c>
      <c r="B345" s="7" t="str">
        <f>IFERROR(VLOOKUP(E345,'(新)EG'!$A$3:$K$74,2,0),"")</f>
        <v/>
      </c>
      <c r="C345" s="7" t="str">
        <f>IFERROR(VLOOKUP(E345,'(新)EG'!$A$3:$K$74,4,0),"")</f>
        <v/>
      </c>
      <c r="D345" s="15" t="str">
        <f>IFERROR(VLOOKUP(E345,'(新)EG'!$A$3:$K$74,5,0),"")</f>
        <v/>
      </c>
      <c r="E345" s="25">
        <f>'(新)EG'!A348</f>
        <v>0</v>
      </c>
      <c r="F345" s="16" t="str">
        <f>IFERROR(VLOOKUP(E345,'(新)EG'!$A$3:$K$75,8,0),"")</f>
        <v/>
      </c>
      <c r="G345" s="7" t="str">
        <f>IFERROR(VLOOKUP(E345,'(旧)EG'!$A$3:$K$92,10,0),"")</f>
        <v/>
      </c>
      <c r="H345" s="12" t="s">
        <v>60</v>
      </c>
      <c r="I345" s="7" t="str">
        <f>IFERROR(VLOOKUP(E345,'(新)EG'!$A$3:$K$75,10,0),"")</f>
        <v/>
      </c>
    </row>
    <row r="346" spans="1:9" s="19" customFormat="1" ht="13.8" thickBot="1" x14ac:dyDescent="0.2">
      <c r="A346" s="11">
        <v>365</v>
      </c>
      <c r="B346" s="7" t="str">
        <f>IFERROR(VLOOKUP(E346,'(新)EG'!$A$3:$K$74,2,0),"")</f>
        <v/>
      </c>
      <c r="C346" s="7" t="str">
        <f>IFERROR(VLOOKUP(E346,'(新)EG'!$A$3:$K$74,4,0),"")</f>
        <v/>
      </c>
      <c r="D346" s="15" t="str">
        <f>IFERROR(VLOOKUP(E346,'(新)EG'!$A$3:$K$74,5,0),"")</f>
        <v/>
      </c>
      <c r="E346" s="25">
        <f>'(新)EG'!A349</f>
        <v>0</v>
      </c>
      <c r="F346" s="16" t="str">
        <f>IFERROR(VLOOKUP(E346,'(新)EG'!$A$3:$K$75,8,0),"")</f>
        <v/>
      </c>
      <c r="G346" s="7" t="str">
        <f>IFERROR(VLOOKUP(E346,'(旧)EG'!$A$3:$K$92,10,0),"")</f>
        <v/>
      </c>
      <c r="H346" s="12" t="s">
        <v>60</v>
      </c>
      <c r="I346" s="7" t="str">
        <f>IFERROR(VLOOKUP(E346,'(新)EG'!$A$3:$K$75,10,0),"")</f>
        <v/>
      </c>
    </row>
    <row r="347" spans="1:9" s="19" customFormat="1" ht="13.8" thickBot="1" x14ac:dyDescent="0.2">
      <c r="A347" s="11">
        <v>366</v>
      </c>
      <c r="B347" s="7" t="str">
        <f>IFERROR(VLOOKUP(E347,'(新)EG'!$A$3:$K$74,2,0),"")</f>
        <v/>
      </c>
      <c r="C347" s="7" t="str">
        <f>IFERROR(VLOOKUP(E347,'(新)EG'!$A$3:$K$74,4,0),"")</f>
        <v/>
      </c>
      <c r="D347" s="15" t="str">
        <f>IFERROR(VLOOKUP(E347,'(新)EG'!$A$3:$K$74,5,0),"")</f>
        <v/>
      </c>
      <c r="E347" s="25">
        <f>'(新)EG'!A350</f>
        <v>0</v>
      </c>
      <c r="F347" s="16" t="str">
        <f>IFERROR(VLOOKUP(E347,'(新)EG'!$A$3:$K$75,8,0),"")</f>
        <v/>
      </c>
      <c r="G347" s="7" t="str">
        <f>IFERROR(VLOOKUP(E347,'(旧)EG'!$A$3:$K$92,10,0),"")</f>
        <v/>
      </c>
      <c r="H347" s="12" t="s">
        <v>60</v>
      </c>
      <c r="I347" s="7" t="str">
        <f>IFERROR(VLOOKUP(E347,'(新)EG'!$A$3:$K$75,10,0),"")</f>
        <v/>
      </c>
    </row>
    <row r="348" spans="1:9" s="19" customFormat="1" ht="13.8" thickBot="1" x14ac:dyDescent="0.2">
      <c r="A348" s="11">
        <v>367</v>
      </c>
      <c r="B348" s="7" t="str">
        <f>IFERROR(VLOOKUP(E348,'(新)EG'!$A$3:$K$74,2,0),"")</f>
        <v/>
      </c>
      <c r="C348" s="7" t="str">
        <f>IFERROR(VLOOKUP(E348,'(新)EG'!$A$3:$K$74,4,0),"")</f>
        <v/>
      </c>
      <c r="D348" s="15" t="str">
        <f>IFERROR(VLOOKUP(E348,'(新)EG'!$A$3:$K$74,5,0),"")</f>
        <v/>
      </c>
      <c r="E348" s="25">
        <f>'(新)EG'!A351</f>
        <v>0</v>
      </c>
      <c r="F348" s="16" t="str">
        <f>IFERROR(VLOOKUP(E348,'(新)EG'!$A$3:$K$75,8,0),"")</f>
        <v/>
      </c>
      <c r="G348" s="7" t="str">
        <f>IFERROR(VLOOKUP(E348,'(旧)EG'!$A$3:$K$92,10,0),"")</f>
        <v/>
      </c>
      <c r="H348" s="12" t="s">
        <v>60</v>
      </c>
      <c r="I348" s="7" t="str">
        <f>IFERROR(VLOOKUP(E348,'(新)EG'!$A$3:$K$75,10,0),"")</f>
        <v/>
      </c>
    </row>
    <row r="349" spans="1:9" s="19" customFormat="1" ht="13.8" thickBot="1" x14ac:dyDescent="0.2">
      <c r="A349" s="11">
        <v>368</v>
      </c>
      <c r="B349" s="7" t="str">
        <f>IFERROR(VLOOKUP(E349,'(新)EG'!$A$3:$K$74,2,0),"")</f>
        <v/>
      </c>
      <c r="C349" s="7" t="str">
        <f>IFERROR(VLOOKUP(E349,'(新)EG'!$A$3:$K$74,4,0),"")</f>
        <v/>
      </c>
      <c r="D349" s="15" t="str">
        <f>IFERROR(VLOOKUP(E349,'(新)EG'!$A$3:$K$74,5,0),"")</f>
        <v/>
      </c>
      <c r="E349" s="25">
        <f>'(新)EG'!A352</f>
        <v>0</v>
      </c>
      <c r="F349" s="16" t="str">
        <f>IFERROR(VLOOKUP(E349,'(新)EG'!$A$3:$K$75,8,0),"")</f>
        <v/>
      </c>
      <c r="G349" s="7" t="str">
        <f>IFERROR(VLOOKUP(E349,'(旧)EG'!$A$3:$K$92,10,0),"")</f>
        <v/>
      </c>
      <c r="H349" s="12" t="s">
        <v>60</v>
      </c>
      <c r="I349" s="7" t="str">
        <f>IFERROR(VLOOKUP(E349,'(新)EG'!$A$3:$K$75,10,0),"")</f>
        <v/>
      </c>
    </row>
    <row r="350" spans="1:9" s="19" customFormat="1" ht="13.8" thickBot="1" x14ac:dyDescent="0.2">
      <c r="A350" s="11">
        <v>369</v>
      </c>
      <c r="B350" s="7" t="str">
        <f>IFERROR(VLOOKUP(E350,'(新)EG'!$A$3:$K$74,2,0),"")</f>
        <v/>
      </c>
      <c r="C350" s="7" t="str">
        <f>IFERROR(VLOOKUP(E350,'(新)EG'!$A$3:$K$74,4,0),"")</f>
        <v/>
      </c>
      <c r="D350" s="15" t="str">
        <f>IFERROR(VLOOKUP(E350,'(新)EG'!$A$3:$K$74,5,0),"")</f>
        <v/>
      </c>
      <c r="E350" s="25">
        <f>'(新)EG'!A353</f>
        <v>0</v>
      </c>
      <c r="F350" s="16" t="str">
        <f>IFERROR(VLOOKUP(E350,'(新)EG'!$A$3:$K$75,8,0),"")</f>
        <v/>
      </c>
      <c r="G350" s="7" t="str">
        <f>IFERROR(VLOOKUP(E350,'(旧)EG'!$A$3:$K$92,10,0),"")</f>
        <v/>
      </c>
      <c r="H350" s="12" t="s">
        <v>60</v>
      </c>
      <c r="I350" s="7" t="str">
        <f>IFERROR(VLOOKUP(E350,'(新)EG'!$A$3:$K$75,10,0),"")</f>
        <v/>
      </c>
    </row>
    <row r="351" spans="1:9" s="19" customFormat="1" ht="13.8" thickBot="1" x14ac:dyDescent="0.2">
      <c r="A351" s="11">
        <v>370</v>
      </c>
      <c r="B351" s="7" t="str">
        <f>IFERROR(VLOOKUP(E351,'(新)EG'!$A$3:$K$74,2,0),"")</f>
        <v/>
      </c>
      <c r="C351" s="7" t="str">
        <f>IFERROR(VLOOKUP(E351,'(新)EG'!$A$3:$K$74,4,0),"")</f>
        <v/>
      </c>
      <c r="D351" s="15" t="str">
        <f>IFERROR(VLOOKUP(E351,'(新)EG'!$A$3:$K$74,5,0),"")</f>
        <v/>
      </c>
      <c r="E351" s="25">
        <f>'(新)EG'!A354</f>
        <v>0</v>
      </c>
      <c r="F351" s="16" t="str">
        <f>IFERROR(VLOOKUP(E351,'(新)EG'!$A$3:$K$75,8,0),"")</f>
        <v/>
      </c>
      <c r="G351" s="7" t="str">
        <f>IFERROR(VLOOKUP(E351,'(旧)EG'!$A$3:$K$92,10,0),"")</f>
        <v/>
      </c>
      <c r="H351" s="12" t="s">
        <v>60</v>
      </c>
      <c r="I351" s="7" t="str">
        <f>IFERROR(VLOOKUP(E351,'(新)EG'!$A$3:$K$75,10,0),"")</f>
        <v/>
      </c>
    </row>
    <row r="352" spans="1:9" s="19" customFormat="1" ht="13.8" thickBot="1" x14ac:dyDescent="0.2">
      <c r="A352" s="11">
        <v>371</v>
      </c>
      <c r="B352" s="7" t="str">
        <f>IFERROR(VLOOKUP(E352,'(新)EG'!$A$3:$K$74,2,0),"")</f>
        <v/>
      </c>
      <c r="C352" s="7" t="str">
        <f>IFERROR(VLOOKUP(E352,'(新)EG'!$A$3:$K$74,4,0),"")</f>
        <v/>
      </c>
      <c r="D352" s="15" t="str">
        <f>IFERROR(VLOOKUP(E352,'(新)EG'!$A$3:$K$74,5,0),"")</f>
        <v/>
      </c>
      <c r="E352" s="25">
        <f>'(新)EG'!A355</f>
        <v>0</v>
      </c>
      <c r="F352" s="16" t="str">
        <f>IFERROR(VLOOKUP(E352,'(新)EG'!$A$3:$K$75,8,0),"")</f>
        <v/>
      </c>
      <c r="G352" s="7" t="str">
        <f>IFERROR(VLOOKUP(E352,'(旧)EG'!$A$3:$K$92,10,0),"")</f>
        <v/>
      </c>
      <c r="H352" s="12" t="s">
        <v>60</v>
      </c>
      <c r="I352" s="7" t="str">
        <f>IFERROR(VLOOKUP(E352,'(新)EG'!$A$3:$K$75,10,0),"")</f>
        <v/>
      </c>
    </row>
    <row r="353" spans="1:9" s="19" customFormat="1" ht="13.8" thickBot="1" x14ac:dyDescent="0.2">
      <c r="A353" s="11">
        <v>372</v>
      </c>
      <c r="B353" s="7" t="str">
        <f>IFERROR(VLOOKUP(E353,'(新)EG'!$A$3:$K$74,2,0),"")</f>
        <v/>
      </c>
      <c r="C353" s="7" t="str">
        <f>IFERROR(VLOOKUP(E353,'(新)EG'!$A$3:$K$74,4,0),"")</f>
        <v/>
      </c>
      <c r="D353" s="15" t="str">
        <f>IFERROR(VLOOKUP(E353,'(新)EG'!$A$3:$K$74,5,0),"")</f>
        <v/>
      </c>
      <c r="E353" s="25">
        <f>'(新)EG'!A356</f>
        <v>0</v>
      </c>
      <c r="F353" s="16" t="str">
        <f>IFERROR(VLOOKUP(E353,'(新)EG'!$A$3:$K$75,8,0),"")</f>
        <v/>
      </c>
      <c r="G353" s="7" t="str">
        <f>IFERROR(VLOOKUP(E353,'(旧)EG'!$A$3:$K$92,10,0),"")</f>
        <v/>
      </c>
      <c r="H353" s="12" t="s">
        <v>60</v>
      </c>
      <c r="I353" s="7" t="str">
        <f>IFERROR(VLOOKUP(E353,'(新)EG'!$A$3:$K$75,10,0),"")</f>
        <v/>
      </c>
    </row>
    <row r="354" spans="1:9" s="19" customFormat="1" ht="13.8" thickBot="1" x14ac:dyDescent="0.2">
      <c r="A354" s="11">
        <v>373</v>
      </c>
      <c r="B354" s="7" t="str">
        <f>IFERROR(VLOOKUP(E354,'(新)EG'!$A$3:$K$74,2,0),"")</f>
        <v/>
      </c>
      <c r="C354" s="7" t="str">
        <f>IFERROR(VLOOKUP(E354,'(新)EG'!$A$3:$K$74,4,0),"")</f>
        <v/>
      </c>
      <c r="D354" s="15" t="str">
        <f>IFERROR(VLOOKUP(E354,'(新)EG'!$A$3:$K$74,5,0),"")</f>
        <v/>
      </c>
      <c r="E354" s="25">
        <f>'(新)EG'!A357</f>
        <v>0</v>
      </c>
      <c r="F354" s="16" t="str">
        <f>IFERROR(VLOOKUP(E354,'(新)EG'!$A$3:$K$75,8,0),"")</f>
        <v/>
      </c>
      <c r="G354" s="7" t="str">
        <f>IFERROR(VLOOKUP(E354,'(旧)EG'!$A$3:$K$92,10,0),"")</f>
        <v/>
      </c>
      <c r="H354" s="12" t="s">
        <v>60</v>
      </c>
      <c r="I354" s="7" t="str">
        <f>IFERROR(VLOOKUP(E354,'(新)EG'!$A$3:$K$75,10,0),"")</f>
        <v/>
      </c>
    </row>
    <row r="355" spans="1:9" s="19" customFormat="1" ht="13.8" thickBot="1" x14ac:dyDescent="0.2">
      <c r="A355" s="11">
        <v>374</v>
      </c>
      <c r="B355" s="7" t="str">
        <f>IFERROR(VLOOKUP(E355,'(新)EG'!$A$3:$K$74,2,0),"")</f>
        <v/>
      </c>
      <c r="C355" s="7" t="str">
        <f>IFERROR(VLOOKUP(E355,'(新)EG'!$A$3:$K$74,4,0),"")</f>
        <v/>
      </c>
      <c r="D355" s="15" t="str">
        <f>IFERROR(VLOOKUP(E355,'(新)EG'!$A$3:$K$74,5,0),"")</f>
        <v/>
      </c>
      <c r="E355" s="25">
        <f>'(新)EG'!A358</f>
        <v>0</v>
      </c>
      <c r="F355" s="16" t="str">
        <f>IFERROR(VLOOKUP(E355,'(新)EG'!$A$3:$K$75,8,0),"")</f>
        <v/>
      </c>
      <c r="G355" s="7" t="str">
        <f>IFERROR(VLOOKUP(E355,'(旧)EG'!$A$3:$K$92,10,0),"")</f>
        <v/>
      </c>
      <c r="H355" s="12" t="s">
        <v>60</v>
      </c>
      <c r="I355" s="7" t="str">
        <f>IFERROR(VLOOKUP(E355,'(新)EG'!$A$3:$K$75,10,0),"")</f>
        <v/>
      </c>
    </row>
    <row r="356" spans="1:9" s="19" customFormat="1" ht="13.8" thickBot="1" x14ac:dyDescent="0.2">
      <c r="A356" s="11">
        <v>375</v>
      </c>
      <c r="B356" s="7" t="str">
        <f>IFERROR(VLOOKUP(E356,'(新)EG'!$A$3:$K$74,2,0),"")</f>
        <v/>
      </c>
      <c r="C356" s="7" t="str">
        <f>IFERROR(VLOOKUP(E356,'(新)EG'!$A$3:$K$74,4,0),"")</f>
        <v/>
      </c>
      <c r="D356" s="15" t="str">
        <f>IFERROR(VLOOKUP(E356,'(新)EG'!$A$3:$K$74,5,0),"")</f>
        <v/>
      </c>
      <c r="E356" s="25">
        <f>'(新)EG'!A359</f>
        <v>0</v>
      </c>
      <c r="F356" s="16" t="str">
        <f>IFERROR(VLOOKUP(E356,'(新)EG'!$A$3:$K$75,8,0),"")</f>
        <v/>
      </c>
      <c r="G356" s="7" t="str">
        <f>IFERROR(VLOOKUP(E356,'(旧)EG'!$A$3:$K$92,10,0),"")</f>
        <v/>
      </c>
      <c r="H356" s="12" t="s">
        <v>60</v>
      </c>
      <c r="I356" s="7" t="str">
        <f>IFERROR(VLOOKUP(E356,'(新)EG'!$A$3:$K$75,10,0),"")</f>
        <v/>
      </c>
    </row>
    <row r="357" spans="1:9" s="19" customFormat="1" ht="13.8" thickBot="1" x14ac:dyDescent="0.2">
      <c r="A357" s="11">
        <v>376</v>
      </c>
      <c r="B357" s="7" t="str">
        <f>IFERROR(VLOOKUP(E357,'(新)EG'!$A$3:$K$74,2,0),"")</f>
        <v/>
      </c>
      <c r="C357" s="7" t="str">
        <f>IFERROR(VLOOKUP(E357,'(新)EG'!$A$3:$K$74,4,0),"")</f>
        <v/>
      </c>
      <c r="D357" s="15" t="str">
        <f>IFERROR(VLOOKUP(E357,'(新)EG'!$A$3:$K$74,5,0),"")</f>
        <v/>
      </c>
      <c r="E357" s="25">
        <f>'(新)EG'!A360</f>
        <v>0</v>
      </c>
      <c r="F357" s="16" t="str">
        <f>IFERROR(VLOOKUP(E357,'(新)EG'!$A$3:$K$75,8,0),"")</f>
        <v/>
      </c>
      <c r="G357" s="7" t="str">
        <f>IFERROR(VLOOKUP(E357,'(旧)EG'!$A$3:$K$92,10,0),"")</f>
        <v/>
      </c>
      <c r="H357" s="12" t="s">
        <v>60</v>
      </c>
      <c r="I357" s="7" t="str">
        <f>IFERROR(VLOOKUP(E357,'(新)EG'!$A$3:$K$75,10,0),"")</f>
        <v/>
      </c>
    </row>
    <row r="358" spans="1:9" s="19" customFormat="1" ht="13.8" thickBot="1" x14ac:dyDescent="0.2">
      <c r="A358" s="11">
        <v>377</v>
      </c>
      <c r="B358" s="7" t="str">
        <f>IFERROR(VLOOKUP(E358,'(新)EG'!$A$3:$K$74,2,0),"")</f>
        <v/>
      </c>
      <c r="C358" s="7" t="str">
        <f>IFERROR(VLOOKUP(E358,'(新)EG'!$A$3:$K$74,4,0),"")</f>
        <v/>
      </c>
      <c r="D358" s="15" t="str">
        <f>IFERROR(VLOOKUP(E358,'(新)EG'!$A$3:$K$74,5,0),"")</f>
        <v/>
      </c>
      <c r="E358" s="25">
        <f>'(新)EG'!A361</f>
        <v>0</v>
      </c>
      <c r="F358" s="16" t="str">
        <f>IFERROR(VLOOKUP(E358,'(新)EG'!$A$3:$K$75,8,0),"")</f>
        <v/>
      </c>
      <c r="G358" s="7" t="str">
        <f>IFERROR(VLOOKUP(E358,'(旧)EG'!$A$3:$K$92,10,0),"")</f>
        <v/>
      </c>
      <c r="H358" s="12" t="s">
        <v>60</v>
      </c>
      <c r="I358" s="7" t="str">
        <f>IFERROR(VLOOKUP(E358,'(新)EG'!$A$3:$K$75,10,0),"")</f>
        <v/>
      </c>
    </row>
    <row r="359" spans="1:9" s="19" customFormat="1" ht="13.8" thickBot="1" x14ac:dyDescent="0.2">
      <c r="A359" s="11">
        <v>378</v>
      </c>
      <c r="B359" s="7" t="str">
        <f>IFERROR(VLOOKUP(E359,'(新)EG'!$A$3:$K$74,2,0),"")</f>
        <v/>
      </c>
      <c r="C359" s="7" t="str">
        <f>IFERROR(VLOOKUP(E359,'(新)EG'!$A$3:$K$74,4,0),"")</f>
        <v/>
      </c>
      <c r="D359" s="15" t="str">
        <f>IFERROR(VLOOKUP(E359,'(新)EG'!$A$3:$K$74,5,0),"")</f>
        <v/>
      </c>
      <c r="E359" s="25">
        <f>'(新)EG'!A362</f>
        <v>0</v>
      </c>
      <c r="F359" s="16" t="str">
        <f>IFERROR(VLOOKUP(E359,'(新)EG'!$A$3:$K$75,8,0),"")</f>
        <v/>
      </c>
      <c r="G359" s="7" t="str">
        <f>IFERROR(VLOOKUP(E359,'(旧)EG'!$A$3:$K$92,10,0),"")</f>
        <v/>
      </c>
      <c r="H359" s="12" t="s">
        <v>60</v>
      </c>
      <c r="I359" s="7" t="str">
        <f>IFERROR(VLOOKUP(E359,'(新)EG'!$A$3:$K$75,10,0),"")</f>
        <v/>
      </c>
    </row>
    <row r="360" spans="1:9" s="19" customFormat="1" ht="13.8" thickBot="1" x14ac:dyDescent="0.2">
      <c r="A360" s="11">
        <v>379</v>
      </c>
      <c r="B360" s="7" t="str">
        <f>IFERROR(VLOOKUP(E360,'(新)EG'!$A$3:$K$74,2,0),"")</f>
        <v/>
      </c>
      <c r="C360" s="7" t="str">
        <f>IFERROR(VLOOKUP(E360,'(新)EG'!$A$3:$K$74,4,0),"")</f>
        <v/>
      </c>
      <c r="D360" s="15" t="str">
        <f>IFERROR(VLOOKUP(E360,'(新)EG'!$A$3:$K$74,5,0),"")</f>
        <v/>
      </c>
      <c r="E360" s="25">
        <f>'(新)EG'!A363</f>
        <v>0</v>
      </c>
      <c r="F360" s="16" t="str">
        <f>IFERROR(VLOOKUP(E360,'(新)EG'!$A$3:$K$75,8,0),"")</f>
        <v/>
      </c>
      <c r="G360" s="7" t="str">
        <f>IFERROR(VLOOKUP(E360,'(旧)EG'!$A$3:$K$92,10,0),"")</f>
        <v/>
      </c>
      <c r="H360" s="12" t="s">
        <v>60</v>
      </c>
      <c r="I360" s="7" t="str">
        <f>IFERROR(VLOOKUP(E360,'(新)EG'!$A$3:$K$75,10,0),"")</f>
        <v/>
      </c>
    </row>
    <row r="361" spans="1:9" s="19" customFormat="1" ht="13.8" thickBot="1" x14ac:dyDescent="0.2">
      <c r="A361" s="11">
        <v>380</v>
      </c>
      <c r="B361" s="7" t="str">
        <f>IFERROR(VLOOKUP(E361,'(新)EG'!$A$3:$K$74,2,0),"")</f>
        <v/>
      </c>
      <c r="C361" s="7" t="str">
        <f>IFERROR(VLOOKUP(E361,'(新)EG'!$A$3:$K$74,4,0),"")</f>
        <v/>
      </c>
      <c r="D361" s="15" t="str">
        <f>IFERROR(VLOOKUP(E361,'(新)EG'!$A$3:$K$74,5,0),"")</f>
        <v/>
      </c>
      <c r="E361" s="25">
        <f>'(新)EG'!A364</f>
        <v>0</v>
      </c>
      <c r="F361" s="16" t="str">
        <f>IFERROR(VLOOKUP(E361,'(新)EG'!$A$3:$K$75,8,0),"")</f>
        <v/>
      </c>
      <c r="G361" s="7" t="str">
        <f>IFERROR(VLOOKUP(E361,'(旧)EG'!$A$3:$K$92,10,0),"")</f>
        <v/>
      </c>
      <c r="H361" s="12" t="s">
        <v>60</v>
      </c>
      <c r="I361" s="7" t="str">
        <f>IFERROR(VLOOKUP(E361,'(新)EG'!$A$3:$K$75,10,0),"")</f>
        <v/>
      </c>
    </row>
    <row r="362" spans="1:9" s="19" customFormat="1" ht="13.8" thickBot="1" x14ac:dyDescent="0.2">
      <c r="A362" s="11">
        <v>381</v>
      </c>
      <c r="B362" s="7" t="str">
        <f>IFERROR(VLOOKUP(E362,'(新)EG'!$A$3:$K$74,2,0),"")</f>
        <v/>
      </c>
      <c r="C362" s="7" t="str">
        <f>IFERROR(VLOOKUP(E362,'(新)EG'!$A$3:$K$74,4,0),"")</f>
        <v/>
      </c>
      <c r="D362" s="15" t="str">
        <f>IFERROR(VLOOKUP(E362,'(新)EG'!$A$3:$K$74,5,0),"")</f>
        <v/>
      </c>
      <c r="E362" s="25">
        <f>'(新)EG'!A365</f>
        <v>0</v>
      </c>
      <c r="F362" s="16" t="str">
        <f>IFERROR(VLOOKUP(E362,'(新)EG'!$A$3:$K$75,8,0),"")</f>
        <v/>
      </c>
      <c r="G362" s="7" t="str">
        <f>IFERROR(VLOOKUP(E362,'(旧)EG'!$A$3:$K$92,10,0),"")</f>
        <v/>
      </c>
      <c r="H362" s="12" t="s">
        <v>60</v>
      </c>
      <c r="I362" s="7" t="str">
        <f>IFERROR(VLOOKUP(E362,'(新)EG'!$A$3:$K$75,10,0),"")</f>
        <v/>
      </c>
    </row>
    <row r="363" spans="1:9" s="19" customFormat="1" ht="13.8" thickBot="1" x14ac:dyDescent="0.2">
      <c r="A363" s="11">
        <v>382</v>
      </c>
      <c r="B363" s="7" t="str">
        <f>IFERROR(VLOOKUP(E363,'(新)EG'!$A$3:$K$74,2,0),"")</f>
        <v/>
      </c>
      <c r="C363" s="7" t="str">
        <f>IFERROR(VLOOKUP(E363,'(新)EG'!$A$3:$K$74,4,0),"")</f>
        <v/>
      </c>
      <c r="D363" s="15" t="str">
        <f>IFERROR(VLOOKUP(E363,'(新)EG'!$A$3:$K$74,5,0),"")</f>
        <v/>
      </c>
      <c r="E363" s="25">
        <f>'(新)EG'!A366</f>
        <v>0</v>
      </c>
      <c r="F363" s="16" t="str">
        <f>IFERROR(VLOOKUP(E363,'(新)EG'!$A$3:$K$75,8,0),"")</f>
        <v/>
      </c>
      <c r="G363" s="7" t="str">
        <f>IFERROR(VLOOKUP(E363,'(旧)EG'!$A$3:$K$92,10,0),"")</f>
        <v/>
      </c>
      <c r="H363" s="12" t="s">
        <v>60</v>
      </c>
      <c r="I363" s="7" t="str">
        <f>IFERROR(VLOOKUP(E363,'(新)EG'!$A$3:$K$75,10,0),"")</f>
        <v/>
      </c>
    </row>
    <row r="364" spans="1:9" s="19" customFormat="1" ht="13.8" thickBot="1" x14ac:dyDescent="0.2">
      <c r="A364" s="11">
        <v>383</v>
      </c>
      <c r="B364" s="7" t="str">
        <f>IFERROR(VLOOKUP(E364,'(新)EG'!$A$3:$K$74,2,0),"")</f>
        <v/>
      </c>
      <c r="C364" s="7" t="str">
        <f>IFERROR(VLOOKUP(E364,'(新)EG'!$A$3:$K$74,4,0),"")</f>
        <v/>
      </c>
      <c r="D364" s="15" t="str">
        <f>IFERROR(VLOOKUP(E364,'(新)EG'!$A$3:$K$74,5,0),"")</f>
        <v/>
      </c>
      <c r="E364" s="25">
        <f>'(新)EG'!A367</f>
        <v>0</v>
      </c>
      <c r="F364" s="16" t="str">
        <f>IFERROR(VLOOKUP(E364,'(新)EG'!$A$3:$K$75,8,0),"")</f>
        <v/>
      </c>
      <c r="G364" s="7" t="str">
        <f>IFERROR(VLOOKUP(E364,'(旧)EG'!$A$3:$K$92,10,0),"")</f>
        <v/>
      </c>
      <c r="H364" s="12" t="s">
        <v>60</v>
      </c>
      <c r="I364" s="7" t="str">
        <f>IFERROR(VLOOKUP(E364,'(新)EG'!$A$3:$K$75,10,0),"")</f>
        <v/>
      </c>
    </row>
    <row r="365" spans="1:9" s="19" customFormat="1" ht="13.8" thickBot="1" x14ac:dyDescent="0.2">
      <c r="A365" s="11">
        <v>384</v>
      </c>
      <c r="B365" s="7" t="str">
        <f>IFERROR(VLOOKUP(E365,'(新)EG'!$A$3:$K$74,2,0),"")</f>
        <v/>
      </c>
      <c r="C365" s="7" t="str">
        <f>IFERROR(VLOOKUP(E365,'(新)EG'!$A$3:$K$74,4,0),"")</f>
        <v/>
      </c>
      <c r="D365" s="15" t="str">
        <f>IFERROR(VLOOKUP(E365,'(新)EG'!$A$3:$K$74,5,0),"")</f>
        <v/>
      </c>
      <c r="E365" s="25">
        <f>'(新)EG'!A368</f>
        <v>0</v>
      </c>
      <c r="F365" s="16" t="str">
        <f>IFERROR(VLOOKUP(E365,'(新)EG'!$A$3:$K$75,8,0),"")</f>
        <v/>
      </c>
      <c r="G365" s="7" t="str">
        <f>IFERROR(VLOOKUP(E365,'(旧)EG'!$A$3:$K$92,10,0),"")</f>
        <v/>
      </c>
      <c r="H365" s="12" t="s">
        <v>60</v>
      </c>
      <c r="I365" s="7" t="str">
        <f>IFERROR(VLOOKUP(E365,'(新)EG'!$A$3:$K$75,10,0),"")</f>
        <v/>
      </c>
    </row>
    <row r="366" spans="1:9" s="19" customFormat="1" ht="13.8" thickBot="1" x14ac:dyDescent="0.2">
      <c r="A366" s="11">
        <v>385</v>
      </c>
      <c r="B366" s="7" t="str">
        <f>IFERROR(VLOOKUP(E366,'(新)EG'!$A$3:$K$74,2,0),"")</f>
        <v/>
      </c>
      <c r="C366" s="7" t="str">
        <f>IFERROR(VLOOKUP(E366,'(新)EG'!$A$3:$K$74,4,0),"")</f>
        <v/>
      </c>
      <c r="D366" s="15" t="str">
        <f>IFERROR(VLOOKUP(E366,'(新)EG'!$A$3:$K$74,5,0),"")</f>
        <v/>
      </c>
      <c r="E366" s="25">
        <f>'(新)EG'!A369</f>
        <v>0</v>
      </c>
      <c r="F366" s="16" t="str">
        <f>IFERROR(VLOOKUP(E366,'(新)EG'!$A$3:$K$75,8,0),"")</f>
        <v/>
      </c>
      <c r="G366" s="7" t="str">
        <f>IFERROR(VLOOKUP(E366,'(旧)EG'!$A$3:$K$92,10,0),"")</f>
        <v/>
      </c>
      <c r="H366" s="12" t="s">
        <v>60</v>
      </c>
      <c r="I366" s="7" t="str">
        <f>IFERROR(VLOOKUP(E366,'(新)EG'!$A$3:$K$75,10,0),"")</f>
        <v/>
      </c>
    </row>
    <row r="367" spans="1:9" s="19" customFormat="1" ht="13.8" thickBot="1" x14ac:dyDescent="0.2">
      <c r="A367" s="11">
        <v>386</v>
      </c>
      <c r="B367" s="7" t="str">
        <f>IFERROR(VLOOKUP(E367,'(新)EG'!$A$3:$K$74,2,0),"")</f>
        <v/>
      </c>
      <c r="C367" s="7" t="str">
        <f>IFERROR(VLOOKUP(E367,'(新)EG'!$A$3:$K$74,4,0),"")</f>
        <v/>
      </c>
      <c r="D367" s="15" t="str">
        <f>IFERROR(VLOOKUP(E367,'(新)EG'!$A$3:$K$74,5,0),"")</f>
        <v/>
      </c>
      <c r="E367" s="25">
        <f>'(新)EG'!A370</f>
        <v>0</v>
      </c>
      <c r="F367" s="16" t="str">
        <f>IFERROR(VLOOKUP(E367,'(新)EG'!$A$3:$K$75,8,0),"")</f>
        <v/>
      </c>
      <c r="G367" s="7" t="str">
        <f>IFERROR(VLOOKUP(E367,'(旧)EG'!$A$3:$K$92,10,0),"")</f>
        <v/>
      </c>
      <c r="H367" s="12" t="s">
        <v>60</v>
      </c>
      <c r="I367" s="7" t="str">
        <f>IFERROR(VLOOKUP(E367,'(新)EG'!$A$3:$K$75,10,0),"")</f>
        <v/>
      </c>
    </row>
    <row r="368" spans="1:9" s="19" customFormat="1" ht="13.8" thickBot="1" x14ac:dyDescent="0.2">
      <c r="A368" s="11">
        <v>387</v>
      </c>
      <c r="B368" s="7" t="str">
        <f>IFERROR(VLOOKUP(E368,'(新)EG'!$A$3:$K$74,2,0),"")</f>
        <v/>
      </c>
      <c r="C368" s="7" t="str">
        <f>IFERROR(VLOOKUP(E368,'(新)EG'!$A$3:$K$74,4,0),"")</f>
        <v/>
      </c>
      <c r="D368" s="15" t="str">
        <f>IFERROR(VLOOKUP(E368,'(新)EG'!$A$3:$K$74,5,0),"")</f>
        <v/>
      </c>
      <c r="E368" s="25">
        <f>'(新)EG'!A371</f>
        <v>0</v>
      </c>
      <c r="F368" s="16" t="str">
        <f>IFERROR(VLOOKUP(E368,'(新)EG'!$A$3:$K$75,8,0),"")</f>
        <v/>
      </c>
      <c r="G368" s="7" t="str">
        <f>IFERROR(VLOOKUP(E368,'(旧)EG'!$A$3:$K$92,10,0),"")</f>
        <v/>
      </c>
      <c r="H368" s="12" t="s">
        <v>60</v>
      </c>
      <c r="I368" s="7" t="str">
        <f>IFERROR(VLOOKUP(E368,'(新)EG'!$A$3:$K$75,10,0),"")</f>
        <v/>
      </c>
    </row>
    <row r="369" spans="1:9" s="19" customFormat="1" ht="13.8" thickBot="1" x14ac:dyDescent="0.2">
      <c r="A369" s="11">
        <v>388</v>
      </c>
      <c r="B369" s="7" t="str">
        <f>IFERROR(VLOOKUP(E369,'(新)EG'!$A$3:$K$74,2,0),"")</f>
        <v/>
      </c>
      <c r="C369" s="7" t="str">
        <f>IFERROR(VLOOKUP(E369,'(新)EG'!$A$3:$K$74,4,0),"")</f>
        <v/>
      </c>
      <c r="D369" s="15" t="str">
        <f>IFERROR(VLOOKUP(E369,'(新)EG'!$A$3:$K$74,5,0),"")</f>
        <v/>
      </c>
      <c r="E369" s="25">
        <f>'(新)EG'!A372</f>
        <v>0</v>
      </c>
      <c r="F369" s="16" t="str">
        <f>IFERROR(VLOOKUP(E369,'(新)EG'!$A$3:$K$75,8,0),"")</f>
        <v/>
      </c>
      <c r="G369" s="7" t="str">
        <f>IFERROR(VLOOKUP(E369,'(旧)EG'!$A$3:$K$92,10,0),"")</f>
        <v/>
      </c>
      <c r="H369" s="12" t="s">
        <v>60</v>
      </c>
      <c r="I369" s="7" t="str">
        <f>IFERROR(VLOOKUP(E369,'(新)EG'!$A$3:$K$75,10,0),"")</f>
        <v/>
      </c>
    </row>
    <row r="370" spans="1:9" s="19" customFormat="1" ht="13.8" thickBot="1" x14ac:dyDescent="0.2">
      <c r="A370" s="11">
        <v>389</v>
      </c>
      <c r="B370" s="7" t="str">
        <f>IFERROR(VLOOKUP(E370,'(新)EG'!$A$3:$K$74,2,0),"")</f>
        <v/>
      </c>
      <c r="C370" s="7" t="str">
        <f>IFERROR(VLOOKUP(E370,'(新)EG'!$A$3:$K$74,4,0),"")</f>
        <v/>
      </c>
      <c r="D370" s="15" t="str">
        <f>IFERROR(VLOOKUP(E370,'(新)EG'!$A$3:$K$74,5,0),"")</f>
        <v/>
      </c>
      <c r="E370" s="25">
        <f>'(新)EG'!A373</f>
        <v>0</v>
      </c>
      <c r="F370" s="16" t="str">
        <f>IFERROR(VLOOKUP(E370,'(新)EG'!$A$3:$K$75,8,0),"")</f>
        <v/>
      </c>
      <c r="G370" s="7" t="str">
        <f>IFERROR(VLOOKUP(E370,'(旧)EG'!$A$3:$K$92,10,0),"")</f>
        <v/>
      </c>
      <c r="H370" s="12" t="s">
        <v>60</v>
      </c>
      <c r="I370" s="7" t="str">
        <f>IFERROR(VLOOKUP(E370,'(新)EG'!$A$3:$K$75,10,0),"")</f>
        <v/>
      </c>
    </row>
    <row r="371" spans="1:9" s="19" customFormat="1" ht="13.8" thickBot="1" x14ac:dyDescent="0.2">
      <c r="A371" s="11">
        <v>390</v>
      </c>
      <c r="B371" s="7" t="str">
        <f>IFERROR(VLOOKUP(E371,'(新)EG'!$A$3:$K$74,2,0),"")</f>
        <v/>
      </c>
      <c r="C371" s="7" t="str">
        <f>IFERROR(VLOOKUP(E371,'(新)EG'!$A$3:$K$74,4,0),"")</f>
        <v/>
      </c>
      <c r="D371" s="15" t="str">
        <f>IFERROR(VLOOKUP(E371,'(新)EG'!$A$3:$K$74,5,0),"")</f>
        <v/>
      </c>
      <c r="E371" s="25">
        <f>'(新)EG'!A374</f>
        <v>0</v>
      </c>
      <c r="F371" s="16" t="str">
        <f>IFERROR(VLOOKUP(E371,'(新)EG'!$A$3:$K$75,8,0),"")</f>
        <v/>
      </c>
      <c r="G371" s="7" t="str">
        <f>IFERROR(VLOOKUP(E371,'(旧)EG'!$A$3:$K$92,10,0),"")</f>
        <v/>
      </c>
      <c r="H371" s="12" t="s">
        <v>60</v>
      </c>
      <c r="I371" s="7" t="str">
        <f>IFERROR(VLOOKUP(E371,'(新)EG'!$A$3:$K$75,10,0),"")</f>
        <v/>
      </c>
    </row>
    <row r="372" spans="1:9" s="19" customFormat="1" ht="13.8" thickBot="1" x14ac:dyDescent="0.2">
      <c r="A372" s="11">
        <v>391</v>
      </c>
      <c r="B372" s="7" t="str">
        <f>IFERROR(VLOOKUP(E372,'(新)EG'!$A$3:$K$74,2,0),"")</f>
        <v/>
      </c>
      <c r="C372" s="7" t="str">
        <f>IFERROR(VLOOKUP(E372,'(新)EG'!$A$3:$K$74,4,0),"")</f>
        <v/>
      </c>
      <c r="D372" s="15" t="str">
        <f>IFERROR(VLOOKUP(E372,'(新)EG'!$A$3:$K$74,5,0),"")</f>
        <v/>
      </c>
      <c r="E372" s="25">
        <f>'(新)EG'!A375</f>
        <v>0</v>
      </c>
      <c r="F372" s="16" t="str">
        <f>IFERROR(VLOOKUP(E372,'(新)EG'!$A$3:$K$75,8,0),"")</f>
        <v/>
      </c>
      <c r="G372" s="7" t="str">
        <f>IFERROR(VLOOKUP(E372,'(旧)EG'!$A$3:$K$92,10,0),"")</f>
        <v/>
      </c>
      <c r="H372" s="12" t="s">
        <v>60</v>
      </c>
      <c r="I372" s="7" t="str">
        <f>IFERROR(VLOOKUP(E372,'(新)EG'!$A$3:$K$75,10,0),"")</f>
        <v/>
      </c>
    </row>
    <row r="373" spans="1:9" s="19" customFormat="1" ht="13.8" thickBot="1" x14ac:dyDescent="0.2">
      <c r="A373" s="11">
        <v>392</v>
      </c>
      <c r="B373" s="7" t="str">
        <f>IFERROR(VLOOKUP(E373,'(新)EG'!$A$3:$K$74,2,0),"")</f>
        <v/>
      </c>
      <c r="C373" s="7" t="str">
        <f>IFERROR(VLOOKUP(E373,'(新)EG'!$A$3:$K$74,4,0),"")</f>
        <v/>
      </c>
      <c r="D373" s="15" t="str">
        <f>IFERROR(VLOOKUP(E373,'(新)EG'!$A$3:$K$74,5,0),"")</f>
        <v/>
      </c>
      <c r="E373" s="25">
        <f>'(新)EG'!A376</f>
        <v>0</v>
      </c>
      <c r="F373" s="16" t="str">
        <f>IFERROR(VLOOKUP(E373,'(新)EG'!$A$3:$K$75,8,0),"")</f>
        <v/>
      </c>
      <c r="G373" s="7" t="str">
        <f>IFERROR(VLOOKUP(E373,'(旧)EG'!$A$3:$K$92,10,0),"")</f>
        <v/>
      </c>
      <c r="H373" s="12" t="s">
        <v>60</v>
      </c>
      <c r="I373" s="7" t="str">
        <f>IFERROR(VLOOKUP(E373,'(新)EG'!$A$3:$K$75,10,0),"")</f>
        <v/>
      </c>
    </row>
    <row r="374" spans="1:9" s="19" customFormat="1" ht="13.8" thickBot="1" x14ac:dyDescent="0.2">
      <c r="A374" s="11">
        <v>393</v>
      </c>
      <c r="B374" s="7" t="str">
        <f>IFERROR(VLOOKUP(E374,'(新)EG'!$A$3:$K$74,2,0),"")</f>
        <v/>
      </c>
      <c r="C374" s="7" t="str">
        <f>IFERROR(VLOOKUP(E374,'(新)EG'!$A$3:$K$74,4,0),"")</f>
        <v/>
      </c>
      <c r="D374" s="15" t="str">
        <f>IFERROR(VLOOKUP(E374,'(新)EG'!$A$3:$K$74,5,0),"")</f>
        <v/>
      </c>
      <c r="E374" s="25">
        <f>'(新)EG'!A377</f>
        <v>0</v>
      </c>
      <c r="F374" s="16" t="str">
        <f>IFERROR(VLOOKUP(E374,'(新)EG'!$A$3:$K$75,8,0),"")</f>
        <v/>
      </c>
      <c r="G374" s="7" t="str">
        <f>IFERROR(VLOOKUP(E374,'(旧)EG'!$A$3:$K$92,10,0),"")</f>
        <v/>
      </c>
      <c r="H374" s="12" t="s">
        <v>60</v>
      </c>
      <c r="I374" s="7" t="str">
        <f>IFERROR(VLOOKUP(E374,'(新)EG'!$A$3:$K$75,10,0),"")</f>
        <v/>
      </c>
    </row>
    <row r="375" spans="1:9" s="19" customFormat="1" ht="13.8" thickBot="1" x14ac:dyDescent="0.2">
      <c r="A375" s="11">
        <v>394</v>
      </c>
      <c r="B375" s="7" t="str">
        <f>IFERROR(VLOOKUP(E375,'(新)EG'!$A$3:$K$74,2,0),"")</f>
        <v/>
      </c>
      <c r="C375" s="7" t="str">
        <f>IFERROR(VLOOKUP(E375,'(新)EG'!$A$3:$K$74,4,0),"")</f>
        <v/>
      </c>
      <c r="D375" s="15" t="str">
        <f>IFERROR(VLOOKUP(E375,'(新)EG'!$A$3:$K$74,5,0),"")</f>
        <v/>
      </c>
      <c r="E375" s="25">
        <f>'(新)EG'!A378</f>
        <v>0</v>
      </c>
      <c r="F375" s="16" t="str">
        <f>IFERROR(VLOOKUP(E375,'(新)EG'!$A$3:$K$75,8,0),"")</f>
        <v/>
      </c>
      <c r="G375" s="7" t="str">
        <f>IFERROR(VLOOKUP(E375,'(旧)EG'!$A$3:$K$92,10,0),"")</f>
        <v/>
      </c>
      <c r="H375" s="12" t="s">
        <v>60</v>
      </c>
      <c r="I375" s="7" t="str">
        <f>IFERROR(VLOOKUP(E375,'(新)EG'!$A$3:$K$75,10,0),"")</f>
        <v/>
      </c>
    </row>
    <row r="376" spans="1:9" s="19" customFormat="1" ht="13.8" thickBot="1" x14ac:dyDescent="0.2">
      <c r="A376" s="11">
        <v>395</v>
      </c>
      <c r="B376" s="7" t="str">
        <f>IFERROR(VLOOKUP(E376,'(新)EG'!$A$3:$K$74,2,0),"")</f>
        <v/>
      </c>
      <c r="C376" s="7" t="str">
        <f>IFERROR(VLOOKUP(E376,'(新)EG'!$A$3:$K$74,4,0),"")</f>
        <v/>
      </c>
      <c r="D376" s="15" t="str">
        <f>IFERROR(VLOOKUP(E376,'(新)EG'!$A$3:$K$74,5,0),"")</f>
        <v/>
      </c>
      <c r="E376" s="25">
        <f>'(新)EG'!A379</f>
        <v>0</v>
      </c>
      <c r="F376" s="16" t="str">
        <f>IFERROR(VLOOKUP(E376,'(新)EG'!$A$3:$K$75,8,0),"")</f>
        <v/>
      </c>
      <c r="G376" s="7" t="str">
        <f>IFERROR(VLOOKUP(E376,'(旧)EG'!$A$3:$K$92,10,0),"")</f>
        <v/>
      </c>
      <c r="H376" s="12" t="s">
        <v>60</v>
      </c>
      <c r="I376" s="7" t="str">
        <f>IFERROR(VLOOKUP(E376,'(新)EG'!$A$3:$K$75,10,0),"")</f>
        <v/>
      </c>
    </row>
    <row r="377" spans="1:9" s="19" customFormat="1" ht="13.8" thickBot="1" x14ac:dyDescent="0.2">
      <c r="A377" s="11">
        <v>396</v>
      </c>
      <c r="B377" s="7" t="str">
        <f>IFERROR(VLOOKUP(E377,'(新)EG'!$A$3:$K$74,2,0),"")</f>
        <v/>
      </c>
      <c r="C377" s="7" t="str">
        <f>IFERROR(VLOOKUP(E377,'(新)EG'!$A$3:$K$74,4,0),"")</f>
        <v/>
      </c>
      <c r="D377" s="15" t="str">
        <f>IFERROR(VLOOKUP(E377,'(新)EG'!$A$3:$K$74,5,0),"")</f>
        <v/>
      </c>
      <c r="E377" s="25">
        <f>'(新)EG'!A380</f>
        <v>0</v>
      </c>
      <c r="F377" s="16" t="str">
        <f>IFERROR(VLOOKUP(E377,'(新)EG'!$A$3:$K$75,8,0),"")</f>
        <v/>
      </c>
      <c r="G377" s="7" t="str">
        <f>IFERROR(VLOOKUP(E377,'(旧)EG'!$A$3:$K$92,10,0),"")</f>
        <v/>
      </c>
      <c r="H377" s="12" t="s">
        <v>60</v>
      </c>
      <c r="I377" s="7" t="str">
        <f>IFERROR(VLOOKUP(E377,'(新)EG'!$A$3:$K$75,10,0),"")</f>
        <v/>
      </c>
    </row>
    <row r="378" spans="1:9" s="19" customFormat="1" ht="13.8" thickBot="1" x14ac:dyDescent="0.2">
      <c r="A378" s="11">
        <v>397</v>
      </c>
      <c r="B378" s="7" t="str">
        <f>IFERROR(VLOOKUP(E378,'(新)EG'!$A$3:$K$74,2,0),"")</f>
        <v/>
      </c>
      <c r="C378" s="7" t="str">
        <f>IFERROR(VLOOKUP(E378,'(新)EG'!$A$3:$K$74,4,0),"")</f>
        <v/>
      </c>
      <c r="D378" s="15" t="str">
        <f>IFERROR(VLOOKUP(E378,'(新)EG'!$A$3:$K$74,5,0),"")</f>
        <v/>
      </c>
      <c r="E378" s="25">
        <f>'(新)EG'!A381</f>
        <v>0</v>
      </c>
      <c r="F378" s="16" t="str">
        <f>IFERROR(VLOOKUP(E378,'(新)EG'!$A$3:$K$75,8,0),"")</f>
        <v/>
      </c>
      <c r="G378" s="7" t="str">
        <f>IFERROR(VLOOKUP(E378,'(旧)EG'!$A$3:$K$92,10,0),"")</f>
        <v/>
      </c>
      <c r="H378" s="12" t="s">
        <v>60</v>
      </c>
      <c r="I378" s="7" t="str">
        <f>IFERROR(VLOOKUP(E378,'(新)EG'!$A$3:$K$75,10,0),"")</f>
        <v/>
      </c>
    </row>
    <row r="379" spans="1:9" s="19" customFormat="1" ht="13.8" thickBot="1" x14ac:dyDescent="0.2">
      <c r="A379" s="11">
        <v>398</v>
      </c>
      <c r="B379" s="7" t="str">
        <f>IFERROR(VLOOKUP(E379,'(新)EG'!$A$3:$K$74,2,0),"")</f>
        <v/>
      </c>
      <c r="C379" s="7" t="str">
        <f>IFERROR(VLOOKUP(E379,'(新)EG'!$A$3:$K$74,4,0),"")</f>
        <v/>
      </c>
      <c r="D379" s="15" t="str">
        <f>IFERROR(VLOOKUP(E379,'(新)EG'!$A$3:$K$74,5,0),"")</f>
        <v/>
      </c>
      <c r="E379" s="25">
        <f>'(新)EG'!A382</f>
        <v>0</v>
      </c>
      <c r="F379" s="16" t="str">
        <f>IFERROR(VLOOKUP(E379,'(新)EG'!$A$3:$K$75,8,0),"")</f>
        <v/>
      </c>
      <c r="G379" s="7" t="str">
        <f>IFERROR(VLOOKUP(E379,'(旧)EG'!$A$3:$K$92,10,0),"")</f>
        <v/>
      </c>
      <c r="H379" s="12" t="s">
        <v>60</v>
      </c>
      <c r="I379" s="7" t="str">
        <f>IFERROR(VLOOKUP(E379,'(新)EG'!$A$3:$K$75,10,0),"")</f>
        <v/>
      </c>
    </row>
    <row r="380" spans="1:9" s="19" customFormat="1" ht="13.8" thickBot="1" x14ac:dyDescent="0.2">
      <c r="A380" s="11">
        <v>399</v>
      </c>
      <c r="B380" s="7" t="str">
        <f>IFERROR(VLOOKUP(E380,'(新)EG'!$A$3:$K$74,2,0),"")</f>
        <v/>
      </c>
      <c r="C380" s="7" t="str">
        <f>IFERROR(VLOOKUP(E380,'(新)EG'!$A$3:$K$74,4,0),"")</f>
        <v/>
      </c>
      <c r="D380" s="15" t="str">
        <f>IFERROR(VLOOKUP(E380,'(新)EG'!$A$3:$K$74,5,0),"")</f>
        <v/>
      </c>
      <c r="E380" s="25">
        <f>'(新)EG'!A383</f>
        <v>0</v>
      </c>
      <c r="F380" s="16" t="str">
        <f>IFERROR(VLOOKUP(E380,'(新)EG'!$A$3:$K$75,8,0),"")</f>
        <v/>
      </c>
      <c r="G380" s="7" t="str">
        <f>IFERROR(VLOOKUP(E380,'(旧)EG'!$A$3:$K$92,10,0),"")</f>
        <v/>
      </c>
      <c r="H380" s="12" t="s">
        <v>60</v>
      </c>
      <c r="I380" s="7" t="str">
        <f>IFERROR(VLOOKUP(E380,'(新)EG'!$A$3:$K$75,10,0),"")</f>
        <v/>
      </c>
    </row>
    <row r="381" spans="1:9" s="19" customFormat="1" ht="13.8" thickBot="1" x14ac:dyDescent="0.2">
      <c r="A381" s="11">
        <v>400</v>
      </c>
      <c r="B381" s="7" t="str">
        <f>IFERROR(VLOOKUP(E381,'(新)EG'!$A$3:$K$74,2,0),"")</f>
        <v/>
      </c>
      <c r="C381" s="7" t="str">
        <f>IFERROR(VLOOKUP(E381,'(新)EG'!$A$3:$K$74,4,0),"")</f>
        <v/>
      </c>
      <c r="D381" s="15" t="str">
        <f>IFERROR(VLOOKUP(E381,'(新)EG'!$A$3:$K$74,5,0),"")</f>
        <v/>
      </c>
      <c r="E381" s="25">
        <f>'(新)EG'!A384</f>
        <v>0</v>
      </c>
      <c r="F381" s="16" t="str">
        <f>IFERROR(VLOOKUP(E381,'(新)EG'!$A$3:$K$75,8,0),"")</f>
        <v/>
      </c>
      <c r="G381" s="7" t="str">
        <f>IFERROR(VLOOKUP(E381,'(旧)EG'!$A$3:$K$92,10,0),"")</f>
        <v/>
      </c>
      <c r="H381" s="12" t="s">
        <v>60</v>
      </c>
      <c r="I381" s="7" t="str">
        <f>IFERROR(VLOOKUP(E381,'(新)EG'!$A$3:$K$75,10,0),"")</f>
        <v/>
      </c>
    </row>
    <row r="382" spans="1:9" s="19" customFormat="1" ht="13.8" thickBot="1" x14ac:dyDescent="0.2">
      <c r="A382" s="11">
        <v>401</v>
      </c>
      <c r="B382" s="7" t="str">
        <f>IFERROR(VLOOKUP(E382,'(新)EG'!$A$3:$K$74,2,0),"")</f>
        <v/>
      </c>
      <c r="C382" s="7" t="str">
        <f>IFERROR(VLOOKUP(E382,'(新)EG'!$A$3:$K$74,4,0),"")</f>
        <v/>
      </c>
      <c r="D382" s="15" t="str">
        <f>IFERROR(VLOOKUP(E382,'(新)EG'!$A$3:$K$74,5,0),"")</f>
        <v/>
      </c>
      <c r="E382" s="25">
        <f>'(新)EG'!A385</f>
        <v>0</v>
      </c>
      <c r="F382" s="16" t="str">
        <f>IFERROR(VLOOKUP(E382,'(新)EG'!$A$3:$K$75,8,0),"")</f>
        <v/>
      </c>
      <c r="G382" s="7" t="str">
        <f>IFERROR(VLOOKUP(E382,'(旧)EG'!$A$3:$K$92,10,0),"")</f>
        <v/>
      </c>
      <c r="H382" s="12" t="s">
        <v>60</v>
      </c>
      <c r="I382" s="7" t="str">
        <f>IFERROR(VLOOKUP(E382,'(新)EG'!$A$3:$K$75,10,0),"")</f>
        <v/>
      </c>
    </row>
    <row r="383" spans="1:9" s="19" customFormat="1" ht="13.8" thickBot="1" x14ac:dyDescent="0.2">
      <c r="A383" s="11">
        <v>402</v>
      </c>
      <c r="B383" s="7" t="str">
        <f>IFERROR(VLOOKUP(E383,'(新)EG'!$A$3:$K$74,2,0),"")</f>
        <v/>
      </c>
      <c r="C383" s="7" t="str">
        <f>IFERROR(VLOOKUP(E383,'(新)EG'!$A$3:$K$74,4,0),"")</f>
        <v/>
      </c>
      <c r="D383" s="15" t="str">
        <f>IFERROR(VLOOKUP(E383,'(新)EG'!$A$3:$K$74,5,0),"")</f>
        <v/>
      </c>
      <c r="E383" s="25">
        <f>'(新)EG'!A386</f>
        <v>0</v>
      </c>
      <c r="F383" s="16" t="str">
        <f>IFERROR(VLOOKUP(E383,'(新)EG'!$A$3:$K$75,8,0),"")</f>
        <v/>
      </c>
      <c r="G383" s="7" t="str">
        <f>IFERROR(VLOOKUP(E383,'(旧)EG'!$A$3:$K$92,10,0),"")</f>
        <v/>
      </c>
      <c r="H383" s="12" t="s">
        <v>60</v>
      </c>
      <c r="I383" s="7" t="str">
        <f>IFERROR(VLOOKUP(E383,'(新)EG'!$A$3:$K$75,10,0),"")</f>
        <v/>
      </c>
    </row>
    <row r="384" spans="1:9" s="19" customFormat="1" ht="13.8" thickBot="1" x14ac:dyDescent="0.2">
      <c r="A384" s="11">
        <v>403</v>
      </c>
      <c r="B384" s="7" t="str">
        <f>IFERROR(VLOOKUP(E384,'(新)EG'!$A$3:$K$74,2,0),"")</f>
        <v/>
      </c>
      <c r="C384" s="7" t="str">
        <f>IFERROR(VLOOKUP(E384,'(新)EG'!$A$3:$K$74,4,0),"")</f>
        <v/>
      </c>
      <c r="D384" s="15" t="str">
        <f>IFERROR(VLOOKUP(E384,'(新)EG'!$A$3:$K$74,5,0),"")</f>
        <v/>
      </c>
      <c r="E384" s="25">
        <f>'(新)EG'!A387</f>
        <v>0</v>
      </c>
      <c r="F384" s="16" t="str">
        <f>IFERROR(VLOOKUP(E384,'(新)EG'!$A$3:$K$75,8,0),"")</f>
        <v/>
      </c>
      <c r="G384" s="7" t="str">
        <f>IFERROR(VLOOKUP(E384,'(旧)EG'!$A$3:$K$92,10,0),"")</f>
        <v/>
      </c>
      <c r="H384" s="12" t="s">
        <v>60</v>
      </c>
      <c r="I384" s="7" t="str">
        <f>IFERROR(VLOOKUP(E384,'(新)EG'!$A$3:$K$75,10,0),"")</f>
        <v/>
      </c>
    </row>
    <row r="385" spans="1:9" s="19" customFormat="1" ht="13.8" thickBot="1" x14ac:dyDescent="0.2">
      <c r="A385" s="11">
        <v>404</v>
      </c>
      <c r="B385" s="7" t="str">
        <f>IFERROR(VLOOKUP(E385,'(新)EG'!$A$3:$K$74,2,0),"")</f>
        <v/>
      </c>
      <c r="C385" s="7" t="str">
        <f>IFERROR(VLOOKUP(E385,'(新)EG'!$A$3:$K$74,4,0),"")</f>
        <v/>
      </c>
      <c r="D385" s="15" t="str">
        <f>IFERROR(VLOOKUP(E385,'(新)EG'!$A$3:$K$74,5,0),"")</f>
        <v/>
      </c>
      <c r="E385" s="25">
        <f>'(新)EG'!A388</f>
        <v>0</v>
      </c>
      <c r="F385" s="16" t="str">
        <f>IFERROR(VLOOKUP(E385,'(新)EG'!$A$3:$K$75,8,0),"")</f>
        <v/>
      </c>
      <c r="G385" s="7" t="str">
        <f>IFERROR(VLOOKUP(E385,'(旧)EG'!$A$3:$K$92,10,0),"")</f>
        <v/>
      </c>
      <c r="H385" s="12" t="s">
        <v>60</v>
      </c>
      <c r="I385" s="7" t="str">
        <f>IFERROR(VLOOKUP(E385,'(新)EG'!$A$3:$K$75,10,0),"")</f>
        <v/>
      </c>
    </row>
    <row r="386" spans="1:9" s="19" customFormat="1" ht="13.8" thickBot="1" x14ac:dyDescent="0.2">
      <c r="A386" s="11">
        <v>405</v>
      </c>
      <c r="B386" s="7" t="str">
        <f>IFERROR(VLOOKUP(E386,'(新)EG'!$A$3:$K$74,2,0),"")</f>
        <v/>
      </c>
      <c r="C386" s="7" t="str">
        <f>IFERROR(VLOOKUP(E386,'(新)EG'!$A$3:$K$74,4,0),"")</f>
        <v/>
      </c>
      <c r="D386" s="15" t="str">
        <f>IFERROR(VLOOKUP(E386,'(新)EG'!$A$3:$K$74,5,0),"")</f>
        <v/>
      </c>
      <c r="E386" s="25">
        <f>'(新)EG'!A389</f>
        <v>0</v>
      </c>
      <c r="F386" s="16" t="str">
        <f>IFERROR(VLOOKUP(E386,'(新)EG'!$A$3:$K$75,8,0),"")</f>
        <v/>
      </c>
      <c r="G386" s="7" t="str">
        <f>IFERROR(VLOOKUP(E386,'(旧)EG'!$A$3:$K$92,10,0),"")</f>
        <v/>
      </c>
      <c r="H386" s="12" t="s">
        <v>60</v>
      </c>
      <c r="I386" s="7" t="str">
        <f>IFERROR(VLOOKUP(E386,'(新)EG'!$A$3:$K$75,10,0),"")</f>
        <v/>
      </c>
    </row>
    <row r="387" spans="1:9" s="19" customFormat="1" ht="13.8" thickBot="1" x14ac:dyDescent="0.2">
      <c r="A387" s="11">
        <v>406</v>
      </c>
      <c r="B387" s="7" t="str">
        <f>IFERROR(VLOOKUP(E387,'(新)EG'!$A$3:$K$74,2,0),"")</f>
        <v/>
      </c>
      <c r="C387" s="7" t="str">
        <f>IFERROR(VLOOKUP(E387,'(新)EG'!$A$3:$K$74,4,0),"")</f>
        <v/>
      </c>
      <c r="D387" s="15" t="str">
        <f>IFERROR(VLOOKUP(E387,'(新)EG'!$A$3:$K$74,5,0),"")</f>
        <v/>
      </c>
      <c r="E387" s="25">
        <f>'(新)EG'!A390</f>
        <v>0</v>
      </c>
      <c r="F387" s="16" t="str">
        <f>IFERROR(VLOOKUP(E387,'(新)EG'!$A$3:$K$75,8,0),"")</f>
        <v/>
      </c>
      <c r="G387" s="7" t="str">
        <f>IFERROR(VLOOKUP(E387,'(旧)EG'!$A$3:$K$92,10,0),"")</f>
        <v/>
      </c>
      <c r="H387" s="12" t="s">
        <v>60</v>
      </c>
      <c r="I387" s="7" t="str">
        <f>IFERROR(VLOOKUP(E387,'(新)EG'!$A$3:$K$75,10,0),"")</f>
        <v/>
      </c>
    </row>
    <row r="388" spans="1:9" s="19" customFormat="1" ht="13.8" thickBot="1" x14ac:dyDescent="0.2">
      <c r="A388" s="11">
        <v>407</v>
      </c>
      <c r="B388" s="7" t="str">
        <f>IFERROR(VLOOKUP(E388,'(新)EG'!$A$3:$K$74,2,0),"")</f>
        <v/>
      </c>
      <c r="C388" s="7" t="str">
        <f>IFERROR(VLOOKUP(E388,'(新)EG'!$A$3:$K$74,4,0),"")</f>
        <v/>
      </c>
      <c r="D388" s="15" t="str">
        <f>IFERROR(VLOOKUP(E388,'(新)EG'!$A$3:$K$74,5,0),"")</f>
        <v/>
      </c>
      <c r="E388" s="25">
        <f>'(新)EG'!A391</f>
        <v>0</v>
      </c>
      <c r="F388" s="16" t="str">
        <f>IFERROR(VLOOKUP(E388,'(新)EG'!$A$3:$K$75,8,0),"")</f>
        <v/>
      </c>
      <c r="G388" s="7" t="str">
        <f>IFERROR(VLOOKUP(E388,'(旧)EG'!$A$3:$K$92,10,0),"")</f>
        <v/>
      </c>
      <c r="H388" s="12" t="s">
        <v>60</v>
      </c>
      <c r="I388" s="7" t="str">
        <f>IFERROR(VLOOKUP(E388,'(新)EG'!$A$3:$K$75,10,0),"")</f>
        <v/>
      </c>
    </row>
    <row r="389" spans="1:9" s="19" customFormat="1" ht="13.8" thickBot="1" x14ac:dyDescent="0.2">
      <c r="A389" s="11">
        <v>408</v>
      </c>
      <c r="B389" s="7" t="str">
        <f>IFERROR(VLOOKUP(E389,'(新)EG'!$A$3:$K$74,2,0),"")</f>
        <v/>
      </c>
      <c r="C389" s="7" t="str">
        <f>IFERROR(VLOOKUP(E389,'(新)EG'!$A$3:$K$74,4,0),"")</f>
        <v/>
      </c>
      <c r="D389" s="15" t="str">
        <f>IFERROR(VLOOKUP(E389,'(新)EG'!$A$3:$K$74,5,0),"")</f>
        <v/>
      </c>
      <c r="E389" s="25">
        <f>'(新)EG'!A392</f>
        <v>0</v>
      </c>
      <c r="F389" s="16" t="str">
        <f>IFERROR(VLOOKUP(E389,'(新)EG'!$A$3:$K$75,8,0),"")</f>
        <v/>
      </c>
      <c r="G389" s="7" t="str">
        <f>IFERROR(VLOOKUP(E389,'(旧)EG'!$A$3:$K$92,10,0),"")</f>
        <v/>
      </c>
      <c r="H389" s="12" t="s">
        <v>60</v>
      </c>
      <c r="I389" s="7" t="str">
        <f>IFERROR(VLOOKUP(E389,'(新)EG'!$A$3:$K$75,10,0),"")</f>
        <v/>
      </c>
    </row>
    <row r="390" spans="1:9" s="19" customFormat="1" ht="13.8" thickBot="1" x14ac:dyDescent="0.2">
      <c r="A390" s="11">
        <v>409</v>
      </c>
      <c r="B390" s="7" t="str">
        <f>IFERROR(VLOOKUP(E390,'(新)EG'!$A$3:$K$74,2,0),"")</f>
        <v/>
      </c>
      <c r="C390" s="7" t="str">
        <f>IFERROR(VLOOKUP(E390,'(新)EG'!$A$3:$K$74,4,0),"")</f>
        <v/>
      </c>
      <c r="D390" s="15" t="str">
        <f>IFERROR(VLOOKUP(E390,'(新)EG'!$A$3:$K$74,5,0),"")</f>
        <v/>
      </c>
      <c r="E390" s="25">
        <f>'(新)EG'!A393</f>
        <v>0</v>
      </c>
      <c r="F390" s="16" t="str">
        <f>IFERROR(VLOOKUP(E390,'(新)EG'!$A$3:$K$75,8,0),"")</f>
        <v/>
      </c>
      <c r="G390" s="7" t="str">
        <f>IFERROR(VLOOKUP(E390,'(旧)EG'!$A$3:$K$92,10,0),"")</f>
        <v/>
      </c>
      <c r="H390" s="12" t="s">
        <v>60</v>
      </c>
      <c r="I390" s="7" t="str">
        <f>IFERROR(VLOOKUP(E390,'(新)EG'!$A$3:$K$75,10,0),"")</f>
        <v/>
      </c>
    </row>
    <row r="391" spans="1:9" s="19" customFormat="1" ht="13.8" thickBot="1" x14ac:dyDescent="0.2">
      <c r="A391" s="11">
        <v>410</v>
      </c>
      <c r="B391" s="7" t="str">
        <f>IFERROR(VLOOKUP(E391,'(新)EG'!$A$3:$K$74,2,0),"")</f>
        <v/>
      </c>
      <c r="C391" s="7" t="str">
        <f>IFERROR(VLOOKUP(E391,'(新)EG'!$A$3:$K$74,4,0),"")</f>
        <v/>
      </c>
      <c r="D391" s="15" t="str">
        <f>IFERROR(VLOOKUP(E391,'(新)EG'!$A$3:$K$74,5,0),"")</f>
        <v/>
      </c>
      <c r="E391" s="25">
        <f>'(新)EG'!A394</f>
        <v>0</v>
      </c>
      <c r="F391" s="16" t="str">
        <f>IFERROR(VLOOKUP(E391,'(新)EG'!$A$3:$K$75,8,0),"")</f>
        <v/>
      </c>
      <c r="G391" s="7" t="str">
        <f>IFERROR(VLOOKUP(E391,'(旧)EG'!$A$3:$K$92,10,0),"")</f>
        <v/>
      </c>
      <c r="H391" s="12" t="s">
        <v>60</v>
      </c>
      <c r="I391" s="7" t="str">
        <f>IFERROR(VLOOKUP(E391,'(新)EG'!$A$3:$K$75,10,0),"")</f>
        <v/>
      </c>
    </row>
    <row r="392" spans="1:9" s="19" customFormat="1" ht="13.8" thickBot="1" x14ac:dyDescent="0.2">
      <c r="A392" s="11">
        <v>411</v>
      </c>
      <c r="B392" s="7" t="str">
        <f>IFERROR(VLOOKUP(E392,'(新)EG'!$A$3:$K$74,2,0),"")</f>
        <v/>
      </c>
      <c r="C392" s="7" t="str">
        <f>IFERROR(VLOOKUP(E392,'(新)EG'!$A$3:$K$74,4,0),"")</f>
        <v/>
      </c>
      <c r="D392" s="15" t="str">
        <f>IFERROR(VLOOKUP(E392,'(新)EG'!$A$3:$K$74,5,0),"")</f>
        <v/>
      </c>
      <c r="E392" s="25">
        <f>'(新)EG'!A395</f>
        <v>0</v>
      </c>
      <c r="F392" s="16" t="str">
        <f>IFERROR(VLOOKUP(E392,'(新)EG'!$A$3:$K$75,8,0),"")</f>
        <v/>
      </c>
      <c r="G392" s="7" t="str">
        <f>IFERROR(VLOOKUP(E392,'(旧)EG'!$A$3:$K$92,10,0),"")</f>
        <v/>
      </c>
      <c r="H392" s="12" t="s">
        <v>60</v>
      </c>
      <c r="I392" s="7" t="str">
        <f>IFERROR(VLOOKUP(E392,'(新)EG'!$A$3:$K$75,10,0),"")</f>
        <v/>
      </c>
    </row>
    <row r="393" spans="1:9" s="19" customFormat="1" ht="13.8" thickBot="1" x14ac:dyDescent="0.2">
      <c r="A393" s="11">
        <v>412</v>
      </c>
      <c r="B393" s="7" t="str">
        <f>IFERROR(VLOOKUP(E393,'(新)EG'!$A$3:$K$74,2,0),"")</f>
        <v/>
      </c>
      <c r="C393" s="7" t="str">
        <f>IFERROR(VLOOKUP(E393,'(新)EG'!$A$3:$K$74,4,0),"")</f>
        <v/>
      </c>
      <c r="D393" s="15" t="str">
        <f>IFERROR(VLOOKUP(E393,'(新)EG'!$A$3:$K$74,5,0),"")</f>
        <v/>
      </c>
      <c r="E393" s="25">
        <f>'(新)EG'!A396</f>
        <v>0</v>
      </c>
      <c r="F393" s="16" t="str">
        <f>IFERROR(VLOOKUP(E393,'(新)EG'!$A$3:$K$75,8,0),"")</f>
        <v/>
      </c>
      <c r="G393" s="7" t="str">
        <f>IFERROR(VLOOKUP(E393,'(旧)EG'!$A$3:$K$92,10,0),"")</f>
        <v/>
      </c>
      <c r="H393" s="12" t="s">
        <v>60</v>
      </c>
      <c r="I393" s="7" t="str">
        <f>IFERROR(VLOOKUP(E393,'(新)EG'!$A$3:$K$75,10,0),"")</f>
        <v/>
      </c>
    </row>
    <row r="394" spans="1:9" s="19" customFormat="1" ht="13.8" thickBot="1" x14ac:dyDescent="0.2">
      <c r="A394" s="11">
        <v>413</v>
      </c>
      <c r="B394" s="7" t="str">
        <f>IFERROR(VLOOKUP(E394,'(新)EG'!$A$3:$K$74,2,0),"")</f>
        <v/>
      </c>
      <c r="C394" s="7" t="str">
        <f>IFERROR(VLOOKUP(E394,'(新)EG'!$A$3:$K$74,4,0),"")</f>
        <v/>
      </c>
      <c r="D394" s="15" t="str">
        <f>IFERROR(VLOOKUP(E394,'(新)EG'!$A$3:$K$74,5,0),"")</f>
        <v/>
      </c>
      <c r="E394" s="25">
        <f>'(新)EG'!A397</f>
        <v>0</v>
      </c>
      <c r="F394" s="16" t="str">
        <f>IFERROR(VLOOKUP(E394,'(新)EG'!$A$3:$K$75,8,0),"")</f>
        <v/>
      </c>
      <c r="G394" s="7" t="str">
        <f>IFERROR(VLOOKUP(E394,'(旧)EG'!$A$3:$K$92,10,0),"")</f>
        <v/>
      </c>
      <c r="H394" s="12" t="s">
        <v>60</v>
      </c>
      <c r="I394" s="7" t="str">
        <f>IFERROR(VLOOKUP(E394,'(新)EG'!$A$3:$K$75,10,0),"")</f>
        <v/>
      </c>
    </row>
    <row r="395" spans="1:9" s="19" customFormat="1" ht="13.8" thickBot="1" x14ac:dyDescent="0.2">
      <c r="A395" s="11">
        <v>414</v>
      </c>
      <c r="B395" s="7" t="str">
        <f>IFERROR(VLOOKUP(E395,'(新)EG'!$A$3:$K$74,2,0),"")</f>
        <v/>
      </c>
      <c r="C395" s="7" t="str">
        <f>IFERROR(VLOOKUP(E395,'(新)EG'!$A$3:$K$74,4,0),"")</f>
        <v/>
      </c>
      <c r="D395" s="15" t="str">
        <f>IFERROR(VLOOKUP(E395,'(新)EG'!$A$3:$K$74,5,0),"")</f>
        <v/>
      </c>
      <c r="E395" s="25">
        <f>'(新)EG'!A398</f>
        <v>0</v>
      </c>
      <c r="F395" s="16" t="str">
        <f>IFERROR(VLOOKUP(E395,'(新)EG'!$A$3:$K$75,8,0),"")</f>
        <v/>
      </c>
      <c r="G395" s="7" t="str">
        <f>IFERROR(VLOOKUP(E395,'(旧)EG'!$A$3:$K$92,10,0),"")</f>
        <v/>
      </c>
      <c r="H395" s="12" t="s">
        <v>60</v>
      </c>
      <c r="I395" s="7" t="str">
        <f>IFERROR(VLOOKUP(E395,'(新)EG'!$A$3:$K$75,10,0),"")</f>
        <v/>
      </c>
    </row>
    <row r="396" spans="1:9" s="19" customFormat="1" ht="13.8" thickBot="1" x14ac:dyDescent="0.2">
      <c r="A396" s="11">
        <v>415</v>
      </c>
      <c r="B396" s="7" t="str">
        <f>IFERROR(VLOOKUP(E396,'(新)EG'!$A$3:$K$74,2,0),"")</f>
        <v/>
      </c>
      <c r="C396" s="7" t="str">
        <f>IFERROR(VLOOKUP(E396,'(新)EG'!$A$3:$K$74,4,0),"")</f>
        <v/>
      </c>
      <c r="D396" s="15" t="str">
        <f>IFERROR(VLOOKUP(E396,'(新)EG'!$A$3:$K$74,5,0),"")</f>
        <v/>
      </c>
      <c r="E396" s="25">
        <f>'(新)EG'!A399</f>
        <v>0</v>
      </c>
      <c r="F396" s="16" t="str">
        <f>IFERROR(VLOOKUP(E396,'(新)EG'!$A$3:$K$75,8,0),"")</f>
        <v/>
      </c>
      <c r="G396" s="7" t="str">
        <f>IFERROR(VLOOKUP(E396,'(旧)EG'!$A$3:$K$92,10,0),"")</f>
        <v/>
      </c>
      <c r="H396" s="12" t="s">
        <v>60</v>
      </c>
      <c r="I396" s="7" t="str">
        <f>IFERROR(VLOOKUP(E396,'(新)EG'!$A$3:$K$75,10,0),"")</f>
        <v/>
      </c>
    </row>
    <row r="397" spans="1:9" s="19" customFormat="1" ht="13.8" thickBot="1" x14ac:dyDescent="0.2">
      <c r="A397" s="11">
        <v>416</v>
      </c>
      <c r="B397" s="7" t="str">
        <f>IFERROR(VLOOKUP(E397,'(新)EG'!$A$3:$K$74,2,0),"")</f>
        <v/>
      </c>
      <c r="C397" s="7" t="str">
        <f>IFERROR(VLOOKUP(E397,'(新)EG'!$A$3:$K$74,4,0),"")</f>
        <v/>
      </c>
      <c r="D397" s="15" t="str">
        <f>IFERROR(VLOOKUP(E397,'(新)EG'!$A$3:$K$74,5,0),"")</f>
        <v/>
      </c>
      <c r="E397" s="25">
        <f>'(新)EG'!A400</f>
        <v>0</v>
      </c>
      <c r="F397" s="16" t="str">
        <f>IFERROR(VLOOKUP(E397,'(新)EG'!$A$3:$K$75,8,0),"")</f>
        <v/>
      </c>
      <c r="G397" s="7" t="str">
        <f>IFERROR(VLOOKUP(E397,'(旧)EG'!$A$3:$K$92,10,0),"")</f>
        <v/>
      </c>
      <c r="H397" s="12" t="s">
        <v>60</v>
      </c>
      <c r="I397" s="7" t="str">
        <f>IFERROR(VLOOKUP(E397,'(新)EG'!$A$3:$K$75,10,0),"")</f>
        <v/>
      </c>
    </row>
    <row r="398" spans="1:9" s="19" customFormat="1" ht="13.8" thickBot="1" x14ac:dyDescent="0.2">
      <c r="A398" s="11">
        <v>417</v>
      </c>
      <c r="B398" s="7" t="str">
        <f>IFERROR(VLOOKUP(E398,'(新)EG'!$A$3:$K$74,2,0),"")</f>
        <v/>
      </c>
      <c r="C398" s="7" t="str">
        <f>IFERROR(VLOOKUP(E398,'(新)EG'!$A$3:$K$74,4,0),"")</f>
        <v/>
      </c>
      <c r="D398" s="15" t="str">
        <f>IFERROR(VLOOKUP(E398,'(新)EG'!$A$3:$K$74,5,0),"")</f>
        <v/>
      </c>
      <c r="E398" s="25">
        <f>'(新)EG'!A401</f>
        <v>0</v>
      </c>
      <c r="F398" s="16" t="str">
        <f>IFERROR(VLOOKUP(E398,'(新)EG'!$A$3:$K$75,8,0),"")</f>
        <v/>
      </c>
      <c r="G398" s="7" t="str">
        <f>IFERROR(VLOOKUP(E398,'(旧)EG'!$A$3:$K$92,10,0),"")</f>
        <v/>
      </c>
      <c r="H398" s="12" t="s">
        <v>60</v>
      </c>
      <c r="I398" s="7" t="str">
        <f>IFERROR(VLOOKUP(E398,'(新)EG'!$A$3:$K$75,10,0),"")</f>
        <v/>
      </c>
    </row>
    <row r="399" spans="1:9" s="19" customFormat="1" ht="13.8" thickBot="1" x14ac:dyDescent="0.2">
      <c r="A399" s="11">
        <v>418</v>
      </c>
      <c r="B399" s="7" t="str">
        <f>IFERROR(VLOOKUP(E399,'(新)EG'!$A$3:$K$74,2,0),"")</f>
        <v/>
      </c>
      <c r="C399" s="7" t="str">
        <f>IFERROR(VLOOKUP(E399,'(新)EG'!$A$3:$K$74,4,0),"")</f>
        <v/>
      </c>
      <c r="D399" s="15" t="str">
        <f>IFERROR(VLOOKUP(E399,'(新)EG'!$A$3:$K$74,5,0),"")</f>
        <v/>
      </c>
      <c r="E399" s="25">
        <f>'(新)EG'!A402</f>
        <v>0</v>
      </c>
      <c r="F399" s="16" t="str">
        <f>IFERROR(VLOOKUP(E399,'(新)EG'!$A$3:$K$75,8,0),"")</f>
        <v/>
      </c>
      <c r="G399" s="7" t="str">
        <f>IFERROR(VLOOKUP(E399,'(旧)EG'!$A$3:$K$92,10,0),"")</f>
        <v/>
      </c>
      <c r="H399" s="12" t="s">
        <v>60</v>
      </c>
      <c r="I399" s="7" t="str">
        <f>IFERROR(VLOOKUP(E399,'(新)EG'!$A$3:$K$75,10,0),"")</f>
        <v/>
      </c>
    </row>
    <row r="400" spans="1:9" s="19" customFormat="1" ht="13.8" thickBot="1" x14ac:dyDescent="0.2">
      <c r="A400" s="11">
        <v>419</v>
      </c>
      <c r="B400" s="7" t="str">
        <f>IFERROR(VLOOKUP(E400,'(新)EG'!$A$3:$K$74,2,0),"")</f>
        <v/>
      </c>
      <c r="C400" s="7" t="str">
        <f>IFERROR(VLOOKUP(E400,'(新)EG'!$A$3:$K$74,4,0),"")</f>
        <v/>
      </c>
      <c r="D400" s="15" t="str">
        <f>IFERROR(VLOOKUP(E400,'(新)EG'!$A$3:$K$74,5,0),"")</f>
        <v/>
      </c>
      <c r="E400" s="25">
        <f>'(新)EG'!A403</f>
        <v>0</v>
      </c>
      <c r="F400" s="16" t="str">
        <f>IFERROR(VLOOKUP(E400,'(新)EG'!$A$3:$K$75,8,0),"")</f>
        <v/>
      </c>
      <c r="G400" s="7" t="str">
        <f>IFERROR(VLOOKUP(E400,'(旧)EG'!$A$3:$K$92,10,0),"")</f>
        <v/>
      </c>
      <c r="H400" s="12" t="s">
        <v>60</v>
      </c>
      <c r="I400" s="7" t="str">
        <f>IFERROR(VLOOKUP(E400,'(新)EG'!$A$3:$K$75,10,0),"")</f>
        <v/>
      </c>
    </row>
    <row r="401" spans="1:9" s="19" customFormat="1" ht="13.8" thickBot="1" x14ac:dyDescent="0.2">
      <c r="A401" s="11">
        <v>420</v>
      </c>
      <c r="B401" s="7" t="str">
        <f>IFERROR(VLOOKUP(E401,'(新)EG'!$A$3:$K$74,2,0),"")</f>
        <v/>
      </c>
      <c r="C401" s="7" t="str">
        <f>IFERROR(VLOOKUP(E401,'(新)EG'!$A$3:$K$74,4,0),"")</f>
        <v/>
      </c>
      <c r="D401" s="15" t="str">
        <f>IFERROR(VLOOKUP(E401,'(新)EG'!$A$3:$K$74,5,0),"")</f>
        <v/>
      </c>
      <c r="E401" s="25">
        <f>'(新)EG'!A404</f>
        <v>0</v>
      </c>
      <c r="F401" s="16" t="str">
        <f>IFERROR(VLOOKUP(E401,'(新)EG'!$A$3:$K$75,8,0),"")</f>
        <v/>
      </c>
      <c r="G401" s="7" t="str">
        <f>IFERROR(VLOOKUP(E401,'(旧)EG'!$A$3:$K$92,10,0),"")</f>
        <v/>
      </c>
      <c r="H401" s="12" t="s">
        <v>60</v>
      </c>
      <c r="I401" s="7" t="str">
        <f>IFERROR(VLOOKUP(E401,'(新)EG'!$A$3:$K$75,10,0),"")</f>
        <v/>
      </c>
    </row>
    <row r="402" spans="1:9" s="19" customFormat="1" ht="13.8" thickBot="1" x14ac:dyDescent="0.2">
      <c r="A402" s="11">
        <v>421</v>
      </c>
      <c r="B402" s="7" t="str">
        <f>IFERROR(VLOOKUP(E402,'(新)EG'!$A$3:$K$74,2,0),"")</f>
        <v/>
      </c>
      <c r="C402" s="7" t="str">
        <f>IFERROR(VLOOKUP(E402,'(新)EG'!$A$3:$K$74,4,0),"")</f>
        <v/>
      </c>
      <c r="D402" s="15" t="str">
        <f>IFERROR(VLOOKUP(E402,'(新)EG'!$A$3:$K$74,5,0),"")</f>
        <v/>
      </c>
      <c r="E402" s="25">
        <f>'(新)EG'!A405</f>
        <v>0</v>
      </c>
      <c r="F402" s="16" t="str">
        <f>IFERROR(VLOOKUP(E402,'(新)EG'!$A$3:$K$75,8,0),"")</f>
        <v/>
      </c>
      <c r="G402" s="7" t="str">
        <f>IFERROR(VLOOKUP(E402,'(旧)EG'!$A$3:$K$92,10,0),"")</f>
        <v/>
      </c>
      <c r="H402" s="12" t="s">
        <v>60</v>
      </c>
      <c r="I402" s="7" t="str">
        <f>IFERROR(VLOOKUP(E402,'(新)EG'!$A$3:$K$75,10,0),"")</f>
        <v/>
      </c>
    </row>
    <row r="403" spans="1:9" s="19" customFormat="1" ht="13.8" thickBot="1" x14ac:dyDescent="0.2">
      <c r="A403" s="11">
        <v>422</v>
      </c>
      <c r="B403" s="7" t="str">
        <f>IFERROR(VLOOKUP(E403,'(新)EG'!$A$3:$K$74,2,0),"")</f>
        <v/>
      </c>
      <c r="C403" s="7" t="str">
        <f>IFERROR(VLOOKUP(E403,'(新)EG'!$A$3:$K$74,4,0),"")</f>
        <v/>
      </c>
      <c r="D403" s="15" t="str">
        <f>IFERROR(VLOOKUP(E403,'(新)EG'!$A$3:$K$74,5,0),"")</f>
        <v/>
      </c>
      <c r="E403" s="25">
        <f>'(新)EG'!A406</f>
        <v>0</v>
      </c>
      <c r="F403" s="16" t="str">
        <f>IFERROR(VLOOKUP(E403,'(新)EG'!$A$3:$K$75,8,0),"")</f>
        <v/>
      </c>
      <c r="G403" s="7" t="str">
        <f>IFERROR(VLOOKUP(E403,'(旧)EG'!$A$3:$K$92,10,0),"")</f>
        <v/>
      </c>
      <c r="H403" s="12" t="s">
        <v>60</v>
      </c>
      <c r="I403" s="7" t="str">
        <f>IFERROR(VLOOKUP(E403,'(新)EG'!$A$3:$K$75,10,0),"")</f>
        <v/>
      </c>
    </row>
  </sheetData>
  <autoFilter ref="A1:I403">
    <sortState ref="A2:I218">
      <sortCondition ref="I1:I218"/>
    </sortState>
  </autoFilter>
  <phoneticPr fontId="2"/>
  <conditionalFormatting sqref="G2:G403">
    <cfRule type="expression" dxfId="1" priority="2">
      <formula>#REF!&lt;&gt;$G2</formula>
    </cfRule>
  </conditionalFormatting>
  <conditionalFormatting sqref="I2:I403">
    <cfRule type="expression" dxfId="0" priority="1">
      <formula>$I2&lt;&gt;$G2</formula>
    </cfRule>
  </conditionalFormatting>
  <pageMargins left="0.7" right="0.7" top="0.75" bottom="0.75" header="0.3" footer="0.3"/>
  <pageSetup paperSize="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00B0F0"/>
  </sheetPr>
  <dimension ref="A1:K46"/>
  <sheetViews>
    <sheetView zoomScale="120" zoomScaleNormal="120" workbookViewId="0">
      <pane ySplit="2" topLeftCell="A3" activePane="bottomLeft" state="frozen"/>
      <selection activeCell="R19" sqref="R19"/>
      <selection pane="bottomLeft" activeCell="J21" sqref="J21"/>
    </sheetView>
  </sheetViews>
  <sheetFormatPr defaultRowHeight="13.2" x14ac:dyDescent="0.2"/>
  <cols>
    <col min="1" max="16384" width="8.88671875" style="33"/>
  </cols>
  <sheetData>
    <row r="1" spans="1:11" x14ac:dyDescent="0.2">
      <c r="A1" s="29" t="s">
        <v>3</v>
      </c>
      <c r="B1" s="29" t="s">
        <v>1585</v>
      </c>
      <c r="C1" s="29" t="s">
        <v>1</v>
      </c>
      <c r="D1" s="29" t="s">
        <v>2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</row>
    <row r="2" spans="1:11" ht="13.8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3.8" thickBot="1" x14ac:dyDescent="0.25">
      <c r="A3" s="23" t="s">
        <v>464</v>
      </c>
      <c r="B3" s="23" t="s">
        <v>396</v>
      </c>
      <c r="C3" s="23" t="s">
        <v>11</v>
      </c>
      <c r="D3" s="24" t="s">
        <v>229</v>
      </c>
      <c r="E3" s="24" t="s">
        <v>230</v>
      </c>
      <c r="F3" s="24" t="s">
        <v>231</v>
      </c>
      <c r="G3" s="24" t="s">
        <v>13</v>
      </c>
      <c r="H3" s="24" t="s">
        <v>232</v>
      </c>
      <c r="I3" s="24" t="s">
        <v>917</v>
      </c>
      <c r="J3" s="23" t="s">
        <v>218</v>
      </c>
      <c r="K3" s="23" t="s">
        <v>274</v>
      </c>
    </row>
    <row r="4" spans="1:11" ht="13.8" thickBot="1" x14ac:dyDescent="0.25">
      <c r="A4" s="23" t="s">
        <v>466</v>
      </c>
      <c r="B4" s="23" t="s">
        <v>396</v>
      </c>
      <c r="C4" s="23" t="s">
        <v>14</v>
      </c>
      <c r="D4" s="24" t="s">
        <v>229</v>
      </c>
      <c r="E4" s="24" t="s">
        <v>230</v>
      </c>
      <c r="F4" s="24" t="s">
        <v>231</v>
      </c>
      <c r="G4" s="24" t="s">
        <v>13</v>
      </c>
      <c r="H4" s="24" t="s">
        <v>232</v>
      </c>
      <c r="I4" s="24" t="s">
        <v>918</v>
      </c>
      <c r="J4" s="23" t="s">
        <v>220</v>
      </c>
      <c r="K4" s="23" t="s">
        <v>278</v>
      </c>
    </row>
    <row r="5" spans="1:11" ht="13.8" thickBot="1" x14ac:dyDescent="0.25">
      <c r="A5" s="23" t="s">
        <v>467</v>
      </c>
      <c r="B5" s="23" t="s">
        <v>396</v>
      </c>
      <c r="C5" s="23" t="s">
        <v>17</v>
      </c>
      <c r="D5" s="24" t="s">
        <v>248</v>
      </c>
      <c r="E5" s="24" t="s">
        <v>230</v>
      </c>
      <c r="F5" s="24" t="s">
        <v>249</v>
      </c>
      <c r="G5" s="24" t="s">
        <v>13</v>
      </c>
      <c r="H5" s="24" t="s">
        <v>250</v>
      </c>
      <c r="I5" s="24" t="s">
        <v>919</v>
      </c>
      <c r="J5" s="23" t="s">
        <v>291</v>
      </c>
      <c r="K5" s="23" t="s">
        <v>323</v>
      </c>
    </row>
    <row r="6" spans="1:11" ht="13.8" thickBot="1" x14ac:dyDescent="0.25">
      <c r="A6" s="23" t="s">
        <v>468</v>
      </c>
      <c r="B6" s="23" t="s">
        <v>396</v>
      </c>
      <c r="C6" s="23" t="s">
        <v>18</v>
      </c>
      <c r="D6" s="24" t="s">
        <v>248</v>
      </c>
      <c r="E6" s="24" t="s">
        <v>230</v>
      </c>
      <c r="F6" s="24" t="s">
        <v>249</v>
      </c>
      <c r="G6" s="24" t="s">
        <v>13</v>
      </c>
      <c r="H6" s="24" t="s">
        <v>250</v>
      </c>
      <c r="I6" s="24" t="s">
        <v>920</v>
      </c>
      <c r="J6" s="23" t="s">
        <v>291</v>
      </c>
      <c r="K6" s="23" t="s">
        <v>323</v>
      </c>
    </row>
    <row r="7" spans="1:11" ht="13.8" thickBot="1" x14ac:dyDescent="0.25">
      <c r="A7" s="23" t="s">
        <v>659</v>
      </c>
      <c r="B7" s="23" t="s">
        <v>574</v>
      </c>
      <c r="C7" s="23" t="s">
        <v>15</v>
      </c>
      <c r="D7" s="24" t="s">
        <v>229</v>
      </c>
      <c r="E7" s="24" t="s">
        <v>230</v>
      </c>
      <c r="F7" s="24" t="s">
        <v>231</v>
      </c>
      <c r="G7" s="24" t="s">
        <v>13</v>
      </c>
      <c r="H7" s="24" t="s">
        <v>232</v>
      </c>
      <c r="I7" s="24" t="s">
        <v>951</v>
      </c>
      <c r="J7" s="23" t="s">
        <v>330</v>
      </c>
      <c r="K7" s="23" t="s">
        <v>429</v>
      </c>
    </row>
    <row r="8" spans="1:11" ht="13.8" thickBot="1" x14ac:dyDescent="0.25">
      <c r="A8" s="23" t="s">
        <v>660</v>
      </c>
      <c r="B8" s="23" t="s">
        <v>574</v>
      </c>
      <c r="C8" s="23" t="s">
        <v>18</v>
      </c>
      <c r="D8" s="24" t="s">
        <v>229</v>
      </c>
      <c r="E8" s="24" t="s">
        <v>230</v>
      </c>
      <c r="F8" s="24" t="s">
        <v>231</v>
      </c>
      <c r="G8" s="24" t="s">
        <v>13</v>
      </c>
      <c r="H8" s="24" t="s">
        <v>232</v>
      </c>
      <c r="I8" s="24" t="s">
        <v>952</v>
      </c>
      <c r="J8" s="23" t="s">
        <v>399</v>
      </c>
      <c r="K8" s="23" t="s">
        <v>543</v>
      </c>
    </row>
    <row r="9" spans="1:11" ht="13.8" thickBot="1" x14ac:dyDescent="0.25">
      <c r="A9" s="23" t="s">
        <v>661</v>
      </c>
      <c r="B9" s="23" t="s">
        <v>574</v>
      </c>
      <c r="C9" s="23" t="s">
        <v>19</v>
      </c>
      <c r="D9" s="24" t="s">
        <v>248</v>
      </c>
      <c r="E9" s="24" t="s">
        <v>230</v>
      </c>
      <c r="F9" s="24" t="s">
        <v>249</v>
      </c>
      <c r="G9" s="24" t="s">
        <v>13</v>
      </c>
      <c r="H9" s="24" t="s">
        <v>250</v>
      </c>
      <c r="I9" s="24" t="s">
        <v>953</v>
      </c>
      <c r="J9" s="23" t="s">
        <v>399</v>
      </c>
      <c r="K9" s="23" t="s">
        <v>543</v>
      </c>
    </row>
    <row r="10" spans="1:11" ht="13.8" thickBot="1" x14ac:dyDescent="0.25">
      <c r="A10" s="23" t="s">
        <v>662</v>
      </c>
      <c r="B10" s="23" t="s">
        <v>574</v>
      </c>
      <c r="C10" s="23" t="s">
        <v>20</v>
      </c>
      <c r="D10" s="24" t="s">
        <v>248</v>
      </c>
      <c r="E10" s="24" t="s">
        <v>230</v>
      </c>
      <c r="F10" s="24" t="s">
        <v>249</v>
      </c>
      <c r="G10" s="24" t="s">
        <v>13</v>
      </c>
      <c r="H10" s="24" t="s">
        <v>250</v>
      </c>
      <c r="I10" s="24" t="s">
        <v>954</v>
      </c>
      <c r="J10" s="23" t="s">
        <v>399</v>
      </c>
      <c r="K10" s="23" t="s">
        <v>543</v>
      </c>
    </row>
    <row r="11" spans="1:11" ht="13.8" thickBot="1" x14ac:dyDescent="0.25">
      <c r="A11" s="23" t="s">
        <v>663</v>
      </c>
      <c r="B11" s="23" t="s">
        <v>574</v>
      </c>
      <c r="C11" s="23" t="s">
        <v>23</v>
      </c>
      <c r="D11" s="24" t="s">
        <v>236</v>
      </c>
      <c r="E11" s="24" t="s">
        <v>230</v>
      </c>
      <c r="F11" s="24" t="s">
        <v>237</v>
      </c>
      <c r="G11" s="24" t="s">
        <v>13</v>
      </c>
      <c r="H11" s="24" t="s">
        <v>238</v>
      </c>
      <c r="I11" s="24" t="s">
        <v>1126</v>
      </c>
      <c r="J11" s="23" t="s">
        <v>512</v>
      </c>
      <c r="K11" s="23" t="s">
        <v>578</v>
      </c>
    </row>
    <row r="12" spans="1:11" ht="13.8" thickBot="1" x14ac:dyDescent="0.25">
      <c r="A12" s="23" t="s">
        <v>664</v>
      </c>
      <c r="B12" s="23" t="s">
        <v>574</v>
      </c>
      <c r="C12" s="23" t="s">
        <v>24</v>
      </c>
      <c r="D12" s="24" t="s">
        <v>236</v>
      </c>
      <c r="E12" s="24" t="s">
        <v>230</v>
      </c>
      <c r="F12" s="24" t="s">
        <v>237</v>
      </c>
      <c r="G12" s="24" t="s">
        <v>13</v>
      </c>
      <c r="H12" s="24" t="s">
        <v>238</v>
      </c>
      <c r="I12" s="24" t="s">
        <v>1127</v>
      </c>
      <c r="J12" s="23" t="s">
        <v>512</v>
      </c>
      <c r="K12" s="23" t="s">
        <v>578</v>
      </c>
    </row>
    <row r="13" spans="1:11" ht="13.8" thickBot="1" x14ac:dyDescent="0.25">
      <c r="A13" s="23" t="s">
        <v>667</v>
      </c>
      <c r="B13" s="23" t="s">
        <v>574</v>
      </c>
      <c r="C13" s="23" t="s">
        <v>25</v>
      </c>
      <c r="D13" s="24" t="s">
        <v>233</v>
      </c>
      <c r="E13" s="24" t="s">
        <v>230</v>
      </c>
      <c r="F13" s="24" t="s">
        <v>234</v>
      </c>
      <c r="G13" s="24" t="s">
        <v>13</v>
      </c>
      <c r="H13" s="24" t="s">
        <v>235</v>
      </c>
      <c r="I13" s="24" t="s">
        <v>1128</v>
      </c>
      <c r="J13" s="23" t="s">
        <v>512</v>
      </c>
      <c r="K13" s="23" t="s">
        <v>585</v>
      </c>
    </row>
    <row r="14" spans="1:11" ht="13.8" thickBot="1" x14ac:dyDescent="0.25">
      <c r="A14" s="23" t="s">
        <v>666</v>
      </c>
      <c r="B14" s="23" t="s">
        <v>574</v>
      </c>
      <c r="C14" s="23" t="s">
        <v>26</v>
      </c>
      <c r="D14" s="24" t="s">
        <v>233</v>
      </c>
      <c r="E14" s="24" t="s">
        <v>230</v>
      </c>
      <c r="F14" s="24" t="s">
        <v>234</v>
      </c>
      <c r="G14" s="24" t="s">
        <v>13</v>
      </c>
      <c r="H14" s="24" t="s">
        <v>235</v>
      </c>
      <c r="I14" s="24" t="s">
        <v>1125</v>
      </c>
      <c r="J14" s="23" t="s">
        <v>548</v>
      </c>
      <c r="K14" s="23" t="s">
        <v>588</v>
      </c>
    </row>
    <row r="15" spans="1:11" ht="13.8" thickBot="1" x14ac:dyDescent="0.25">
      <c r="A15" s="23" t="s">
        <v>959</v>
      </c>
      <c r="B15" s="23" t="s">
        <v>746</v>
      </c>
      <c r="C15" s="23" t="s">
        <v>18</v>
      </c>
      <c r="D15" s="24" t="s">
        <v>229</v>
      </c>
      <c r="E15" s="24" t="s">
        <v>230</v>
      </c>
      <c r="F15" s="24" t="s">
        <v>231</v>
      </c>
      <c r="G15" s="24" t="s">
        <v>13</v>
      </c>
      <c r="H15" s="24" t="s">
        <v>232</v>
      </c>
      <c r="I15" s="24" t="s">
        <v>1217</v>
      </c>
      <c r="J15" s="23" t="s">
        <v>576</v>
      </c>
      <c r="K15" s="23" t="s">
        <v>728</v>
      </c>
    </row>
    <row r="16" spans="1:11" ht="13.8" thickBot="1" x14ac:dyDescent="0.25">
      <c r="A16" s="23" t="s">
        <v>957</v>
      </c>
      <c r="B16" s="23" t="s">
        <v>746</v>
      </c>
      <c r="C16" s="23" t="s">
        <v>16</v>
      </c>
      <c r="D16" s="24" t="s">
        <v>248</v>
      </c>
      <c r="E16" s="24" t="s">
        <v>230</v>
      </c>
      <c r="F16" s="24" t="s">
        <v>249</v>
      </c>
      <c r="G16" s="24" t="s">
        <v>13</v>
      </c>
      <c r="H16" s="24" t="s">
        <v>250</v>
      </c>
      <c r="I16" s="24" t="s">
        <v>1215</v>
      </c>
      <c r="J16" s="23" t="s">
        <v>576</v>
      </c>
      <c r="K16" s="23" t="s">
        <v>728</v>
      </c>
    </row>
    <row r="17" spans="1:11" ht="13.8" thickBot="1" x14ac:dyDescent="0.25">
      <c r="A17" s="23" t="s">
        <v>958</v>
      </c>
      <c r="B17" s="23" t="s">
        <v>746</v>
      </c>
      <c r="C17" s="23" t="s">
        <v>17</v>
      </c>
      <c r="D17" s="24" t="s">
        <v>248</v>
      </c>
      <c r="E17" s="24" t="s">
        <v>230</v>
      </c>
      <c r="F17" s="24" t="s">
        <v>249</v>
      </c>
      <c r="G17" s="24" t="s">
        <v>13</v>
      </c>
      <c r="H17" s="24" t="s">
        <v>250</v>
      </c>
      <c r="I17" s="24" t="s">
        <v>1216</v>
      </c>
      <c r="J17" s="23" t="s">
        <v>576</v>
      </c>
      <c r="K17" s="23" t="s">
        <v>728</v>
      </c>
    </row>
    <row r="18" spans="1:11" ht="13.8" thickBot="1" x14ac:dyDescent="0.25">
      <c r="A18" s="23" t="s">
        <v>961</v>
      </c>
      <c r="B18" s="23" t="s">
        <v>746</v>
      </c>
      <c r="C18" s="23" t="s">
        <v>19</v>
      </c>
      <c r="D18" s="24" t="s">
        <v>229</v>
      </c>
      <c r="E18" s="24" t="s">
        <v>230</v>
      </c>
      <c r="F18" s="24" t="s">
        <v>231</v>
      </c>
      <c r="G18" s="24" t="s">
        <v>13</v>
      </c>
      <c r="H18" s="24" t="s">
        <v>232</v>
      </c>
      <c r="I18" s="24" t="s">
        <v>1218</v>
      </c>
      <c r="J18" s="23" t="s">
        <v>578</v>
      </c>
      <c r="K18" s="23" t="s">
        <v>621</v>
      </c>
    </row>
    <row r="19" spans="1:11" ht="13.8" thickBot="1" x14ac:dyDescent="0.25">
      <c r="A19" s="23" t="s">
        <v>955</v>
      </c>
      <c r="B19" s="23" t="s">
        <v>746</v>
      </c>
      <c r="C19" s="23" t="s">
        <v>15</v>
      </c>
      <c r="D19" s="24" t="s">
        <v>233</v>
      </c>
      <c r="E19" s="24" t="s">
        <v>230</v>
      </c>
      <c r="F19" s="24" t="s">
        <v>234</v>
      </c>
      <c r="G19" s="24" t="s">
        <v>13</v>
      </c>
      <c r="H19" s="24" t="s">
        <v>235</v>
      </c>
      <c r="I19" s="24" t="s">
        <v>1214</v>
      </c>
      <c r="J19" s="23" t="s">
        <v>513</v>
      </c>
      <c r="K19" s="23" t="s">
        <v>621</v>
      </c>
    </row>
    <row r="20" spans="1:11" ht="13.8" thickBot="1" x14ac:dyDescent="0.25">
      <c r="A20" s="23" t="s">
        <v>964</v>
      </c>
      <c r="B20" s="23" t="s">
        <v>746</v>
      </c>
      <c r="C20" s="23" t="s">
        <v>25</v>
      </c>
      <c r="D20" s="24" t="s">
        <v>239</v>
      </c>
      <c r="E20" s="24" t="s">
        <v>230</v>
      </c>
      <c r="F20" s="24" t="s">
        <v>240</v>
      </c>
      <c r="G20" s="24" t="s">
        <v>13</v>
      </c>
      <c r="H20" s="24" t="s">
        <v>241</v>
      </c>
      <c r="I20" s="24" t="s">
        <v>1222</v>
      </c>
      <c r="J20" s="23" t="s">
        <v>587</v>
      </c>
      <c r="K20" s="23" t="s">
        <v>751</v>
      </c>
    </row>
    <row r="21" spans="1:11" ht="13.8" thickBot="1" x14ac:dyDescent="0.25">
      <c r="A21" s="23" t="s">
        <v>963</v>
      </c>
      <c r="B21" s="23" t="s">
        <v>746</v>
      </c>
      <c r="C21" s="23" t="s">
        <v>24</v>
      </c>
      <c r="D21" s="24" t="s">
        <v>236</v>
      </c>
      <c r="E21" s="24" t="s">
        <v>230</v>
      </c>
      <c r="F21" s="24" t="s">
        <v>237</v>
      </c>
      <c r="G21" s="24" t="s">
        <v>13</v>
      </c>
      <c r="H21" s="24" t="s">
        <v>238</v>
      </c>
      <c r="I21" s="24" t="s">
        <v>1221</v>
      </c>
      <c r="J21" s="23" t="s">
        <v>587</v>
      </c>
      <c r="K21" s="23" t="s">
        <v>751</v>
      </c>
    </row>
    <row r="22" spans="1:11" ht="13.8" thickBot="1" x14ac:dyDescent="0.25">
      <c r="A22" s="23" t="s">
        <v>956</v>
      </c>
      <c r="B22" s="23" t="s">
        <v>746</v>
      </c>
      <c r="C22" s="23" t="s">
        <v>22</v>
      </c>
      <c r="D22" s="24" t="s">
        <v>233</v>
      </c>
      <c r="E22" s="24" t="s">
        <v>230</v>
      </c>
      <c r="F22" s="24" t="s">
        <v>234</v>
      </c>
      <c r="G22" s="24" t="s">
        <v>13</v>
      </c>
      <c r="H22" s="24" t="s">
        <v>235</v>
      </c>
      <c r="I22" s="24" t="s">
        <v>1219</v>
      </c>
      <c r="J22" s="23" t="s">
        <v>980</v>
      </c>
      <c r="K22" s="23" t="s">
        <v>751</v>
      </c>
    </row>
    <row r="23" spans="1:11" ht="13.8" thickBot="1" x14ac:dyDescent="0.25">
      <c r="A23" s="23" t="s">
        <v>960</v>
      </c>
      <c r="B23" s="23" t="s">
        <v>746</v>
      </c>
      <c r="C23" s="23" t="s">
        <v>23</v>
      </c>
      <c r="D23" s="24" t="s">
        <v>242</v>
      </c>
      <c r="E23" s="24" t="s">
        <v>230</v>
      </c>
      <c r="F23" s="24" t="s">
        <v>243</v>
      </c>
      <c r="G23" s="24" t="s">
        <v>13</v>
      </c>
      <c r="H23" s="24" t="s">
        <v>244</v>
      </c>
      <c r="I23" s="24" t="s">
        <v>1220</v>
      </c>
      <c r="J23" s="23" t="s">
        <v>581</v>
      </c>
      <c r="K23" s="23" t="s">
        <v>747</v>
      </c>
    </row>
    <row r="24" spans="1:11" ht="13.8" thickBot="1" x14ac:dyDescent="0.25">
      <c r="A24" s="23" t="s">
        <v>966</v>
      </c>
      <c r="B24" s="23" t="s">
        <v>746</v>
      </c>
      <c r="C24" s="23" t="s">
        <v>27</v>
      </c>
      <c r="D24" s="24" t="s">
        <v>239</v>
      </c>
      <c r="E24" s="24" t="s">
        <v>230</v>
      </c>
      <c r="F24" s="24" t="s">
        <v>240</v>
      </c>
      <c r="G24" s="24" t="s">
        <v>13</v>
      </c>
      <c r="H24" s="24" t="s">
        <v>241</v>
      </c>
      <c r="I24" s="24" t="s">
        <v>1224</v>
      </c>
      <c r="J24" s="23" t="s">
        <v>596</v>
      </c>
      <c r="K24" s="23" t="s">
        <v>754</v>
      </c>
    </row>
    <row r="25" spans="1:11" ht="13.8" thickBot="1" x14ac:dyDescent="0.25">
      <c r="A25" s="23" t="s">
        <v>965</v>
      </c>
      <c r="B25" s="23" t="s">
        <v>746</v>
      </c>
      <c r="C25" s="23" t="s">
        <v>26</v>
      </c>
      <c r="D25" s="24" t="s">
        <v>236</v>
      </c>
      <c r="E25" s="24" t="s">
        <v>230</v>
      </c>
      <c r="F25" s="24" t="s">
        <v>237</v>
      </c>
      <c r="G25" s="24" t="s">
        <v>13</v>
      </c>
      <c r="H25" s="24" t="s">
        <v>238</v>
      </c>
      <c r="I25" s="24" t="s">
        <v>1223</v>
      </c>
      <c r="J25" s="23" t="s">
        <v>596</v>
      </c>
      <c r="K25" s="23" t="s">
        <v>754</v>
      </c>
    </row>
    <row r="26" spans="1:11" ht="13.8" thickBot="1" x14ac:dyDescent="0.25">
      <c r="A26" s="23" t="s">
        <v>962</v>
      </c>
      <c r="B26" s="23" t="s">
        <v>746</v>
      </c>
      <c r="C26" s="23" t="s">
        <v>28</v>
      </c>
      <c r="D26" s="24" t="s">
        <v>242</v>
      </c>
      <c r="E26" s="24" t="s">
        <v>230</v>
      </c>
      <c r="F26" s="24" t="s">
        <v>243</v>
      </c>
      <c r="G26" s="24" t="s">
        <v>13</v>
      </c>
      <c r="H26" s="24" t="s">
        <v>244</v>
      </c>
      <c r="I26" s="24" t="s">
        <v>1225</v>
      </c>
      <c r="J26" s="23" t="s">
        <v>596</v>
      </c>
      <c r="K26" s="23" t="s">
        <v>772</v>
      </c>
    </row>
    <row r="27" spans="1:11" ht="13.8" thickBot="1" x14ac:dyDescent="0.25">
      <c r="A27" s="23" t="s">
        <v>1130</v>
      </c>
      <c r="B27" s="23" t="s">
        <v>1036</v>
      </c>
      <c r="C27" s="23" t="s">
        <v>18</v>
      </c>
      <c r="D27" s="24" t="s">
        <v>248</v>
      </c>
      <c r="E27" s="24" t="s">
        <v>230</v>
      </c>
      <c r="F27" s="24" t="s">
        <v>249</v>
      </c>
      <c r="G27" s="24" t="s">
        <v>13</v>
      </c>
      <c r="H27" s="24" t="s">
        <v>250</v>
      </c>
      <c r="I27" s="24" t="s">
        <v>1400</v>
      </c>
      <c r="J27" s="23" t="s">
        <v>801</v>
      </c>
      <c r="K27" s="23" t="s">
        <v>863</v>
      </c>
    </row>
    <row r="28" spans="1:11" ht="13.8" thickBot="1" x14ac:dyDescent="0.25">
      <c r="A28" s="23" t="s">
        <v>1131</v>
      </c>
      <c r="B28" s="23" t="s">
        <v>1036</v>
      </c>
      <c r="C28" s="23" t="s">
        <v>19</v>
      </c>
      <c r="D28" s="24" t="s">
        <v>248</v>
      </c>
      <c r="E28" s="24" t="s">
        <v>230</v>
      </c>
      <c r="F28" s="24" t="s">
        <v>249</v>
      </c>
      <c r="G28" s="24" t="s">
        <v>13</v>
      </c>
      <c r="H28" s="24" t="s">
        <v>250</v>
      </c>
      <c r="I28" s="24" t="s">
        <v>1401</v>
      </c>
      <c r="J28" s="23" t="s">
        <v>801</v>
      </c>
      <c r="K28" s="23" t="s">
        <v>863</v>
      </c>
    </row>
    <row r="29" spans="1:11" ht="13.8" thickBot="1" x14ac:dyDescent="0.25">
      <c r="A29" s="23" t="s">
        <v>1129</v>
      </c>
      <c r="B29" s="23" t="s">
        <v>1036</v>
      </c>
      <c r="C29" s="23" t="s">
        <v>15</v>
      </c>
      <c r="D29" s="24" t="s">
        <v>233</v>
      </c>
      <c r="E29" s="24" t="s">
        <v>230</v>
      </c>
      <c r="F29" s="24" t="s">
        <v>234</v>
      </c>
      <c r="G29" s="24" t="s">
        <v>13</v>
      </c>
      <c r="H29" s="24" t="s">
        <v>235</v>
      </c>
      <c r="I29" s="24" t="s">
        <v>1408</v>
      </c>
      <c r="J29" s="23" t="s">
        <v>776</v>
      </c>
      <c r="K29" s="23" t="s">
        <v>1041</v>
      </c>
    </row>
    <row r="30" spans="1:11" ht="13.8" thickBot="1" x14ac:dyDescent="0.25">
      <c r="A30" s="23" t="s">
        <v>1133</v>
      </c>
      <c r="B30" s="23" t="s">
        <v>1036</v>
      </c>
      <c r="C30" s="23" t="s">
        <v>21</v>
      </c>
      <c r="D30" s="24" t="s">
        <v>245</v>
      </c>
      <c r="E30" s="24" t="s">
        <v>230</v>
      </c>
      <c r="F30" s="24" t="s">
        <v>246</v>
      </c>
      <c r="G30" s="24" t="s">
        <v>13</v>
      </c>
      <c r="H30" s="24" t="s">
        <v>247</v>
      </c>
      <c r="I30" s="24" t="s">
        <v>1406</v>
      </c>
      <c r="J30" s="23" t="s">
        <v>844</v>
      </c>
      <c r="K30" s="23" t="s">
        <v>1044</v>
      </c>
    </row>
    <row r="31" spans="1:11" ht="13.8" thickBot="1" x14ac:dyDescent="0.25">
      <c r="A31" s="23" t="s">
        <v>1134</v>
      </c>
      <c r="B31" s="23" t="s">
        <v>1036</v>
      </c>
      <c r="C31" s="23" t="s">
        <v>22</v>
      </c>
      <c r="D31" s="24" t="s">
        <v>245</v>
      </c>
      <c r="E31" s="24" t="s">
        <v>230</v>
      </c>
      <c r="F31" s="24" t="s">
        <v>246</v>
      </c>
      <c r="G31" s="24" t="s">
        <v>13</v>
      </c>
      <c r="H31" s="24" t="s">
        <v>247</v>
      </c>
      <c r="I31" s="24" t="s">
        <v>1407</v>
      </c>
      <c r="J31" s="23" t="s">
        <v>844</v>
      </c>
      <c r="K31" s="23" t="s">
        <v>1044</v>
      </c>
    </row>
    <row r="32" spans="1:11" ht="13.8" thickBot="1" x14ac:dyDescent="0.25">
      <c r="A32" s="23" t="s">
        <v>1132</v>
      </c>
      <c r="B32" s="23" t="s">
        <v>1036</v>
      </c>
      <c r="C32" s="23" t="s">
        <v>20</v>
      </c>
      <c r="D32" s="24" t="s">
        <v>236</v>
      </c>
      <c r="E32" s="24" t="s">
        <v>230</v>
      </c>
      <c r="F32" s="24" t="s">
        <v>237</v>
      </c>
      <c r="G32" s="24" t="s">
        <v>13</v>
      </c>
      <c r="H32" s="24" t="s">
        <v>238</v>
      </c>
      <c r="I32" s="24" t="s">
        <v>1404</v>
      </c>
      <c r="J32" s="23" t="s">
        <v>844</v>
      </c>
      <c r="K32" s="23" t="s">
        <v>1045</v>
      </c>
    </row>
    <row r="33" spans="1:11" ht="13.8" thickBot="1" x14ac:dyDescent="0.25">
      <c r="A33" s="23" t="s">
        <v>1398</v>
      </c>
      <c r="B33" s="23" t="s">
        <v>1267</v>
      </c>
      <c r="C33" s="23" t="s">
        <v>17</v>
      </c>
      <c r="D33" s="24" t="s">
        <v>229</v>
      </c>
      <c r="E33" s="24" t="s">
        <v>465</v>
      </c>
      <c r="F33" s="24" t="s">
        <v>231</v>
      </c>
      <c r="G33" s="24" t="s">
        <v>13</v>
      </c>
      <c r="H33" s="24" t="s">
        <v>232</v>
      </c>
      <c r="I33" s="24"/>
      <c r="J33" s="23" t="s">
        <v>1041</v>
      </c>
      <c r="K33" s="23" t="s">
        <v>1064</v>
      </c>
    </row>
    <row r="34" spans="1:11" ht="13.8" thickBot="1" x14ac:dyDescent="0.25">
      <c r="A34" s="23" t="s">
        <v>1399</v>
      </c>
      <c r="B34" s="23" t="s">
        <v>1267</v>
      </c>
      <c r="C34" s="23" t="s">
        <v>18</v>
      </c>
      <c r="D34" s="24" t="s">
        <v>229</v>
      </c>
      <c r="E34" s="24" t="s">
        <v>465</v>
      </c>
      <c r="F34" s="24" t="s">
        <v>231</v>
      </c>
      <c r="G34" s="24" t="s">
        <v>13</v>
      </c>
      <c r="H34" s="24" t="s">
        <v>232</v>
      </c>
      <c r="I34" s="24"/>
      <c r="J34" s="23" t="s">
        <v>1041</v>
      </c>
      <c r="K34" s="23" t="s">
        <v>1064</v>
      </c>
    </row>
    <row r="35" spans="1:11" ht="13.8" thickBot="1" x14ac:dyDescent="0.25">
      <c r="A35" s="23" t="s">
        <v>1402</v>
      </c>
      <c r="B35" s="23" t="s">
        <v>1267</v>
      </c>
      <c r="C35" s="23" t="s">
        <v>15</v>
      </c>
      <c r="D35" s="24" t="s">
        <v>248</v>
      </c>
      <c r="E35" s="24" t="s">
        <v>465</v>
      </c>
      <c r="F35" s="24" t="s">
        <v>249</v>
      </c>
      <c r="G35" s="24" t="s">
        <v>13</v>
      </c>
      <c r="H35" s="24" t="s">
        <v>250</v>
      </c>
      <c r="I35" s="24"/>
      <c r="J35" s="23" t="s">
        <v>1041</v>
      </c>
      <c r="K35" s="23" t="s">
        <v>1064</v>
      </c>
    </row>
    <row r="36" spans="1:11" ht="13.8" thickBot="1" x14ac:dyDescent="0.25">
      <c r="A36" s="23" t="s">
        <v>1403</v>
      </c>
      <c r="B36" s="23" t="s">
        <v>1267</v>
      </c>
      <c r="C36" s="23" t="s">
        <v>16</v>
      </c>
      <c r="D36" s="24" t="s">
        <v>248</v>
      </c>
      <c r="E36" s="24" t="s">
        <v>465</v>
      </c>
      <c r="F36" s="24" t="s">
        <v>249</v>
      </c>
      <c r="G36" s="24" t="s">
        <v>13</v>
      </c>
      <c r="H36" s="24" t="s">
        <v>250</v>
      </c>
      <c r="I36" s="24"/>
      <c r="J36" s="23" t="s">
        <v>1041</v>
      </c>
      <c r="K36" s="23" t="s">
        <v>1064</v>
      </c>
    </row>
    <row r="37" spans="1:11" ht="13.8" thickBot="1" x14ac:dyDescent="0.25">
      <c r="A37" s="23" t="s">
        <v>1405</v>
      </c>
      <c r="B37" s="23" t="s">
        <v>1267</v>
      </c>
      <c r="C37" s="23" t="s">
        <v>19</v>
      </c>
      <c r="D37" s="24" t="s">
        <v>236</v>
      </c>
      <c r="E37" s="24" t="s">
        <v>1586</v>
      </c>
      <c r="F37" s="24" t="s">
        <v>237</v>
      </c>
      <c r="G37" s="24" t="s">
        <v>13</v>
      </c>
      <c r="H37" s="24" t="s">
        <v>238</v>
      </c>
      <c r="I37" s="24"/>
      <c r="J37" s="23" t="s">
        <v>1041</v>
      </c>
      <c r="K37" s="23" t="s">
        <v>1064</v>
      </c>
    </row>
    <row r="38" spans="1:11" ht="13.8" thickBot="1" x14ac:dyDescent="0.25">
      <c r="A38" s="23" t="s">
        <v>1409</v>
      </c>
      <c r="B38" s="23" t="s">
        <v>1267</v>
      </c>
      <c r="C38" s="23" t="s">
        <v>20</v>
      </c>
      <c r="D38" s="24" t="s">
        <v>233</v>
      </c>
      <c r="E38" s="24" t="s">
        <v>1586</v>
      </c>
      <c r="F38" s="24" t="s">
        <v>234</v>
      </c>
      <c r="G38" s="24" t="s">
        <v>13</v>
      </c>
      <c r="H38" s="24" t="s">
        <v>235</v>
      </c>
      <c r="I38" s="24"/>
      <c r="J38" s="23" t="s">
        <v>1041</v>
      </c>
      <c r="K38" s="23" t="s">
        <v>1071</v>
      </c>
    </row>
    <row r="39" spans="1:11" ht="13.8" thickBot="1" x14ac:dyDescent="0.25">
      <c r="A39" s="23" t="s">
        <v>1587</v>
      </c>
      <c r="B39" s="23" t="s">
        <v>1462</v>
      </c>
      <c r="C39" s="23" t="s">
        <v>11</v>
      </c>
      <c r="D39" s="24" t="s">
        <v>236</v>
      </c>
      <c r="E39" s="24" t="s">
        <v>465</v>
      </c>
      <c r="F39" s="24" t="s">
        <v>237</v>
      </c>
      <c r="G39" s="24" t="s">
        <v>13</v>
      </c>
      <c r="H39" s="24" t="s">
        <v>238</v>
      </c>
      <c r="I39" s="24"/>
      <c r="J39" s="23" t="s">
        <v>1064</v>
      </c>
      <c r="K39" s="23" t="s">
        <v>1306</v>
      </c>
    </row>
    <row r="40" spans="1:11" ht="13.8" thickBot="1" x14ac:dyDescent="0.25">
      <c r="A40" s="23" t="s">
        <v>1588</v>
      </c>
      <c r="B40" s="23" t="s">
        <v>1462</v>
      </c>
      <c r="C40" s="23" t="s">
        <v>14</v>
      </c>
      <c r="D40" s="24" t="s">
        <v>236</v>
      </c>
      <c r="E40" s="24" t="s">
        <v>465</v>
      </c>
      <c r="F40" s="24" t="s">
        <v>237</v>
      </c>
      <c r="G40" s="24" t="s">
        <v>13</v>
      </c>
      <c r="H40" s="24" t="s">
        <v>238</v>
      </c>
      <c r="I40" s="24"/>
      <c r="J40" s="23" t="s">
        <v>1064</v>
      </c>
      <c r="K40" s="23" t="s">
        <v>1306</v>
      </c>
    </row>
    <row r="41" spans="1:11" ht="13.8" thickBot="1" x14ac:dyDescent="0.25">
      <c r="A41" s="23" t="s">
        <v>1589</v>
      </c>
      <c r="B41" s="23" t="s">
        <v>1462</v>
      </c>
      <c r="C41" s="23" t="s">
        <v>15</v>
      </c>
      <c r="D41" s="24" t="s">
        <v>233</v>
      </c>
      <c r="E41" s="24" t="s">
        <v>465</v>
      </c>
      <c r="F41" s="24" t="s">
        <v>234</v>
      </c>
      <c r="G41" s="24" t="s">
        <v>13</v>
      </c>
      <c r="H41" s="24" t="s">
        <v>235</v>
      </c>
      <c r="I41" s="24"/>
      <c r="J41" s="23" t="s">
        <v>1064</v>
      </c>
      <c r="K41" s="23" t="s">
        <v>1325</v>
      </c>
    </row>
    <row r="42" spans="1:11" ht="13.8" thickBot="1" x14ac:dyDescent="0.25">
      <c r="A42" s="23" t="s">
        <v>1590</v>
      </c>
      <c r="B42" s="23" t="s">
        <v>1462</v>
      </c>
      <c r="C42" s="23" t="s">
        <v>16</v>
      </c>
      <c r="D42" s="24" t="s">
        <v>233</v>
      </c>
      <c r="E42" s="24" t="s">
        <v>465</v>
      </c>
      <c r="F42" s="24" t="s">
        <v>234</v>
      </c>
      <c r="G42" s="24" t="s">
        <v>13</v>
      </c>
      <c r="H42" s="24" t="s">
        <v>235</v>
      </c>
      <c r="I42" s="24"/>
      <c r="J42" s="23" t="s">
        <v>1064</v>
      </c>
      <c r="K42" s="23" t="s">
        <v>1325</v>
      </c>
    </row>
    <row r="43" spans="1:11" ht="13.8" thickBot="1" x14ac:dyDescent="0.25">
      <c r="A43" s="23" t="s">
        <v>1591</v>
      </c>
      <c r="B43" s="23" t="s">
        <v>1462</v>
      </c>
      <c r="C43" s="23" t="s">
        <v>19</v>
      </c>
      <c r="D43" s="24" t="s">
        <v>248</v>
      </c>
      <c r="E43" s="24" t="s">
        <v>465</v>
      </c>
      <c r="F43" s="24" t="s">
        <v>249</v>
      </c>
      <c r="G43" s="24" t="s">
        <v>13</v>
      </c>
      <c r="H43" s="24" t="s">
        <v>250</v>
      </c>
      <c r="I43" s="24"/>
      <c r="J43" s="23" t="s">
        <v>1285</v>
      </c>
      <c r="K43" s="23" t="s">
        <v>1336</v>
      </c>
    </row>
    <row r="44" spans="1:11" ht="13.8" thickBot="1" x14ac:dyDescent="0.25">
      <c r="A44" s="23" t="s">
        <v>1592</v>
      </c>
      <c r="B44" s="23" t="s">
        <v>1462</v>
      </c>
      <c r="C44" s="23" t="s">
        <v>20</v>
      </c>
      <c r="D44" s="24" t="s">
        <v>248</v>
      </c>
      <c r="E44" s="24" t="s">
        <v>465</v>
      </c>
      <c r="F44" s="24" t="s">
        <v>249</v>
      </c>
      <c r="G44" s="24" t="s">
        <v>13</v>
      </c>
      <c r="H44" s="24" t="s">
        <v>250</v>
      </c>
      <c r="I44" s="24"/>
      <c r="J44" s="23" t="s">
        <v>1285</v>
      </c>
      <c r="K44" s="23" t="s">
        <v>1336</v>
      </c>
    </row>
    <row r="45" spans="1:11" ht="13.8" thickBot="1" x14ac:dyDescent="0.25">
      <c r="A45" s="23" t="s">
        <v>1594</v>
      </c>
      <c r="B45" s="23" t="s">
        <v>1462</v>
      </c>
      <c r="C45" s="23" t="s">
        <v>21</v>
      </c>
      <c r="D45" s="24" t="s">
        <v>1593</v>
      </c>
      <c r="E45" s="24" t="s">
        <v>1595</v>
      </c>
      <c r="F45" s="24" t="s">
        <v>1596</v>
      </c>
      <c r="G45" s="24" t="s">
        <v>13</v>
      </c>
      <c r="H45" s="24" t="s">
        <v>1597</v>
      </c>
      <c r="I45" s="24"/>
      <c r="J45" s="23" t="s">
        <v>1285</v>
      </c>
      <c r="K45" s="23" t="s">
        <v>1483</v>
      </c>
    </row>
    <row r="46" spans="1:11" ht="13.8" thickBot="1" x14ac:dyDescent="0.25">
      <c r="A46" s="23" t="s">
        <v>1598</v>
      </c>
      <c r="B46" s="23" t="s">
        <v>1462</v>
      </c>
      <c r="C46" s="23" t="s">
        <v>22</v>
      </c>
      <c r="D46" s="24" t="s">
        <v>1593</v>
      </c>
      <c r="E46" s="24" t="s">
        <v>1595</v>
      </c>
      <c r="F46" s="24" t="s">
        <v>1596</v>
      </c>
      <c r="G46" s="24" t="s">
        <v>13</v>
      </c>
      <c r="H46" s="24" t="s">
        <v>1597</v>
      </c>
      <c r="I46" s="24"/>
      <c r="J46" s="23" t="s">
        <v>1285</v>
      </c>
      <c r="K46" s="23" t="s">
        <v>1483</v>
      </c>
    </row>
  </sheetData>
  <mergeCells count="11">
    <mergeCell ref="J1:J2"/>
    <mergeCell ref="K1:K2"/>
    <mergeCell ref="E1:E2"/>
    <mergeCell ref="F1:F2"/>
    <mergeCell ref="G1:G2"/>
    <mergeCell ref="H1:H2"/>
    <mergeCell ref="B1:B2"/>
    <mergeCell ref="C1:C2"/>
    <mergeCell ref="D1:D2"/>
    <mergeCell ref="A1:A2"/>
    <mergeCell ref="I1:I2"/>
  </mergeCells>
  <phoneticPr fontId="2"/>
  <printOptions horizontalCentered="1" verticalCentered="1"/>
  <pageMargins left="0" right="0" top="0" bottom="0" header="0.51181102362204722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(旧)ﾍﾞﾝﾀﾞｰ小型</vt:lpstr>
      <vt:lpstr>(新)ﾍﾞﾝﾀﾞｰ小型</vt:lpstr>
      <vt:lpstr>ﾍﾞﾝﾀﾞｰ小型対照表</vt:lpstr>
      <vt:lpstr>(旧)ﾍﾞﾝﾀﾞｰ中型</vt:lpstr>
      <vt:lpstr>(新)ﾍﾞﾝﾀﾞｰ中型</vt:lpstr>
      <vt:lpstr>ﾍﾞﾝﾀﾞｰ中型対照表</vt:lpstr>
      <vt:lpstr>(旧)ﾍﾞﾝﾀﾞｰ大型</vt:lpstr>
      <vt:lpstr>(新)ﾍﾞﾝﾀﾞｰ大型</vt:lpstr>
      <vt:lpstr>ﾍﾞﾝﾀﾞｰ大型対照表</vt:lpstr>
      <vt:lpstr>(旧)ASTRO</vt:lpstr>
      <vt:lpstr>(新)ASTRO</vt:lpstr>
      <vt:lpstr>ASTRO対照表</vt:lpstr>
      <vt:lpstr>(旧)EG</vt:lpstr>
      <vt:lpstr>(新)EG</vt:lpstr>
      <vt:lpstr>EG対照表</vt:lpstr>
      <vt:lpstr>AESA</vt:lpstr>
    </vt:vector>
  </TitlesOfParts>
  <Company>Amada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Amada</dc:creator>
  <cp:lastModifiedBy>ictadmin</cp:lastModifiedBy>
  <cp:lastPrinted>2025-05-21T01:09:00Z</cp:lastPrinted>
  <dcterms:created xsi:type="dcterms:W3CDTF">2016-01-20T04:22:46Z</dcterms:created>
  <dcterms:modified xsi:type="dcterms:W3CDTF">2026-10-14T02:05:12Z</dcterms:modified>
</cp:coreProperties>
</file>